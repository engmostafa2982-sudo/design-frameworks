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prdfs1\Projects Department\Engineering &amp; Planning\8.0 Design Projects Planning\Projects cards Tracker\MODON PROJECTS\Invoices\"/>
    </mc:Choice>
  </mc:AlternateContent>
  <xr:revisionPtr revIDLastSave="0" documentId="13_ncr:1_{72C64858-8DD8-4707-8B78-C371F445A0DE}" xr6:coauthVersionLast="36" xr6:coauthVersionMax="36" xr10:uidLastSave="{00000000-0000-0000-0000-000000000000}"/>
  <bookViews>
    <workbookView xWindow="0" yWindow="0" windowWidth="28800" windowHeight="11580" xr2:uid="{00000000-000D-0000-FFFF-FFFF00000000}"/>
  </bookViews>
  <sheets>
    <sheet name="Summary" sheetId="19" r:id="rId1"/>
    <sheet name="Invoices (2)" sheetId="20" r:id="rId2"/>
    <sheet name="Sheet4" sheetId="21" r:id="rId3"/>
    <sheet name="EGEC - NIS2" sheetId="4" r:id="rId4"/>
    <sheet name="Meinhardt (RDH1-01-006)" sheetId="25" r:id="rId5"/>
    <sheet name="Logistic" sheetId="14" r:id="rId6"/>
    <sheet name="ENGICON RIYADH 4 P2 " sheetId="18" r:id="rId7"/>
    <sheet name="Engicon - P1" sheetId="11" r:id="rId8"/>
    <sheet name="Invoices" sheetId="1" r:id="rId9"/>
    <sheet name="EGEC - WAS" sheetId="8" r:id="rId10"/>
    <sheet name="AlDar International " sheetId="17" r:id="rId11"/>
    <sheet name="Sheet3" sheetId="12" r:id="rId12"/>
    <sheet name="TYPSA-KHJ2MIC" sheetId="24" r:id="rId13"/>
    <sheet name="MEINHARDT" sheetId="15" r:id="rId14"/>
    <sheet name="Dates" sheetId="2" r:id="rId15"/>
    <sheet name="Calendar" sheetId="3" r:id="rId16"/>
    <sheet name="ENGICON" sheetId="5" r:id="rId17"/>
    <sheet name="SYSTRA" sheetId="6" r:id="rId18"/>
    <sheet name="ENGICON-RDH4" sheetId="7" r:id="rId19"/>
  </sheets>
  <externalReferences>
    <externalReference r:id="rId20"/>
  </externalReferences>
  <definedNames>
    <definedName name="Invoices" localSheetId="1">#REF!</definedName>
    <definedName name="Invoices" localSheetId="0">Wrapup31[]</definedName>
    <definedName name="Invoices">Wrapup[]</definedName>
    <definedName name="Summary" localSheetId="1">#REF!</definedName>
    <definedName name="Summary" localSheetId="0">Wrapup31[]</definedName>
    <definedName name="Summary">Wrapup[]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94" i="20" l="1"/>
  <c r="AH94" i="20" s="1"/>
  <c r="AG96" i="20"/>
  <c r="AH96" i="20" s="1"/>
  <c r="AH93" i="20"/>
  <c r="AG93" i="20"/>
  <c r="BB74" i="20"/>
  <c r="BA74" i="20"/>
  <c r="DG80" i="20" l="1"/>
  <c r="DH80" i="20"/>
  <c r="I7" i="19"/>
  <c r="Y94" i="20" l="1"/>
  <c r="Z94" i="20" s="1"/>
  <c r="Y96" i="20"/>
  <c r="Z96" i="20" s="1"/>
  <c r="Y93" i="20"/>
  <c r="Z93" i="20" s="1"/>
  <c r="AG90" i="20" l="1"/>
  <c r="AH90" i="20" s="1"/>
  <c r="AC90" i="20"/>
  <c r="AD90" i="20" s="1"/>
  <c r="AO79" i="20"/>
  <c r="AP79" i="20" s="1"/>
  <c r="AK77" i="20"/>
  <c r="AL77" i="20" s="1"/>
  <c r="DD79" i="20"/>
  <c r="DJ79" i="20" s="1"/>
  <c r="AG79" i="20"/>
  <c r="AH79" i="20" s="1"/>
  <c r="BI71" i="20"/>
  <c r="BJ71" i="20" s="1"/>
  <c r="BE72" i="20"/>
  <c r="BF72" i="20" s="1"/>
  <c r="DD72" i="20"/>
  <c r="DJ72" i="20" s="1"/>
  <c r="AO85" i="20"/>
  <c r="AP85" i="20" s="1"/>
  <c r="DD85" i="20"/>
  <c r="DJ85" i="20" s="1"/>
  <c r="DD84" i="20"/>
  <c r="AK85" i="20"/>
  <c r="AL85" i="20" s="1"/>
  <c r="AW40" i="20"/>
  <c r="AX40" i="20" s="1"/>
  <c r="CG29" i="20"/>
  <c r="CH29" i="20" s="1"/>
  <c r="CG25" i="20"/>
  <c r="CH25" i="20" s="1"/>
  <c r="U96" i="20"/>
  <c r="V96" i="20" s="1"/>
  <c r="U93" i="20"/>
  <c r="V93" i="20" s="1"/>
  <c r="Q96" i="20"/>
  <c r="R96" i="20" s="1"/>
  <c r="Q94" i="20"/>
  <c r="R94" i="20" s="1"/>
  <c r="Q93" i="20"/>
  <c r="R93" i="20" s="1"/>
  <c r="DJ75" i="20"/>
  <c r="DJ74" i="20"/>
  <c r="DE79" i="20" l="1"/>
  <c r="DF79" i="20" s="1"/>
  <c r="DH79" i="20"/>
  <c r="DG79" i="20"/>
  <c r="DK79" i="20" s="1"/>
  <c r="DH72" i="20"/>
  <c r="DG72" i="20"/>
  <c r="DK72" i="20" s="1"/>
  <c r="DE72" i="20"/>
  <c r="DF72" i="20" s="1"/>
  <c r="DE85" i="20"/>
  <c r="DF85" i="20" s="1"/>
  <c r="I13" i="19" l="1"/>
  <c r="J13" i="19" s="1"/>
  <c r="L18" i="19"/>
  <c r="I14" i="19"/>
  <c r="I12" i="19" l="1"/>
  <c r="I9" i="19"/>
  <c r="AO75" i="20"/>
  <c r="AP75" i="20" s="1"/>
  <c r="DG75" i="20" s="1"/>
  <c r="DK75" i="20" s="1"/>
  <c r="AO74" i="20"/>
  <c r="AP74" i="20" s="1"/>
  <c r="DG74" i="20" s="1"/>
  <c r="DK74" i="20" s="1"/>
  <c r="DE74" i="20"/>
  <c r="DF74" i="20" s="1"/>
  <c r="DE75" i="20"/>
  <c r="DF75" i="20" s="1"/>
  <c r="J14" i="19"/>
  <c r="U73" i="20"/>
  <c r="V73" i="20" s="1"/>
  <c r="Y73" i="20"/>
  <c r="AB73" i="20"/>
  <c r="AC73" i="20" s="1"/>
  <c r="AD73" i="20" s="1"/>
  <c r="AG73" i="20"/>
  <c r="AH73" i="20" s="1"/>
  <c r="AK73" i="20"/>
  <c r="Z73" i="20" l="1"/>
  <c r="O287" i="4"/>
  <c r="O288" i="4"/>
  <c r="O286" i="4"/>
  <c r="M286" i="4"/>
  <c r="O291" i="4"/>
  <c r="CF34" i="20" s="1"/>
  <c r="CG34" i="20" s="1"/>
  <c r="CH34" i="20" s="1"/>
  <c r="DJ62" i="20" l="1"/>
  <c r="DJ63" i="20"/>
  <c r="I63" i="20"/>
  <c r="J63" i="20" s="1"/>
  <c r="I62" i="20"/>
  <c r="J62" i="20" s="1"/>
  <c r="DG64" i="20"/>
  <c r="DH64" i="20"/>
  <c r="DG65" i="20"/>
  <c r="DH65" i="20"/>
  <c r="DH62" i="20" l="1"/>
  <c r="DG62" i="20"/>
  <c r="DK62" i="20" s="1"/>
  <c r="DG63" i="20"/>
  <c r="DK63" i="20" s="1"/>
  <c r="DH63" i="20"/>
  <c r="AG16" i="20"/>
  <c r="AH16" i="20" s="1"/>
  <c r="AG15" i="20"/>
  <c r="AH15" i="20" s="1"/>
  <c r="M94" i="20"/>
  <c r="N94" i="20" s="1"/>
  <c r="M95" i="20"/>
  <c r="N95" i="20" s="1"/>
  <c r="M96" i="20"/>
  <c r="N96" i="20" s="1"/>
  <c r="M93" i="20"/>
  <c r="N93" i="20" s="1"/>
  <c r="I94" i="20"/>
  <c r="J94" i="20" s="1"/>
  <c r="I95" i="20"/>
  <c r="J95" i="20" s="1"/>
  <c r="I96" i="20"/>
  <c r="J96" i="20" s="1"/>
  <c r="I93" i="20"/>
  <c r="J93" i="20" s="1"/>
  <c r="DD94" i="20"/>
  <c r="DJ94" i="20" s="1"/>
  <c r="DD95" i="20"/>
  <c r="DJ95" i="20" s="1"/>
  <c r="DD96" i="20"/>
  <c r="DD93" i="20"/>
  <c r="DE93" i="20" s="1"/>
  <c r="DD78" i="20"/>
  <c r="DJ78" i="20" s="1"/>
  <c r="BA71" i="20"/>
  <c r="BB71" i="20" s="1"/>
  <c r="DD71" i="20"/>
  <c r="DE71" i="20" s="1"/>
  <c r="AW71" i="20"/>
  <c r="AW70" i="20"/>
  <c r="AX70" i="20" s="1"/>
  <c r="DJ57" i="20"/>
  <c r="DJ58" i="20"/>
  <c r="DJ59" i="20"/>
  <c r="DJ60" i="20"/>
  <c r="DJ61" i="20"/>
  <c r="DD40" i="20"/>
  <c r="DJ40" i="20" s="1"/>
  <c r="DD34" i="20"/>
  <c r="DE34" i="20" s="1"/>
  <c r="DF34" i="20" s="1"/>
  <c r="AX71" i="20" l="1"/>
  <c r="DH71" i="20" s="1"/>
  <c r="DE96" i="20"/>
  <c r="DF96" i="20" s="1"/>
  <c r="DH93" i="20"/>
  <c r="DJ93" i="20"/>
  <c r="DJ96" i="20"/>
  <c r="L14" i="19" s="1"/>
  <c r="DE94" i="20"/>
  <c r="DF94" i="20" s="1"/>
  <c r="DF93" i="20"/>
  <c r="DE95" i="20"/>
  <c r="DF95" i="20" s="1"/>
  <c r="DE78" i="20"/>
  <c r="DF78" i="20" s="1"/>
  <c r="DJ71" i="20"/>
  <c r="DF71" i="20"/>
  <c r="DE40" i="20"/>
  <c r="DF40" i="20" s="1"/>
  <c r="DJ34" i="20"/>
  <c r="I61" i="20"/>
  <c r="DD81" i="20"/>
  <c r="DE81" i="20" s="1"/>
  <c r="DF81" i="20" s="1"/>
  <c r="S9" i="17"/>
  <c r="S18" i="17" s="1"/>
  <c r="T81" i="20" s="1"/>
  <c r="U81" i="20" s="1"/>
  <c r="V81" i="20" s="1"/>
  <c r="S10" i="17"/>
  <c r="S11" i="17"/>
  <c r="S12" i="17"/>
  <c r="S13" i="17"/>
  <c r="S14" i="17"/>
  <c r="S15" i="17"/>
  <c r="S16" i="17"/>
  <c r="S17" i="17"/>
  <c r="S8" i="17"/>
  <c r="J61" i="20" l="1"/>
  <c r="DH61" i="20" s="1"/>
  <c r="L57" i="25"/>
  <c r="L58" i="25"/>
  <c r="L59" i="25"/>
  <c r="L60" i="25"/>
  <c r="L61" i="25"/>
  <c r="L46" i="25"/>
  <c r="L47" i="25"/>
  <c r="L48" i="25"/>
  <c r="L49" i="25"/>
  <c r="L50" i="25"/>
  <c r="L56" i="25"/>
  <c r="L45" i="25"/>
  <c r="L35" i="25"/>
  <c r="L36" i="25"/>
  <c r="L37" i="25"/>
  <c r="L38" i="25"/>
  <c r="L39" i="25"/>
  <c r="L40" i="25"/>
  <c r="M62" i="25"/>
  <c r="M51" i="25"/>
  <c r="M41" i="25"/>
  <c r="L26" i="25"/>
  <c r="L27" i="25"/>
  <c r="L28" i="25"/>
  <c r="L29" i="25"/>
  <c r="L30" i="25"/>
  <c r="L25" i="25"/>
  <c r="M31" i="25"/>
  <c r="I6" i="19"/>
  <c r="DG61" i="20" l="1"/>
  <c r="DK61" i="20" s="1"/>
  <c r="E22" i="25"/>
  <c r="E23" i="25"/>
  <c r="E24" i="25"/>
  <c r="E25" i="25"/>
  <c r="E26" i="25"/>
  <c r="E21" i="25"/>
  <c r="E27" i="25" s="1"/>
  <c r="Y8" i="14" l="1"/>
  <c r="Y9" i="14"/>
  <c r="Y10" i="14"/>
  <c r="Y11" i="14"/>
  <c r="Y12" i="14"/>
  <c r="Y7" i="14"/>
  <c r="Y13" i="14" s="1"/>
  <c r="AG84" i="20"/>
  <c r="AH84" i="20" s="1"/>
  <c r="AC84" i="20"/>
  <c r="AD84" i="20" s="1"/>
  <c r="W8" i="14"/>
  <c r="W9" i="14"/>
  <c r="W10" i="14"/>
  <c r="W11" i="14"/>
  <c r="W12" i="14"/>
  <c r="W7" i="14"/>
  <c r="W13" i="14" s="1"/>
  <c r="U8" i="14"/>
  <c r="U13" i="14" s="1"/>
  <c r="U9" i="14"/>
  <c r="U10" i="14"/>
  <c r="U11" i="14"/>
  <c r="U12" i="14"/>
  <c r="U7" i="14"/>
  <c r="Q9" i="17"/>
  <c r="Q10" i="17"/>
  <c r="Q11" i="17"/>
  <c r="Q12" i="17"/>
  <c r="Q13" i="17"/>
  <c r="Q14" i="17"/>
  <c r="Q15" i="17"/>
  <c r="Q16" i="17"/>
  <c r="Q17" i="17"/>
  <c r="Q8" i="17"/>
  <c r="Q18" i="17" s="1"/>
  <c r="P81" i="20" s="1"/>
  <c r="Q81" i="20" s="1"/>
  <c r="R81" i="20" s="1"/>
  <c r="O12" i="17"/>
  <c r="M12" i="17"/>
  <c r="S26" i="18"/>
  <c r="S31" i="18" s="1"/>
  <c r="AB77" i="20" s="1"/>
  <c r="AC77" i="20" s="1"/>
  <c r="AD77" i="20" s="1"/>
  <c r="S27" i="18"/>
  <c r="S28" i="18"/>
  <c r="S29" i="18"/>
  <c r="S30" i="18"/>
  <c r="S25" i="18"/>
  <c r="M39" i="18"/>
  <c r="M40" i="18"/>
  <c r="M41" i="18"/>
  <c r="M42" i="18"/>
  <c r="M43" i="18"/>
  <c r="M38" i="18"/>
  <c r="M44" i="18" s="1"/>
  <c r="X78" i="20" s="1"/>
  <c r="Y78" i="20" s="1"/>
  <c r="Z78" i="20" s="1"/>
  <c r="S14" i="18"/>
  <c r="S15" i="18"/>
  <c r="S16" i="18"/>
  <c r="S13" i="18"/>
  <c r="S19" i="18" s="1"/>
  <c r="X76" i="20" s="1"/>
  <c r="Y76" i="20" s="1"/>
  <c r="Z76" i="20" s="1"/>
  <c r="Q26" i="18"/>
  <c r="Q31" i="18" s="1"/>
  <c r="T77" i="20" s="1"/>
  <c r="U77" i="20" s="1"/>
  <c r="V77" i="20" s="1"/>
  <c r="Q27" i="18"/>
  <c r="Q28" i="18"/>
  <c r="Q29" i="18"/>
  <c r="Q30" i="18"/>
  <c r="Q25" i="18"/>
  <c r="Q14" i="18"/>
  <c r="Q15" i="18"/>
  <c r="Q16" i="18"/>
  <c r="Q13" i="18"/>
  <c r="Q19" i="18" s="1"/>
  <c r="O26" i="18"/>
  <c r="O27" i="18"/>
  <c r="O28" i="18"/>
  <c r="O29" i="18"/>
  <c r="O30" i="18"/>
  <c r="O25" i="18"/>
  <c r="O31" i="18" s="1"/>
  <c r="AF7" i="15" l="1"/>
  <c r="AF8" i="15"/>
  <c r="AF9" i="15"/>
  <c r="AF10" i="15"/>
  <c r="AF11" i="15"/>
  <c r="AF6" i="15"/>
  <c r="AF12" i="15" s="1"/>
  <c r="AL73" i="20"/>
  <c r="AD7" i="15"/>
  <c r="AD8" i="15"/>
  <c r="AD9" i="15"/>
  <c r="AD10" i="15"/>
  <c r="AD11" i="15"/>
  <c r="AD6" i="15"/>
  <c r="AD12" i="15" s="1"/>
  <c r="AB6" i="15"/>
  <c r="AB8" i="15"/>
  <c r="AB7" i="15"/>
  <c r="AB9" i="15"/>
  <c r="AB10" i="15"/>
  <c r="AB11" i="15"/>
  <c r="Z12" i="15"/>
  <c r="Z7" i="15"/>
  <c r="Z8" i="15"/>
  <c r="Z9" i="15"/>
  <c r="Z10" i="15"/>
  <c r="Z11" i="15"/>
  <c r="Z6" i="15"/>
  <c r="Q61" i="11"/>
  <c r="Q62" i="11"/>
  <c r="Q63" i="11"/>
  <c r="Q64" i="11"/>
  <c r="Q65" i="11"/>
  <c r="Q60" i="11"/>
  <c r="Q66" i="11" s="1"/>
  <c r="AR70" i="20" s="1"/>
  <c r="AS70" i="20" s="1"/>
  <c r="AT70" i="20" s="1"/>
  <c r="O62" i="8"/>
  <c r="O61" i="8"/>
  <c r="O65" i="8" l="1"/>
  <c r="AR40" i="20" s="1"/>
  <c r="AS40" i="20" s="1"/>
  <c r="AT40" i="20" s="1"/>
  <c r="U166" i="4"/>
  <c r="U165" i="4"/>
  <c r="U155" i="4"/>
  <c r="U156" i="4"/>
  <c r="U157" i="4"/>
  <c r="U158" i="4"/>
  <c r="U159" i="4"/>
  <c r="U160" i="4"/>
  <c r="U161" i="4"/>
  <c r="U162" i="4"/>
  <c r="CC25" i="20"/>
  <c r="CD25" i="20" s="1"/>
  <c r="CC31" i="20"/>
  <c r="CD31" i="20" s="1"/>
  <c r="CC34" i="20"/>
  <c r="CD34" i="20" s="1"/>
  <c r="M287" i="4"/>
  <c r="M291" i="4" s="1"/>
  <c r="M288" i="4"/>
  <c r="S258" i="4"/>
  <c r="S262" i="4" s="1"/>
  <c r="S259" i="4"/>
  <c r="S260" i="4"/>
  <c r="S261" i="4"/>
  <c r="S257" i="4"/>
  <c r="O243" i="4"/>
  <c r="O247" i="4" s="1"/>
  <c r="O244" i="4"/>
  <c r="O242" i="4"/>
  <c r="Q258" i="4"/>
  <c r="Q259" i="4"/>
  <c r="Q257" i="4"/>
  <c r="Q262" i="4" s="1"/>
  <c r="O258" i="4"/>
  <c r="O259" i="4"/>
  <c r="O257" i="4"/>
  <c r="O262" i="4" s="1"/>
  <c r="O271" i="4"/>
  <c r="M271" i="4"/>
  <c r="D11" i="4"/>
  <c r="BY30" i="20"/>
  <c r="BZ30" i="20" s="1"/>
  <c r="BY32" i="20"/>
  <c r="BZ32" i="20" s="1"/>
  <c r="BY31" i="20"/>
  <c r="BZ31" i="20" s="1"/>
  <c r="BY33" i="20"/>
  <c r="BZ33" i="20" s="1"/>
  <c r="X6" i="15"/>
  <c r="X12" i="15" s="1"/>
  <c r="X7" i="15"/>
  <c r="X8" i="15"/>
  <c r="X9" i="15"/>
  <c r="X10" i="15"/>
  <c r="X11" i="15"/>
  <c r="I60" i="20"/>
  <c r="J60" i="20" s="1"/>
  <c r="I59" i="20"/>
  <c r="J59" i="20" s="1"/>
  <c r="I58" i="20"/>
  <c r="J58" i="20" s="1"/>
  <c r="DG59" i="20" l="1"/>
  <c r="DK59" i="20" s="1"/>
  <c r="DH59" i="20"/>
  <c r="DG60" i="20"/>
  <c r="DK60" i="20" s="1"/>
  <c r="DH60" i="20"/>
  <c r="DG58" i="20"/>
  <c r="DK58" i="20" s="1"/>
  <c r="DH58" i="20"/>
  <c r="DG95" i="20" l="1"/>
  <c r="DK95" i="20" s="1"/>
  <c r="DG96" i="20"/>
  <c r="DK96" i="20" s="1"/>
  <c r="DH95" i="20"/>
  <c r="DH96" i="20"/>
  <c r="DG94" i="20"/>
  <c r="DK94" i="20" s="1"/>
  <c r="DH94" i="20"/>
  <c r="DG92" i="20" l="1"/>
  <c r="DH92" i="20"/>
  <c r="O31" i="24"/>
  <c r="O49" i="24" s="1"/>
  <c r="M20" i="24"/>
  <c r="M17" i="24"/>
  <c r="M49" i="24" s="1"/>
  <c r="M18" i="24"/>
  <c r="M19" i="24"/>
  <c r="K49" i="24"/>
  <c r="P90" i="20" s="1"/>
  <c r="Q90" i="20" s="1"/>
  <c r="R90" i="20" s="1"/>
  <c r="K18" i="24"/>
  <c r="K19" i="24"/>
  <c r="K17" i="24"/>
  <c r="K7" i="24"/>
  <c r="K8" i="24"/>
  <c r="I7" i="24"/>
  <c r="I49" i="24" s="1"/>
  <c r="I8" i="24"/>
  <c r="G39" i="24"/>
  <c r="G6" i="24"/>
  <c r="N37" i="5"/>
  <c r="R6" i="15"/>
  <c r="J6" i="15"/>
  <c r="I50" i="24" l="1"/>
  <c r="I51" i="24"/>
  <c r="L90" i="20"/>
  <c r="M50" i="24"/>
  <c r="T90" i="20"/>
  <c r="U90" i="20" s="1"/>
  <c r="V90" i="20" s="1"/>
  <c r="X90" i="20"/>
  <c r="O50" i="24"/>
  <c r="Y90" i="20" s="1"/>
  <c r="M51" i="24"/>
  <c r="K50" i="24"/>
  <c r="K51" i="24" s="1"/>
  <c r="G49" i="24"/>
  <c r="H90" i="20" s="1"/>
  <c r="G50" i="24" l="1"/>
  <c r="G51" i="24" s="1"/>
  <c r="O51" i="24"/>
  <c r="Z90" i="20" s="1"/>
  <c r="I90" i="20"/>
  <c r="BU32" i="20"/>
  <c r="BV32" i="20" s="1"/>
  <c r="BU31" i="20"/>
  <c r="BV31" i="20" s="1"/>
  <c r="BU27" i="20"/>
  <c r="BV27" i="20" s="1"/>
  <c r="BU29" i="20"/>
  <c r="BV29" i="20" s="1"/>
  <c r="Q77" i="20"/>
  <c r="R77" i="20" s="1"/>
  <c r="Q76" i="20"/>
  <c r="R76" i="20" s="1"/>
  <c r="AO70" i="20"/>
  <c r="AP70" i="20" s="1"/>
  <c r="Y84" i="20"/>
  <c r="Z84" i="20" s="1"/>
  <c r="M90" i="20"/>
  <c r="N90" i="20" s="1"/>
  <c r="I57" i="20"/>
  <c r="J57" i="20" s="1"/>
  <c r="DG57" i="20" l="1"/>
  <c r="DK57" i="20" s="1"/>
  <c r="DH57" i="20"/>
  <c r="DH91" i="20"/>
  <c r="DH89" i="20"/>
  <c r="DH88" i="20"/>
  <c r="DH87" i="20"/>
  <c r="DH86" i="20"/>
  <c r="DH85" i="20"/>
  <c r="DH83" i="20"/>
  <c r="DH82" i="20"/>
  <c r="DH78" i="20"/>
  <c r="DH75" i="20"/>
  <c r="DH74" i="20"/>
  <c r="DH42" i="20"/>
  <c r="DH36" i="20"/>
  <c r="DH34" i="20"/>
  <c r="DG93" i="20"/>
  <c r="DG91" i="20"/>
  <c r="DG89" i="20"/>
  <c r="DG88" i="20"/>
  <c r="DG87" i="20"/>
  <c r="DG86" i="20"/>
  <c r="DG85" i="20"/>
  <c r="DK85" i="20" s="1"/>
  <c r="DG83" i="20"/>
  <c r="DG82" i="20"/>
  <c r="DG78" i="20"/>
  <c r="DK78" i="20" s="1"/>
  <c r="DG71" i="20"/>
  <c r="DK71" i="20" s="1"/>
  <c r="DG42" i="20"/>
  <c r="DG36" i="20"/>
  <c r="DG34" i="20"/>
  <c r="DK34" i="20" s="1"/>
  <c r="DK93" i="20" l="1"/>
  <c r="K14" i="19"/>
  <c r="M14" i="19" s="1"/>
  <c r="E20" i="19"/>
  <c r="K18" i="19"/>
  <c r="I8" i="19"/>
  <c r="I10" i="19"/>
  <c r="I11" i="19"/>
  <c r="I15" i="19"/>
  <c r="I16" i="19"/>
  <c r="I17" i="19"/>
  <c r="I18" i="19"/>
  <c r="I19" i="19"/>
  <c r="J19" i="19" s="1"/>
  <c r="I5" i="19"/>
  <c r="I20" i="19" l="1"/>
  <c r="DJ44" i="20"/>
  <c r="DJ43" i="20"/>
  <c r="M18" i="19"/>
  <c r="DG98" i="20"/>
  <c r="DG97" i="20"/>
  <c r="DD90" i="20"/>
  <c r="T84" i="20"/>
  <c r="P84" i="20"/>
  <c r="DD77" i="20"/>
  <c r="DD76" i="20"/>
  <c r="DJ76" i="20" s="1"/>
  <c r="DD73" i="20"/>
  <c r="DJ73" i="20" s="1"/>
  <c r="DD70" i="20"/>
  <c r="DJ70" i="20" s="1"/>
  <c r="DD69" i="20"/>
  <c r="DJ69" i="20" s="1"/>
  <c r="DD68" i="20"/>
  <c r="DE68" i="20" s="1"/>
  <c r="DF68" i="20" s="1"/>
  <c r="DD67" i="20"/>
  <c r="DJ67" i="20" s="1"/>
  <c r="DD66" i="20"/>
  <c r="DE66" i="20" s="1"/>
  <c r="AJ66" i="20"/>
  <c r="AK66" i="20" s="1"/>
  <c r="AL66" i="20" s="1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DD41" i="20"/>
  <c r="DJ41" i="20" s="1"/>
  <c r="AN40" i="20"/>
  <c r="DD39" i="20"/>
  <c r="DJ39" i="20" s="1"/>
  <c r="AK39" i="20"/>
  <c r="AL39" i="20" s="1"/>
  <c r="AG39" i="20"/>
  <c r="AH39" i="20" s="1"/>
  <c r="Y39" i="20"/>
  <c r="DD38" i="20"/>
  <c r="DJ38" i="20" s="1"/>
  <c r="DD37" i="20"/>
  <c r="DD35" i="20"/>
  <c r="AS35" i="20"/>
  <c r="AT35" i="20" s="1"/>
  <c r="AO35" i="20"/>
  <c r="AP35" i="20" s="1"/>
  <c r="DD33" i="20"/>
  <c r="DJ33" i="20" s="1"/>
  <c r="BP33" i="20"/>
  <c r="DD32" i="20"/>
  <c r="DE32" i="20" s="1"/>
  <c r="DF32" i="20" s="1"/>
  <c r="DD31" i="20"/>
  <c r="DE31" i="20" s="1"/>
  <c r="BP31" i="20"/>
  <c r="BQ31" i="20" s="1"/>
  <c r="DD30" i="20"/>
  <c r="DJ30" i="20" s="1"/>
  <c r="DD29" i="20"/>
  <c r="DJ29" i="20" s="1"/>
  <c r="DD28" i="20"/>
  <c r="DJ28" i="20" s="1"/>
  <c r="DD27" i="20"/>
  <c r="DJ27" i="20" s="1"/>
  <c r="BP27" i="20"/>
  <c r="BQ27" i="20" s="1"/>
  <c r="BR27" i="20" s="1"/>
  <c r="DD26" i="20"/>
  <c r="DE26" i="20" s="1"/>
  <c r="DF26" i="20" s="1"/>
  <c r="DD25" i="20"/>
  <c r="DD24" i="20"/>
  <c r="DJ24" i="20" s="1"/>
  <c r="DD23" i="20"/>
  <c r="DJ23" i="20" s="1"/>
  <c r="Y23" i="20"/>
  <c r="DD22" i="20"/>
  <c r="DE22" i="20" s="1"/>
  <c r="DF22" i="20" s="1"/>
  <c r="Y22" i="20"/>
  <c r="Z22" i="20" s="1"/>
  <c r="DD21" i="20"/>
  <c r="DD20" i="20"/>
  <c r="DJ20" i="20" s="1"/>
  <c r="DD19" i="20"/>
  <c r="DJ19" i="20" s="1"/>
  <c r="DD18" i="20"/>
  <c r="DE18" i="20" s="1"/>
  <c r="DD17" i="20"/>
  <c r="DD16" i="20"/>
  <c r="DJ16" i="20" s="1"/>
  <c r="DD15" i="20"/>
  <c r="DJ15" i="20" s="1"/>
  <c r="DD14" i="20"/>
  <c r="DJ14" i="20" s="1"/>
  <c r="DD13" i="20"/>
  <c r="DJ13" i="20" s="1"/>
  <c r="AS13" i="20"/>
  <c r="DD12" i="20"/>
  <c r="DJ12" i="20" s="1"/>
  <c r="BA12" i="20"/>
  <c r="BB12" i="20" s="1"/>
  <c r="AW12" i="20"/>
  <c r="AX12" i="20" s="1"/>
  <c r="AO12" i="20"/>
  <c r="DD11" i="20"/>
  <c r="DJ11" i="20" s="1"/>
  <c r="AS11" i="20"/>
  <c r="AT11" i="20" s="1"/>
  <c r="AO11" i="20"/>
  <c r="DD10" i="20"/>
  <c r="DJ10" i="20" s="1"/>
  <c r="AC10" i="20"/>
  <c r="AD10" i="20" s="1"/>
  <c r="Y10" i="20"/>
  <c r="DD9" i="20"/>
  <c r="BE9" i="20"/>
  <c r="BF9" i="20" s="1"/>
  <c r="AK9" i="20"/>
  <c r="AL9" i="20" s="1"/>
  <c r="Y9" i="20"/>
  <c r="DD8" i="20"/>
  <c r="DJ8" i="20" s="1"/>
  <c r="AG8" i="20"/>
  <c r="AH8" i="20" s="1"/>
  <c r="U8" i="20"/>
  <c r="DD7" i="20"/>
  <c r="DJ7" i="20" s="1"/>
  <c r="AC7" i="20"/>
  <c r="AD7" i="20" s="1"/>
  <c r="U7" i="20"/>
  <c r="V7" i="20" s="1"/>
  <c r="M7" i="20"/>
  <c r="DD6" i="20"/>
  <c r="DJ6" i="20" s="1"/>
  <c r="Q6" i="20"/>
  <c r="R6" i="20" s="1"/>
  <c r="I6" i="20"/>
  <c r="DD5" i="20"/>
  <c r="DJ5" i="20" s="1"/>
  <c r="I5" i="20"/>
  <c r="DD4" i="20"/>
  <c r="DJ4" i="20" s="1"/>
  <c r="Q4" i="20"/>
  <c r="R4" i="20" s="1"/>
  <c r="I4" i="20"/>
  <c r="J18" i="19"/>
  <c r="G18" i="19"/>
  <c r="J17" i="19"/>
  <c r="G17" i="19"/>
  <c r="J16" i="19"/>
  <c r="G16" i="19"/>
  <c r="BP15" i="19"/>
  <c r="J15" i="19"/>
  <c r="J12" i="19"/>
  <c r="J11" i="19"/>
  <c r="G11" i="19"/>
  <c r="J10" i="19"/>
  <c r="J9" i="19"/>
  <c r="J8" i="19"/>
  <c r="G8" i="19"/>
  <c r="J7" i="19"/>
  <c r="J6" i="19"/>
  <c r="G6" i="19"/>
  <c r="E5" i="19"/>
  <c r="DJ142" i="1"/>
  <c r="DI142" i="1"/>
  <c r="DJ141" i="1"/>
  <c r="DI141" i="1"/>
  <c r="DJ140" i="1"/>
  <c r="DI140" i="1"/>
  <c r="DJ139" i="1"/>
  <c r="DI139" i="1"/>
  <c r="DJ110" i="1"/>
  <c r="DI110" i="1"/>
  <c r="DJ109" i="1"/>
  <c r="DI109" i="1"/>
  <c r="DI73" i="1"/>
  <c r="DJ73" i="1"/>
  <c r="DJ82" i="1"/>
  <c r="DI132" i="1"/>
  <c r="DI131" i="1"/>
  <c r="DI130" i="1"/>
  <c r="DI127" i="1"/>
  <c r="DI126" i="1"/>
  <c r="DI121" i="1"/>
  <c r="DI120" i="1"/>
  <c r="DI108" i="1"/>
  <c r="DI69" i="1"/>
  <c r="DP69" i="1" s="1"/>
  <c r="DO145" i="1"/>
  <c r="DO144" i="1"/>
  <c r="DP144" i="1" s="1"/>
  <c r="DO142" i="1"/>
  <c r="DO141" i="1"/>
  <c r="DO140" i="1"/>
  <c r="DO139" i="1"/>
  <c r="DO137" i="1"/>
  <c r="DP137" i="1" s="1"/>
  <c r="DO136" i="1"/>
  <c r="DP136" i="1" s="1"/>
  <c r="DO135" i="1"/>
  <c r="DP135" i="1" s="1"/>
  <c r="DO134" i="1"/>
  <c r="DP134" i="1" s="1"/>
  <c r="DO133" i="1"/>
  <c r="DP133" i="1" s="1"/>
  <c r="DO132" i="1"/>
  <c r="DO131" i="1"/>
  <c r="DO130" i="1"/>
  <c r="DO128" i="1"/>
  <c r="DP128" i="1" s="1"/>
  <c r="DO127" i="1"/>
  <c r="DO126" i="1"/>
  <c r="DO124" i="1"/>
  <c r="DP124" i="1" s="1"/>
  <c r="DO122" i="1"/>
  <c r="DP122" i="1" s="1"/>
  <c r="DO121" i="1"/>
  <c r="DO120" i="1"/>
  <c r="DO118" i="1"/>
  <c r="DP118" i="1" s="1"/>
  <c r="DO116" i="1"/>
  <c r="DP116" i="1" s="1"/>
  <c r="DO112" i="1"/>
  <c r="DP112" i="1" s="1"/>
  <c r="DO110" i="1"/>
  <c r="DO109" i="1"/>
  <c r="DO108" i="1"/>
  <c r="DP108" i="1" s="1"/>
  <c r="DO106" i="1"/>
  <c r="DP106" i="1" s="1"/>
  <c r="DO104" i="1"/>
  <c r="DP104" i="1" s="1"/>
  <c r="DO98" i="1"/>
  <c r="DO82" i="1"/>
  <c r="DO81" i="1"/>
  <c r="DO79" i="1"/>
  <c r="DO73" i="1"/>
  <c r="DO71" i="1"/>
  <c r="DO69" i="1"/>
  <c r="DO67" i="1"/>
  <c r="DP67" i="1" s="1"/>
  <c r="DO43" i="1"/>
  <c r="BQ16" i="1"/>
  <c r="DJ90" i="20" l="1"/>
  <c r="L19" i="19" s="1"/>
  <c r="DE90" i="20"/>
  <c r="DF90" i="20" s="1"/>
  <c r="L13" i="19"/>
  <c r="DE84" i="20"/>
  <c r="DF84" i="20" s="1"/>
  <c r="DJ84" i="20"/>
  <c r="L17" i="19" s="1"/>
  <c r="Z9" i="20"/>
  <c r="DH9" i="20"/>
  <c r="DG9" i="20"/>
  <c r="Z10" i="20"/>
  <c r="DH10" i="20" s="1"/>
  <c r="Z23" i="20"/>
  <c r="AP11" i="20"/>
  <c r="DH11" i="20" s="1"/>
  <c r="J45" i="20"/>
  <c r="DH45" i="20" s="1"/>
  <c r="J4" i="20"/>
  <c r="DH4" i="20" s="1"/>
  <c r="J5" i="20"/>
  <c r="DG5" i="20" s="1"/>
  <c r="DK5" i="20" s="1"/>
  <c r="V8" i="20"/>
  <c r="DH8" i="20" s="1"/>
  <c r="AP12" i="20"/>
  <c r="DG12" i="20" s="1"/>
  <c r="DK12" i="20" s="1"/>
  <c r="BR31" i="20"/>
  <c r="DG31" i="20" s="1"/>
  <c r="J50" i="20"/>
  <c r="DH50" i="20" s="1"/>
  <c r="J6" i="20"/>
  <c r="DG6" i="20" s="1"/>
  <c r="DK6" i="20" s="1"/>
  <c r="AT13" i="20"/>
  <c r="DH13" i="20" s="1"/>
  <c r="N7" i="20"/>
  <c r="DH7" i="20" s="1"/>
  <c r="J55" i="20"/>
  <c r="DH55" i="20" s="1"/>
  <c r="Z39" i="20"/>
  <c r="DG39" i="20" s="1"/>
  <c r="DK39" i="20" s="1"/>
  <c r="DJ45" i="20"/>
  <c r="DE23" i="20"/>
  <c r="DF23" i="20" s="1"/>
  <c r="DE14" i="20"/>
  <c r="DF14" i="20" s="1"/>
  <c r="Q84" i="20"/>
  <c r="R84" i="20" s="1"/>
  <c r="AO40" i="20"/>
  <c r="DJ35" i="20"/>
  <c r="L8" i="19" s="1"/>
  <c r="DE17" i="20"/>
  <c r="DF17" i="20" s="1"/>
  <c r="DE37" i="20"/>
  <c r="DF37" i="20" s="1"/>
  <c r="DJ17" i="20"/>
  <c r="L6" i="19" s="1"/>
  <c r="DE19" i="20"/>
  <c r="DF19" i="20" s="1"/>
  <c r="DJ22" i="20"/>
  <c r="J46" i="20"/>
  <c r="DG46" i="20" s="1"/>
  <c r="DE15" i="20"/>
  <c r="DF15" i="20" s="1"/>
  <c r="DE29" i="20"/>
  <c r="DF29" i="20" s="1"/>
  <c r="DE39" i="20"/>
  <c r="DF39" i="20" s="1"/>
  <c r="DE4" i="20"/>
  <c r="DF4" i="20" s="1"/>
  <c r="DE20" i="20"/>
  <c r="DF20" i="20" s="1"/>
  <c r="J53" i="20"/>
  <c r="DH53" i="20" s="1"/>
  <c r="DE67" i="20"/>
  <c r="DF67" i="20" s="1"/>
  <c r="DJ26" i="20"/>
  <c r="DJ81" i="20"/>
  <c r="L16" i="19" s="1"/>
  <c r="DJ32" i="20"/>
  <c r="DE12" i="20"/>
  <c r="DF12" i="20" s="1"/>
  <c r="DD42" i="20"/>
  <c r="DJ66" i="20"/>
  <c r="DF66" i="20"/>
  <c r="DE9" i="20"/>
  <c r="DF9" i="20" s="1"/>
  <c r="DJ9" i="20"/>
  <c r="L5" i="19" s="1"/>
  <c r="DF31" i="20"/>
  <c r="DJ31" i="20"/>
  <c r="DF18" i="20"/>
  <c r="DJ18" i="20"/>
  <c r="DJ21" i="20"/>
  <c r="DE21" i="20"/>
  <c r="DF21" i="20" s="1"/>
  <c r="J47" i="20"/>
  <c r="DG47" i="20" s="1"/>
  <c r="DJ42" i="20"/>
  <c r="L11" i="19" s="1"/>
  <c r="DE6" i="20"/>
  <c r="DF6" i="20" s="1"/>
  <c r="J54" i="20"/>
  <c r="DH54" i="20" s="1"/>
  <c r="DJ68" i="20"/>
  <c r="J44" i="20"/>
  <c r="DG44" i="20" s="1"/>
  <c r="DE16" i="20"/>
  <c r="DE11" i="20"/>
  <c r="DF11" i="20" s="1"/>
  <c r="BQ33" i="20"/>
  <c r="BR33" i="20" s="1"/>
  <c r="DE25" i="20"/>
  <c r="DF25" i="20" s="1"/>
  <c r="J51" i="20"/>
  <c r="DH51" i="20" s="1"/>
  <c r="J90" i="20"/>
  <c r="DE38" i="20"/>
  <c r="DF38" i="20" s="1"/>
  <c r="DJ77" i="20"/>
  <c r="L15" i="19" s="1"/>
  <c r="DJ25" i="20"/>
  <c r="DE28" i="20"/>
  <c r="DF28" i="20" s="1"/>
  <c r="DE33" i="20"/>
  <c r="DF33" i="20" s="1"/>
  <c r="J48" i="20"/>
  <c r="DH48" i="20" s="1"/>
  <c r="DE70" i="20"/>
  <c r="DF70" i="20" s="1"/>
  <c r="DE77" i="20"/>
  <c r="DF77" i="20" s="1"/>
  <c r="DE8" i="20"/>
  <c r="DF8" i="20" s="1"/>
  <c r="DE30" i="20"/>
  <c r="DF30" i="20" s="1"/>
  <c r="DE35" i="20"/>
  <c r="DJ37" i="20"/>
  <c r="L9" i="19" s="1"/>
  <c r="J52" i="20"/>
  <c r="DH52" i="20" s="1"/>
  <c r="DE5" i="20"/>
  <c r="DF5" i="20" s="1"/>
  <c r="DE13" i="20"/>
  <c r="DF13" i="20" s="1"/>
  <c r="DE24" i="20"/>
  <c r="DF24" i="20" s="1"/>
  <c r="J56" i="20"/>
  <c r="DH56" i="20" s="1"/>
  <c r="DE10" i="20"/>
  <c r="DF10" i="20" s="1"/>
  <c r="DE27" i="20"/>
  <c r="DF27" i="20" s="1"/>
  <c r="DE41" i="20"/>
  <c r="DE42" i="20" s="1"/>
  <c r="DE73" i="20"/>
  <c r="DE76" i="20"/>
  <c r="J49" i="20"/>
  <c r="DH49" i="20" s="1"/>
  <c r="DE69" i="20"/>
  <c r="DF69" i="20" s="1"/>
  <c r="U84" i="20"/>
  <c r="V84" i="20" s="1"/>
  <c r="J43" i="20"/>
  <c r="DG43" i="20" s="1"/>
  <c r="DE7" i="20"/>
  <c r="DF7" i="20" s="1"/>
  <c r="DP109" i="1"/>
  <c r="DP110" i="1"/>
  <c r="DP141" i="1"/>
  <c r="DP142" i="1"/>
  <c r="DP73" i="1"/>
  <c r="DP120" i="1"/>
  <c r="DP121" i="1"/>
  <c r="DP127" i="1"/>
  <c r="DP126" i="1"/>
  <c r="DP130" i="1"/>
  <c r="DP131" i="1"/>
  <c r="DP132" i="1"/>
  <c r="DP139" i="1"/>
  <c r="DP140" i="1"/>
  <c r="J5" i="19"/>
  <c r="J20" i="19" s="1"/>
  <c r="L10" i="19" l="1"/>
  <c r="L7" i="19"/>
  <c r="DH90" i="20"/>
  <c r="DG90" i="20"/>
  <c r="DK90" i="20" s="1"/>
  <c r="DG55" i="20"/>
  <c r="DH31" i="20"/>
  <c r="DG45" i="20"/>
  <c r="DK45" i="20" s="1"/>
  <c r="DG11" i="20"/>
  <c r="DK11" i="20" s="1"/>
  <c r="DH6" i="20"/>
  <c r="DH39" i="20"/>
  <c r="DG7" i="20"/>
  <c r="DK7" i="20" s="1"/>
  <c r="DH43" i="20"/>
  <c r="DG4" i="20"/>
  <c r="DK4" i="20" s="1"/>
  <c r="DK9" i="20"/>
  <c r="DH12" i="20"/>
  <c r="DH5" i="20"/>
  <c r="DH47" i="20"/>
  <c r="DG54" i="20"/>
  <c r="DG53" i="20"/>
  <c r="DG49" i="20"/>
  <c r="DG13" i="20"/>
  <c r="DK13" i="20" s="1"/>
  <c r="DG10" i="20"/>
  <c r="DK10" i="20" s="1"/>
  <c r="DG50" i="20"/>
  <c r="DH44" i="20"/>
  <c r="DH46" i="20"/>
  <c r="DG56" i="20"/>
  <c r="DG52" i="20"/>
  <c r="DG51" i="20"/>
  <c r="AP40" i="20"/>
  <c r="DG40" i="20" s="1"/>
  <c r="DK40" i="20" s="1"/>
  <c r="DG8" i="20"/>
  <c r="DK8" i="20" s="1"/>
  <c r="DG48" i="20"/>
  <c r="DJ46" i="20"/>
  <c r="DK44" i="20"/>
  <c r="DF41" i="20"/>
  <c r="DF42" i="20" s="1"/>
  <c r="DK31" i="20"/>
  <c r="DF76" i="20"/>
  <c r="DF73" i="20"/>
  <c r="DF16" i="20"/>
  <c r="DF35" i="20"/>
  <c r="DK43" i="20"/>
  <c r="DF138" i="1"/>
  <c r="DF125" i="1"/>
  <c r="DF129" i="1" s="1"/>
  <c r="K138" i="1"/>
  <c r="J143" i="1"/>
  <c r="K12" i="19" l="1"/>
  <c r="DH40" i="20"/>
  <c r="K5" i="19"/>
  <c r="M5" i="19" s="1"/>
  <c r="DJ47" i="20"/>
  <c r="DK47" i="20" s="1"/>
  <c r="DK46" i="20"/>
  <c r="K19" i="19"/>
  <c r="M19" i="19" s="1"/>
  <c r="DJ138" i="1"/>
  <c r="DI138" i="1"/>
  <c r="L138" i="1"/>
  <c r="DO138" i="1"/>
  <c r="K143" i="1"/>
  <c r="K96" i="1"/>
  <c r="J97" i="1"/>
  <c r="O14" i="18"/>
  <c r="O15" i="18"/>
  <c r="O16" i="18"/>
  <c r="O13" i="18"/>
  <c r="O19" i="18" s="1"/>
  <c r="V125" i="1"/>
  <c r="V129" i="1" s="1"/>
  <c r="S7" i="14"/>
  <c r="S8" i="14"/>
  <c r="S9" i="14"/>
  <c r="S10" i="14"/>
  <c r="S11" i="14"/>
  <c r="S12" i="14"/>
  <c r="AQ70" i="1"/>
  <c r="AP77" i="1"/>
  <c r="M62" i="8"/>
  <c r="M61" i="8"/>
  <c r="G59" i="8"/>
  <c r="N113" i="1" l="1"/>
  <c r="L76" i="20"/>
  <c r="M76" i="20" s="1"/>
  <c r="N76" i="20" s="1"/>
  <c r="DJ48" i="20"/>
  <c r="DP138" i="1"/>
  <c r="L96" i="1"/>
  <c r="DJ96" i="1"/>
  <c r="DI96" i="1"/>
  <c r="DO96" i="1"/>
  <c r="L143" i="1"/>
  <c r="DO143" i="1"/>
  <c r="DP143" i="1" s="1"/>
  <c r="AQ77" i="1"/>
  <c r="AP78" i="1"/>
  <c r="W125" i="1"/>
  <c r="X125" i="1" s="1"/>
  <c r="X129" i="1" s="1"/>
  <c r="N117" i="1"/>
  <c r="O113" i="1"/>
  <c r="P113" i="1" s="1"/>
  <c r="P117" i="1" s="1"/>
  <c r="BR66" i="1"/>
  <c r="BS66" i="1" s="1"/>
  <c r="BT66" i="1" s="1"/>
  <c r="O214" i="4"/>
  <c r="O213" i="4"/>
  <c r="BR64" i="1"/>
  <c r="BR60" i="1"/>
  <c r="BS60" i="1" s="1"/>
  <c r="BT60" i="1" s="1"/>
  <c r="O212" i="4"/>
  <c r="W136" i="4"/>
  <c r="W137" i="4"/>
  <c r="W138" i="4"/>
  <c r="W139" i="4"/>
  <c r="W140" i="4"/>
  <c r="W141" i="4"/>
  <c r="W142" i="4"/>
  <c r="W143" i="4"/>
  <c r="W144" i="4"/>
  <c r="W145" i="4"/>
  <c r="M258" i="4"/>
  <c r="M259" i="4"/>
  <c r="M257" i="4"/>
  <c r="DJ49" i="20" l="1"/>
  <c r="DK49" i="20" s="1"/>
  <c r="DK48" i="20"/>
  <c r="DP96" i="1"/>
  <c r="AQ78" i="1"/>
  <c r="DJ77" i="1"/>
  <c r="BS64" i="1"/>
  <c r="BS68" i="1" s="1"/>
  <c r="DO77" i="1"/>
  <c r="BR68" i="1"/>
  <c r="AR77" i="1"/>
  <c r="AR78" i="1" s="1"/>
  <c r="AL99" i="1"/>
  <c r="U25" i="11"/>
  <c r="U26" i="11"/>
  <c r="U27" i="11"/>
  <c r="U28" i="11"/>
  <c r="U29" i="11"/>
  <c r="U30" i="11"/>
  <c r="J25" i="11"/>
  <c r="J26" i="11"/>
  <c r="J27" i="11"/>
  <c r="J28" i="11"/>
  <c r="J29" i="11"/>
  <c r="J30" i="11"/>
  <c r="J31" i="11"/>
  <c r="O61" i="11"/>
  <c r="O62" i="11"/>
  <c r="O63" i="11"/>
  <c r="O64" i="11"/>
  <c r="O65" i="11"/>
  <c r="O60" i="11"/>
  <c r="J61" i="11"/>
  <c r="J62" i="11"/>
  <c r="J63" i="11"/>
  <c r="J64" i="11"/>
  <c r="J65" i="11"/>
  <c r="J60" i="11"/>
  <c r="O66" i="11" l="1"/>
  <c r="DJ50" i="20"/>
  <c r="BT64" i="1"/>
  <c r="DO64" i="1" s="1"/>
  <c r="DI64" i="1"/>
  <c r="DJ64" i="1"/>
  <c r="DI77" i="1"/>
  <c r="DP77" i="1" s="1"/>
  <c r="BT68" i="1"/>
  <c r="AM99" i="1"/>
  <c r="AN99" i="1" s="1"/>
  <c r="DN120" i="1"/>
  <c r="DF119" i="1"/>
  <c r="DL119" i="1" s="1"/>
  <c r="O17" i="17"/>
  <c r="O13" i="17"/>
  <c r="O14" i="17"/>
  <c r="O15" i="17"/>
  <c r="O16" i="17"/>
  <c r="O18" i="17"/>
  <c r="N119" i="1" l="1"/>
  <c r="N123" i="1" s="1"/>
  <c r="M81" i="20"/>
  <c r="N81" i="20" s="1"/>
  <c r="AL103" i="1"/>
  <c r="AJ70" i="20"/>
  <c r="AK70" i="20" s="1"/>
  <c r="AL70" i="20" s="1"/>
  <c r="DJ51" i="20"/>
  <c r="DK51" i="20" s="1"/>
  <c r="DK50" i="20"/>
  <c r="DP64" i="1"/>
  <c r="DG119" i="1"/>
  <c r="DH119" i="1"/>
  <c r="DI30" i="1"/>
  <c r="O119" i="1" l="1"/>
  <c r="P119" i="1" s="1"/>
  <c r="P123" i="1" s="1"/>
  <c r="AM103" i="1"/>
  <c r="AN103" i="1"/>
  <c r="AN105" i="1" s="1"/>
  <c r="AL105" i="1"/>
  <c r="DJ52" i="20"/>
  <c r="DF114" i="1"/>
  <c r="J21" i="8"/>
  <c r="M21" i="8"/>
  <c r="J20" i="8"/>
  <c r="M20" i="8"/>
  <c r="J19" i="8"/>
  <c r="M19" i="8"/>
  <c r="J18" i="8"/>
  <c r="M18" i="8"/>
  <c r="DI76" i="1"/>
  <c r="X56" i="8"/>
  <c r="X57" i="8"/>
  <c r="X58" i="8"/>
  <c r="X55" i="8"/>
  <c r="W44" i="8"/>
  <c r="W45" i="8"/>
  <c r="W46" i="8"/>
  <c r="W43" i="8"/>
  <c r="U8" i="8"/>
  <c r="U9" i="8"/>
  <c r="U10" i="8"/>
  <c r="U7" i="8"/>
  <c r="O12" i="14"/>
  <c r="M12" i="14"/>
  <c r="K95" i="1"/>
  <c r="S26" i="11"/>
  <c r="S27" i="11"/>
  <c r="S28" i="11"/>
  <c r="S25" i="11"/>
  <c r="DJ53" i="20" l="1"/>
  <c r="DK53" i="20" s="1"/>
  <c r="DK52" i="20"/>
  <c r="L95" i="1"/>
  <c r="DJ95" i="1"/>
  <c r="DI95" i="1"/>
  <c r="DO95" i="1"/>
  <c r="S31" i="11"/>
  <c r="AB66" i="20" s="1"/>
  <c r="AC66" i="20" s="1"/>
  <c r="AD66" i="20" s="1"/>
  <c r="DL114" i="1"/>
  <c r="DG114" i="1"/>
  <c r="M13" i="17"/>
  <c r="M14" i="17"/>
  <c r="M15" i="17"/>
  <c r="M16" i="17"/>
  <c r="M17" i="17"/>
  <c r="M30" i="18"/>
  <c r="M29" i="18"/>
  <c r="M28" i="18"/>
  <c r="M27" i="18"/>
  <c r="M26" i="18"/>
  <c r="M25" i="18"/>
  <c r="M31" i="18" s="1"/>
  <c r="M14" i="18"/>
  <c r="M15" i="18"/>
  <c r="M16" i="18"/>
  <c r="M17" i="18"/>
  <c r="M13" i="18"/>
  <c r="Y36" i="11"/>
  <c r="Y37" i="11"/>
  <c r="Y38" i="11"/>
  <c r="Y39" i="11"/>
  <c r="Y40" i="11"/>
  <c r="Y41" i="11"/>
  <c r="Y49" i="11"/>
  <c r="Y50" i="11"/>
  <c r="Y51" i="11"/>
  <c r="Y52" i="11"/>
  <c r="Y53" i="11"/>
  <c r="Y54" i="11"/>
  <c r="M61" i="11"/>
  <c r="M62" i="11"/>
  <c r="M63" i="11"/>
  <c r="M64" i="11"/>
  <c r="M65" i="11"/>
  <c r="M60" i="11"/>
  <c r="M66" i="11" s="1"/>
  <c r="AD99" i="1"/>
  <c r="S29" i="11"/>
  <c r="S30" i="11"/>
  <c r="J114" i="1" l="1"/>
  <c r="H77" i="20"/>
  <c r="AH103" i="1"/>
  <c r="AF70" i="20"/>
  <c r="M19" i="18"/>
  <c r="DJ54" i="20"/>
  <c r="DK54" i="20" s="1"/>
  <c r="DP95" i="1"/>
  <c r="AI103" i="1"/>
  <c r="Y55" i="11"/>
  <c r="M18" i="17"/>
  <c r="H81" i="20" s="1"/>
  <c r="DH114" i="1"/>
  <c r="K114" i="1"/>
  <c r="AD105" i="1"/>
  <c r="Y42" i="11"/>
  <c r="AE99" i="1"/>
  <c r="W49" i="11"/>
  <c r="W50" i="11"/>
  <c r="W51" i="11"/>
  <c r="W52" i="11"/>
  <c r="W53" i="11"/>
  <c r="W54" i="11"/>
  <c r="W37" i="11"/>
  <c r="W38" i="11"/>
  <c r="W39" i="11"/>
  <c r="W40" i="11"/>
  <c r="W41" i="11"/>
  <c r="W36" i="11"/>
  <c r="R125" i="1"/>
  <c r="Q8" i="14"/>
  <c r="Q9" i="14"/>
  <c r="Q10" i="14"/>
  <c r="Q11" i="14"/>
  <c r="Q12" i="14"/>
  <c r="Q7" i="14"/>
  <c r="O7" i="14"/>
  <c r="O8" i="14"/>
  <c r="O9" i="14"/>
  <c r="O10" i="14"/>
  <c r="O11" i="14"/>
  <c r="Y46" i="8"/>
  <c r="U59" i="8" s="1"/>
  <c r="Y44" i="8"/>
  <c r="U57" i="8" s="1"/>
  <c r="Y45" i="8"/>
  <c r="U58" i="8" s="1"/>
  <c r="Y43" i="8"/>
  <c r="U56" i="8" s="1"/>
  <c r="X47" i="8"/>
  <c r="X48" i="8"/>
  <c r="X50" i="8"/>
  <c r="X51" i="8"/>
  <c r="X52" i="8"/>
  <c r="W54" i="8"/>
  <c r="J46" i="8"/>
  <c r="U46" i="8"/>
  <c r="W50" i="8"/>
  <c r="W47" i="8"/>
  <c r="W48" i="8"/>
  <c r="W49" i="8"/>
  <c r="W7" i="8"/>
  <c r="W8" i="8"/>
  <c r="W9" i="8"/>
  <c r="W10" i="8"/>
  <c r="W11" i="8"/>
  <c r="W12" i="8"/>
  <c r="W13" i="8"/>
  <c r="W14" i="8"/>
  <c r="W15" i="8"/>
  <c r="W16" i="8"/>
  <c r="J119" i="1" l="1"/>
  <c r="K119" i="1" s="1"/>
  <c r="AH101" i="1"/>
  <c r="AF68" i="20"/>
  <c r="AG68" i="20" s="1"/>
  <c r="AH68" i="20" s="1"/>
  <c r="AH102" i="1"/>
  <c r="AI102" i="1" s="1"/>
  <c r="AJ102" i="1" s="1"/>
  <c r="AF69" i="20"/>
  <c r="AG69" i="20" s="1"/>
  <c r="AH69" i="20" s="1"/>
  <c r="J113" i="1"/>
  <c r="K113" i="1" s="1"/>
  <c r="H76" i="20"/>
  <c r="I77" i="20"/>
  <c r="J77" i="20" s="1"/>
  <c r="AG70" i="20"/>
  <c r="AH70" i="20" s="1"/>
  <c r="DJ55" i="20"/>
  <c r="DK55" i="20" s="1"/>
  <c r="DJ56" i="20"/>
  <c r="L12" i="19" s="1"/>
  <c r="L114" i="1"/>
  <c r="DO114" i="1" s="1"/>
  <c r="DJ114" i="1"/>
  <c r="DI114" i="1"/>
  <c r="L113" i="1"/>
  <c r="DJ113" i="1" s="1"/>
  <c r="DI113" i="1"/>
  <c r="AJ103" i="1"/>
  <c r="DO103" i="1" s="1"/>
  <c r="DO115" i="1"/>
  <c r="DP115" i="1" s="1"/>
  <c r="W17" i="8"/>
  <c r="S125" i="1"/>
  <c r="T125" i="1" s="1"/>
  <c r="AH105" i="1"/>
  <c r="AI101" i="1"/>
  <c r="AJ101" i="1" s="1"/>
  <c r="AF99" i="1"/>
  <c r="AF105" i="1" s="1"/>
  <c r="W55" i="11"/>
  <c r="W42" i="11"/>
  <c r="O13" i="14"/>
  <c r="Y54" i="8"/>
  <c r="AM76" i="1" s="1"/>
  <c r="AN76" i="1" s="1"/>
  <c r="AN78" i="1" s="1"/>
  <c r="AI76" i="1"/>
  <c r="W52" i="8"/>
  <c r="W51" i="8"/>
  <c r="T7" i="15"/>
  <c r="T8" i="15"/>
  <c r="T9" i="15"/>
  <c r="T10" i="15"/>
  <c r="T11" i="15"/>
  <c r="T6" i="15"/>
  <c r="R7" i="15"/>
  <c r="R8" i="15"/>
  <c r="R9" i="15"/>
  <c r="R10" i="15"/>
  <c r="R11" i="15"/>
  <c r="J9" i="1"/>
  <c r="R12" i="15" l="1"/>
  <c r="H73" i="20" s="1"/>
  <c r="DH70" i="20"/>
  <c r="DG70" i="20"/>
  <c r="DK70" i="20" s="1"/>
  <c r="DG77" i="20"/>
  <c r="DK77" i="20" s="1"/>
  <c r="DH77" i="20"/>
  <c r="N125" i="1"/>
  <c r="L84" i="20"/>
  <c r="Z101" i="1"/>
  <c r="X68" i="20"/>
  <c r="L117" i="1"/>
  <c r="I76" i="20"/>
  <c r="J76" i="20" s="1"/>
  <c r="AD74" i="1"/>
  <c r="AE74" i="1" s="1"/>
  <c r="AF74" i="1" s="1"/>
  <c r="AB37" i="20"/>
  <c r="AC37" i="20" s="1"/>
  <c r="AD37" i="20" s="1"/>
  <c r="DO113" i="1"/>
  <c r="DP113" i="1" s="1"/>
  <c r="Z102" i="1"/>
  <c r="AA102" i="1" s="1"/>
  <c r="AB102" i="1" s="1"/>
  <c r="X69" i="20"/>
  <c r="Y69" i="20" s="1"/>
  <c r="Z69" i="20" s="1"/>
  <c r="J117" i="1"/>
  <c r="DO117" i="1" s="1"/>
  <c r="AJ105" i="1"/>
  <c r="DI103" i="1"/>
  <c r="DP103" i="1" s="1"/>
  <c r="I81" i="20"/>
  <c r="J81" i="20" s="1"/>
  <c r="DJ103" i="1"/>
  <c r="DK56" i="20"/>
  <c r="M12" i="19"/>
  <c r="L119" i="1"/>
  <c r="DO119" i="1" s="1"/>
  <c r="DJ119" i="1"/>
  <c r="DI119" i="1"/>
  <c r="DP114" i="1"/>
  <c r="DM114" i="1"/>
  <c r="AJ76" i="1"/>
  <c r="AA101" i="1"/>
  <c r="AB101" i="1" s="1"/>
  <c r="V7" i="15"/>
  <c r="V8" i="15"/>
  <c r="V9" i="15"/>
  <c r="V10" i="15"/>
  <c r="V11" i="15"/>
  <c r="V6" i="15"/>
  <c r="T12" i="15"/>
  <c r="L73" i="20" s="1"/>
  <c r="J11" i="15"/>
  <c r="J7" i="15"/>
  <c r="J8" i="15"/>
  <c r="J9" i="15"/>
  <c r="J10" i="15"/>
  <c r="I12" i="15"/>
  <c r="D11" i="14"/>
  <c r="M243" i="4"/>
  <c r="M244" i="4"/>
  <c r="M242" i="4"/>
  <c r="M247" i="4" s="1"/>
  <c r="M228" i="4"/>
  <c r="M229" i="4"/>
  <c r="M227" i="4"/>
  <c r="M232" i="4" s="1"/>
  <c r="DF66" i="1"/>
  <c r="DF65" i="1"/>
  <c r="M213" i="4"/>
  <c r="M214" i="4"/>
  <c r="M212" i="4"/>
  <c r="M217" i="4" s="1"/>
  <c r="BH33" i="20" s="1"/>
  <c r="J159" i="4"/>
  <c r="W173" i="4"/>
  <c r="W174" i="4"/>
  <c r="W175" i="4"/>
  <c r="W176" i="4"/>
  <c r="W177" i="4"/>
  <c r="W178" i="4"/>
  <c r="W179" i="4"/>
  <c r="W180" i="4"/>
  <c r="W181" i="4"/>
  <c r="W182" i="4"/>
  <c r="O198" i="4"/>
  <c r="O199" i="4"/>
  <c r="O200" i="4"/>
  <c r="O201" i="4"/>
  <c r="O197" i="4"/>
  <c r="M197" i="4"/>
  <c r="I73" i="20" l="1"/>
  <c r="M73" i="20"/>
  <c r="N73" i="20"/>
  <c r="J73" i="20"/>
  <c r="DG73" i="20"/>
  <c r="DG81" i="20"/>
  <c r="K16" i="19" s="1"/>
  <c r="M16" i="19" s="1"/>
  <c r="DH81" i="20"/>
  <c r="DG76" i="20"/>
  <c r="DH76" i="20"/>
  <c r="BN62" i="1"/>
  <c r="BL29" i="20"/>
  <c r="N107" i="1"/>
  <c r="BN63" i="1"/>
  <c r="BN68" i="1" s="1"/>
  <c r="BL30" i="20"/>
  <c r="Y68" i="20"/>
  <c r="Z68" i="20" s="1"/>
  <c r="Z105" i="1"/>
  <c r="BI33" i="20"/>
  <c r="BJ33" i="20" s="1"/>
  <c r="L20" i="19"/>
  <c r="DP119" i="1"/>
  <c r="DM119" i="1"/>
  <c r="BO62" i="1"/>
  <c r="BP62" i="1" s="1"/>
  <c r="DO62" i="1" s="1"/>
  <c r="O202" i="4"/>
  <c r="V12" i="15"/>
  <c r="P73" i="20" s="1"/>
  <c r="Q73" i="20" s="1"/>
  <c r="R73" i="20" s="1"/>
  <c r="DG66" i="1"/>
  <c r="DH66" i="1" s="1"/>
  <c r="DL66" i="1"/>
  <c r="BJ66" i="1"/>
  <c r="AB105" i="1"/>
  <c r="J107" i="1"/>
  <c r="W183" i="4"/>
  <c r="DL65" i="1"/>
  <c r="DF60" i="1"/>
  <c r="DL60" i="1" s="1"/>
  <c r="M198" i="4"/>
  <c r="M199" i="4"/>
  <c r="M200" i="4"/>
  <c r="M201" i="4"/>
  <c r="J140" i="4"/>
  <c r="S202" i="4"/>
  <c r="J95" i="4"/>
  <c r="U136" i="4"/>
  <c r="U137" i="4"/>
  <c r="U138" i="4"/>
  <c r="U139" i="4"/>
  <c r="U140" i="4"/>
  <c r="U141" i="4"/>
  <c r="U142" i="4"/>
  <c r="U143" i="4"/>
  <c r="K13" i="19" l="1"/>
  <c r="M13" i="19" s="1"/>
  <c r="DK73" i="20"/>
  <c r="BO63" i="1"/>
  <c r="DH33" i="20"/>
  <c r="DG33" i="20"/>
  <c r="DK33" i="20" s="1"/>
  <c r="DK81" i="20"/>
  <c r="BJ65" i="1"/>
  <c r="BK65" i="1" s="1"/>
  <c r="BL65" i="1" s="1"/>
  <c r="BH32" i="20"/>
  <c r="BI32" i="20" s="1"/>
  <c r="BJ32" i="20" s="1"/>
  <c r="BM29" i="20"/>
  <c r="BN29" i="20" s="1"/>
  <c r="BJ61" i="1"/>
  <c r="BJ68" i="1" s="1"/>
  <c r="BK68" i="1" s="1"/>
  <c r="BH28" i="20"/>
  <c r="BI28" i="20" s="1"/>
  <c r="BJ28" i="20" s="1"/>
  <c r="BM30" i="20"/>
  <c r="BN30" i="20" s="1"/>
  <c r="R107" i="1"/>
  <c r="S107" i="1" s="1"/>
  <c r="T107" i="1" s="1"/>
  <c r="K15" i="19"/>
  <c r="M15" i="19" s="1"/>
  <c r="DK76" i="20"/>
  <c r="BP63" i="1"/>
  <c r="DO63" i="1" s="1"/>
  <c r="DI62" i="1"/>
  <c r="DP62" i="1" s="1"/>
  <c r="DJ62" i="1"/>
  <c r="U146" i="4"/>
  <c r="BD27" i="20" s="1"/>
  <c r="BE27" i="20" s="1"/>
  <c r="BF27" i="20" s="1"/>
  <c r="BK66" i="1"/>
  <c r="BO68" i="1"/>
  <c r="BP68" i="1" s="1"/>
  <c r="O107" i="1"/>
  <c r="M202" i="4"/>
  <c r="K107" i="1"/>
  <c r="P107" i="1" s="1"/>
  <c r="DG65" i="1"/>
  <c r="DH65" i="1" s="1"/>
  <c r="M19" i="1"/>
  <c r="L19" i="1"/>
  <c r="BK61" i="1" l="1"/>
  <c r="BL61" i="1" s="1"/>
  <c r="DI107" i="1"/>
  <c r="DH30" i="20"/>
  <c r="DG30" i="20"/>
  <c r="DK30" i="20" s="1"/>
  <c r="DH29" i="20"/>
  <c r="DG29" i="20"/>
  <c r="DK29" i="20" s="1"/>
  <c r="DH73" i="20"/>
  <c r="BF60" i="1"/>
  <c r="BG60" i="1" s="1"/>
  <c r="BH60" i="1" s="1"/>
  <c r="BF65" i="1"/>
  <c r="BG65" i="1" s="1"/>
  <c r="BD32" i="20"/>
  <c r="DI63" i="1"/>
  <c r="DP63" i="1" s="1"/>
  <c r="DJ63" i="1"/>
  <c r="BH65" i="1"/>
  <c r="DJ65" i="1"/>
  <c r="DI65" i="1"/>
  <c r="DO65" i="1"/>
  <c r="BL66" i="1"/>
  <c r="DO66" i="1" s="1"/>
  <c r="DI66" i="1"/>
  <c r="DJ66" i="1"/>
  <c r="DO107" i="1"/>
  <c r="DP107" i="1" s="1"/>
  <c r="L107" i="1"/>
  <c r="DJ107" i="1" s="1"/>
  <c r="J12" i="1"/>
  <c r="J11" i="1"/>
  <c r="DF64" i="1"/>
  <c r="DF63" i="1"/>
  <c r="DF62" i="1"/>
  <c r="K94" i="1"/>
  <c r="K93" i="1"/>
  <c r="BH68" i="1" l="1"/>
  <c r="BF68" i="1"/>
  <c r="BE32" i="20"/>
  <c r="BF32" i="20" s="1"/>
  <c r="DP66" i="1"/>
  <c r="DM66" i="1"/>
  <c r="BL68" i="1"/>
  <c r="L93" i="1"/>
  <c r="DO93" i="1"/>
  <c r="DJ93" i="1"/>
  <c r="DI93" i="1"/>
  <c r="L94" i="1"/>
  <c r="DJ94" i="1"/>
  <c r="DO94" i="1"/>
  <c r="DI94" i="1"/>
  <c r="DP65" i="1"/>
  <c r="DM65" i="1"/>
  <c r="DG62" i="1"/>
  <c r="DH62" i="1" s="1"/>
  <c r="DL62" i="1"/>
  <c r="DM62" i="1" s="1"/>
  <c r="DG63" i="1"/>
  <c r="DH63" i="1" s="1"/>
  <c r="DL63" i="1"/>
  <c r="DM63" i="1" s="1"/>
  <c r="DL64" i="1"/>
  <c r="DM64" i="1" s="1"/>
  <c r="DG64" i="1"/>
  <c r="DH64" i="1" s="1"/>
  <c r="J12" i="14"/>
  <c r="D12" i="14"/>
  <c r="DH32" i="20" l="1"/>
  <c r="DG32" i="20"/>
  <c r="DK32" i="20" s="1"/>
  <c r="DP93" i="1"/>
  <c r="DP94" i="1"/>
  <c r="U50" i="11"/>
  <c r="U51" i="11"/>
  <c r="U52" i="11"/>
  <c r="U53" i="11"/>
  <c r="U54" i="11"/>
  <c r="U49" i="11"/>
  <c r="U37" i="11"/>
  <c r="U38" i="11"/>
  <c r="U39" i="11"/>
  <c r="U40" i="11"/>
  <c r="U41" i="11"/>
  <c r="U36" i="11"/>
  <c r="U42" i="11" l="1"/>
  <c r="U55" i="11"/>
  <c r="H10" i="1"/>
  <c r="H8" i="1"/>
  <c r="H13" i="1"/>
  <c r="H19" i="1"/>
  <c r="H18" i="1"/>
  <c r="H17" i="1"/>
  <c r="D16" i="4" l="1"/>
  <c r="D15" i="4"/>
  <c r="D14" i="4"/>
  <c r="D13" i="4"/>
  <c r="D12" i="4"/>
  <c r="S37" i="11" l="1"/>
  <c r="S38" i="11"/>
  <c r="S39" i="11"/>
  <c r="S40" i="11"/>
  <c r="S41" i="11"/>
  <c r="S36" i="11"/>
  <c r="S50" i="11"/>
  <c r="S51" i="11"/>
  <c r="S52" i="11"/>
  <c r="S53" i="11"/>
  <c r="S54" i="11"/>
  <c r="S49" i="11"/>
  <c r="S55" i="11" l="1"/>
  <c r="S42" i="11"/>
  <c r="V101" i="1" l="1"/>
  <c r="W101" i="1" s="1"/>
  <c r="X101" i="1" s="1"/>
  <c r="T68" i="20"/>
  <c r="U68" i="20" s="1"/>
  <c r="V68" i="20" s="1"/>
  <c r="V102" i="1"/>
  <c r="W102" i="1" s="1"/>
  <c r="X102" i="1" s="1"/>
  <c r="X105" i="1" s="1"/>
  <c r="T69" i="20"/>
  <c r="U69" i="20" s="1"/>
  <c r="V69" i="20" s="1"/>
  <c r="K85" i="1"/>
  <c r="V105" i="1" l="1"/>
  <c r="L85" i="1"/>
  <c r="DO85" i="1"/>
  <c r="DJ85" i="1"/>
  <c r="DI85" i="1"/>
  <c r="DP85" i="1" s="1"/>
  <c r="DL125" i="1"/>
  <c r="DF107" i="1"/>
  <c r="DL107" i="1" s="1"/>
  <c r="DF113" i="1"/>
  <c r="DF103" i="1"/>
  <c r="DL103" i="1" s="1"/>
  <c r="DF76" i="1"/>
  <c r="DL76" i="1" s="1"/>
  <c r="J15" i="1"/>
  <c r="L14" i="1"/>
  <c r="K92" i="1"/>
  <c r="K91" i="1"/>
  <c r="J8" i="7"/>
  <c r="J9" i="7"/>
  <c r="J10" i="7"/>
  <c r="J7" i="7"/>
  <c r="H8" i="7"/>
  <c r="H9" i="7"/>
  <c r="H10" i="7"/>
  <c r="H7" i="7"/>
  <c r="R50" i="6"/>
  <c r="R51" i="6"/>
  <c r="R52" i="6"/>
  <c r="R53" i="6"/>
  <c r="R54" i="6"/>
  <c r="R55" i="6"/>
  <c r="R56" i="6"/>
  <c r="R49" i="6"/>
  <c r="L92" i="1" l="1"/>
  <c r="DJ92" i="1"/>
  <c r="DO92" i="1"/>
  <c r="DI92" i="1"/>
  <c r="L91" i="1"/>
  <c r="DO91" i="1"/>
  <c r="DI91" i="1"/>
  <c r="DJ91" i="1"/>
  <c r="M14" i="1"/>
  <c r="B14" i="1"/>
  <c r="R57" i="6"/>
  <c r="DL113" i="1"/>
  <c r="DM113" i="1" s="1"/>
  <c r="DF117" i="1"/>
  <c r="DM107" i="1"/>
  <c r="H11" i="7"/>
  <c r="L41" i="20" s="1"/>
  <c r="J11" i="7"/>
  <c r="P41" i="20" s="1"/>
  <c r="Q41" i="20" s="1"/>
  <c r="R41" i="20" s="1"/>
  <c r="DG125" i="1"/>
  <c r="DG107" i="1"/>
  <c r="DH107" i="1" s="1"/>
  <c r="DG113" i="1"/>
  <c r="DG103" i="1"/>
  <c r="DH103" i="1" s="1"/>
  <c r="DG76" i="1"/>
  <c r="DH76" i="1" s="1"/>
  <c r="R5" i="6"/>
  <c r="R6" i="6"/>
  <c r="R7" i="6"/>
  <c r="R8" i="6"/>
  <c r="R9" i="6"/>
  <c r="R10" i="6"/>
  <c r="R11" i="6"/>
  <c r="R4" i="6"/>
  <c r="R25" i="6"/>
  <c r="R20" i="6"/>
  <c r="R21" i="6"/>
  <c r="R22" i="6"/>
  <c r="R23" i="6"/>
  <c r="R24" i="6"/>
  <c r="R19" i="6"/>
  <c r="DP91" i="1" l="1"/>
  <c r="M41" i="20"/>
  <c r="N41" i="20" s="1"/>
  <c r="AD47" i="1"/>
  <c r="AE47" i="1" s="1"/>
  <c r="AF47" i="1" s="1"/>
  <c r="AB17" i="20"/>
  <c r="AC17" i="20" s="1"/>
  <c r="AD17" i="20" s="1"/>
  <c r="DP92" i="1"/>
  <c r="DH125" i="1"/>
  <c r="DG129" i="1"/>
  <c r="DL117" i="1"/>
  <c r="DH113" i="1"/>
  <c r="J12" i="7"/>
  <c r="J13" i="7" s="1"/>
  <c r="R80" i="1"/>
  <c r="S80" i="1" s="1"/>
  <c r="T80" i="1" s="1"/>
  <c r="H12" i="7"/>
  <c r="H13" i="7" s="1"/>
  <c r="N80" i="1"/>
  <c r="O80" i="1" s="1"/>
  <c r="P80" i="1" s="1"/>
  <c r="R27" i="6"/>
  <c r="R12" i="6"/>
  <c r="AD44" i="1" l="1"/>
  <c r="AB14" i="20"/>
  <c r="AC14" i="20" s="1"/>
  <c r="AD14" i="20" s="1"/>
  <c r="AD45" i="1"/>
  <c r="AE45" i="1" s="1"/>
  <c r="AF45" i="1" s="1"/>
  <c r="AB15" i="20"/>
  <c r="AC15" i="20" s="1"/>
  <c r="AD15" i="20" s="1"/>
  <c r="AE44" i="1"/>
  <c r="AF44" i="1" s="1"/>
  <c r="R35" i="6"/>
  <c r="R36" i="6"/>
  <c r="R37" i="6"/>
  <c r="R38" i="6"/>
  <c r="R39" i="6"/>
  <c r="R40" i="6"/>
  <c r="R41" i="6"/>
  <c r="AA76" i="1"/>
  <c r="U17" i="8"/>
  <c r="U44" i="8"/>
  <c r="U45" i="8"/>
  <c r="U47" i="8"/>
  <c r="U48" i="8"/>
  <c r="U49" i="8"/>
  <c r="U50" i="8"/>
  <c r="U43" i="8"/>
  <c r="S8" i="8"/>
  <c r="S9" i="8"/>
  <c r="S10" i="8"/>
  <c r="S7" i="8"/>
  <c r="S27" i="8"/>
  <c r="S28" i="8"/>
  <c r="S29" i="8"/>
  <c r="S26" i="8"/>
  <c r="Q8" i="8"/>
  <c r="Q9" i="8"/>
  <c r="Q10" i="8"/>
  <c r="Q7" i="8"/>
  <c r="P36" i="8"/>
  <c r="Q27" i="8"/>
  <c r="Q28" i="8"/>
  <c r="Q29" i="8"/>
  <c r="Q30" i="8"/>
  <c r="Q26" i="8"/>
  <c r="S53" i="8"/>
  <c r="R53" i="8"/>
  <c r="J45" i="8"/>
  <c r="J44" i="8"/>
  <c r="J43" i="8"/>
  <c r="T101" i="4"/>
  <c r="U96" i="4"/>
  <c r="U97" i="4"/>
  <c r="U98" i="4"/>
  <c r="U95" i="4"/>
  <c r="V101" i="4"/>
  <c r="AA96" i="4"/>
  <c r="AA97" i="4"/>
  <c r="AA98" i="4"/>
  <c r="AA95" i="4"/>
  <c r="W96" i="4"/>
  <c r="W97" i="4"/>
  <c r="W98" i="4"/>
  <c r="W95" i="4"/>
  <c r="Y96" i="4"/>
  <c r="Y97" i="4"/>
  <c r="Y98" i="4"/>
  <c r="Y95" i="4"/>
  <c r="X101" i="4"/>
  <c r="Y92" i="4"/>
  <c r="Y91" i="4"/>
  <c r="W93" i="4"/>
  <c r="W92" i="4"/>
  <c r="W91" i="4"/>
  <c r="U93" i="4"/>
  <c r="U92" i="4"/>
  <c r="U91" i="4"/>
  <c r="Z74" i="1" l="1"/>
  <c r="AA74" i="1" s="1"/>
  <c r="AB74" i="1" s="1"/>
  <c r="X37" i="20"/>
  <c r="AB76" i="1"/>
  <c r="DJ76" i="1" s="1"/>
  <c r="DO76" i="1"/>
  <c r="DP76" i="1" s="1"/>
  <c r="U53" i="8"/>
  <c r="Q36" i="8"/>
  <c r="W101" i="4"/>
  <c r="U101" i="4"/>
  <c r="Y101" i="4"/>
  <c r="R42" i="6"/>
  <c r="Q50" i="11"/>
  <c r="Q51" i="11"/>
  <c r="Q52" i="11"/>
  <c r="Q53" i="11"/>
  <c r="Q54" i="11"/>
  <c r="Q49" i="11"/>
  <c r="Q55" i="11" s="1"/>
  <c r="Q37" i="11"/>
  <c r="Q38" i="11"/>
  <c r="Q39" i="11"/>
  <c r="Q40" i="11"/>
  <c r="Q41" i="11"/>
  <c r="Q36" i="11"/>
  <c r="O25" i="11"/>
  <c r="O26" i="11"/>
  <c r="O27" i="11"/>
  <c r="O28" i="11"/>
  <c r="O29" i="11"/>
  <c r="O30" i="11"/>
  <c r="O12" i="11"/>
  <c r="O11" i="11"/>
  <c r="O51" i="11"/>
  <c r="O50" i="11"/>
  <c r="O49" i="11"/>
  <c r="O38" i="11"/>
  <c r="O37" i="11"/>
  <c r="O36" i="11"/>
  <c r="R102" i="1" l="1"/>
  <c r="P69" i="20"/>
  <c r="BB57" i="1"/>
  <c r="AZ24" i="20"/>
  <c r="BA24" i="20" s="1"/>
  <c r="BB24" i="20" s="1"/>
  <c r="AT57" i="1"/>
  <c r="AR24" i="20"/>
  <c r="AS24" i="20" s="1"/>
  <c r="AT24" i="20" s="1"/>
  <c r="AD46" i="1"/>
  <c r="AB16" i="20"/>
  <c r="AC16" i="20" s="1"/>
  <c r="AD16" i="20" s="1"/>
  <c r="AX57" i="1"/>
  <c r="AV24" i="20"/>
  <c r="AW24" i="20" s="1"/>
  <c r="AX24" i="20" s="1"/>
  <c r="R75" i="1"/>
  <c r="P38" i="20"/>
  <c r="Q38" i="20" s="1"/>
  <c r="R38" i="20" s="1"/>
  <c r="Y37" i="20"/>
  <c r="Z37" i="20" s="1"/>
  <c r="DO102" i="1"/>
  <c r="Q42" i="11"/>
  <c r="O31" i="11"/>
  <c r="L66" i="20" s="1"/>
  <c r="M66" i="20" s="1"/>
  <c r="N66" i="20" s="1"/>
  <c r="AE46" i="1"/>
  <c r="AF46" i="1" s="1"/>
  <c r="BC57" i="1"/>
  <c r="BD57" i="1" s="1"/>
  <c r="BD68" i="1" s="1"/>
  <c r="BB68" i="1"/>
  <c r="S102" i="1"/>
  <c r="T102" i="1" s="1"/>
  <c r="H130" i="1"/>
  <c r="H124" i="1"/>
  <c r="J18" i="1" s="1"/>
  <c r="H118" i="1"/>
  <c r="H112" i="1"/>
  <c r="J17" i="1" s="1"/>
  <c r="K19" i="1"/>
  <c r="R101" i="1" l="1"/>
  <c r="P68" i="20"/>
  <c r="Q69" i="20"/>
  <c r="R69" i="20" s="1"/>
  <c r="S101" i="1"/>
  <c r="T101" i="1" s="1"/>
  <c r="T105" i="1" s="1"/>
  <c r="T129" i="1" s="1"/>
  <c r="DO101" i="1"/>
  <c r="DP101" i="1" s="1"/>
  <c r="R105" i="1"/>
  <c r="R129" i="1" s="1"/>
  <c r="DI101" i="1"/>
  <c r="N99" i="1"/>
  <c r="O99" i="1" s="1"/>
  <c r="P99" i="1" s="1"/>
  <c r="K18" i="1"/>
  <c r="K17" i="1"/>
  <c r="DH69" i="20" l="1"/>
  <c r="DG69" i="20"/>
  <c r="DK69" i="20" s="1"/>
  <c r="Q68" i="20"/>
  <c r="R68" i="20" s="1"/>
  <c r="DG68" i="20" s="1"/>
  <c r="DK68" i="20" s="1"/>
  <c r="H106" i="1"/>
  <c r="K15" i="1"/>
  <c r="DH68" i="20" l="1"/>
  <c r="DJ102" i="1"/>
  <c r="DJ101" i="1"/>
  <c r="K90" i="1"/>
  <c r="K89" i="1"/>
  <c r="K88" i="1"/>
  <c r="L88" i="1" l="1"/>
  <c r="DJ88" i="1"/>
  <c r="DO88" i="1"/>
  <c r="DI88" i="1"/>
  <c r="DP88" i="1" s="1"/>
  <c r="L89" i="1"/>
  <c r="DO89" i="1" s="1"/>
  <c r="DI89" i="1"/>
  <c r="DJ89" i="1"/>
  <c r="L90" i="1"/>
  <c r="DJ90" i="1"/>
  <c r="DI90" i="1"/>
  <c r="DO90" i="1"/>
  <c r="M30" i="11"/>
  <c r="M29" i="11"/>
  <c r="M28" i="11"/>
  <c r="M27" i="11"/>
  <c r="M26" i="11"/>
  <c r="M25" i="11"/>
  <c r="J15" i="11"/>
  <c r="M10" i="11"/>
  <c r="M11" i="11"/>
  <c r="M12" i="11"/>
  <c r="M13" i="11"/>
  <c r="M14" i="11"/>
  <c r="M9" i="11"/>
  <c r="D13" i="11"/>
  <c r="D14" i="11"/>
  <c r="J14" i="11"/>
  <c r="J13" i="11"/>
  <c r="J12" i="11"/>
  <c r="J11" i="11"/>
  <c r="O10" i="11"/>
  <c r="J10" i="11"/>
  <c r="O9" i="11"/>
  <c r="O15" i="11" s="1"/>
  <c r="J9" i="11"/>
  <c r="DP89" i="1" l="1"/>
  <c r="N100" i="1"/>
  <c r="L67" i="20"/>
  <c r="M67" i="20" s="1"/>
  <c r="N67" i="20" s="1"/>
  <c r="DP90" i="1"/>
  <c r="M15" i="11"/>
  <c r="O100" i="1"/>
  <c r="P100" i="1" s="1"/>
  <c r="P105" i="1" s="1"/>
  <c r="N105" i="1"/>
  <c r="N129" i="1" s="1"/>
  <c r="M31" i="11"/>
  <c r="H66" i="20" s="1"/>
  <c r="I66" i="20" l="1"/>
  <c r="J66" i="20" s="1"/>
  <c r="J100" i="1"/>
  <c r="H67" i="20"/>
  <c r="K100" i="1"/>
  <c r="L100" i="1" s="1"/>
  <c r="DO100" i="1"/>
  <c r="J99" i="1"/>
  <c r="M32" i="11"/>
  <c r="DJ100" i="1"/>
  <c r="DI102" i="1"/>
  <c r="DP102" i="1" s="1"/>
  <c r="DF102" i="1"/>
  <c r="DG102" i="1" s="1"/>
  <c r="DH102" i="1" s="1"/>
  <c r="DF101" i="1"/>
  <c r="DL101" i="1" s="1"/>
  <c r="DH66" i="20" l="1"/>
  <c r="DG66" i="20"/>
  <c r="DK66" i="20" s="1"/>
  <c r="I67" i="20"/>
  <c r="J67" i="20" s="1"/>
  <c r="K99" i="1"/>
  <c r="J123" i="1"/>
  <c r="J105" i="1"/>
  <c r="DL102" i="1"/>
  <c r="DM102" i="1" s="1"/>
  <c r="DM101" i="1"/>
  <c r="DG101" i="1"/>
  <c r="DH101" i="1" s="1"/>
  <c r="D24" i="4"/>
  <c r="D22" i="4"/>
  <c r="S178" i="4"/>
  <c r="S177" i="4"/>
  <c r="S182" i="4"/>
  <c r="S181" i="4"/>
  <c r="J178" i="4"/>
  <c r="J177" i="4"/>
  <c r="S176" i="4"/>
  <c r="S183" i="4" s="1"/>
  <c r="AN28" i="20" s="1"/>
  <c r="M176" i="4"/>
  <c r="J176" i="4"/>
  <c r="O175" i="4"/>
  <c r="M175" i="4"/>
  <c r="J175" i="4"/>
  <c r="O174" i="4"/>
  <c r="M174" i="4"/>
  <c r="J174" i="4"/>
  <c r="O173" i="4"/>
  <c r="M173" i="4"/>
  <c r="J173" i="4"/>
  <c r="DG67" i="20" l="1"/>
  <c r="DK67" i="20" s="1"/>
  <c r="DH67" i="20"/>
  <c r="AO28" i="20"/>
  <c r="AP28" i="20" s="1"/>
  <c r="L99" i="1"/>
  <c r="DO99" i="1" s="1"/>
  <c r="DI99" i="1"/>
  <c r="DJ99" i="1"/>
  <c r="DO123" i="1"/>
  <c r="L123" i="1"/>
  <c r="L105" i="1" s="1"/>
  <c r="DO105" i="1" s="1"/>
  <c r="AP61" i="1"/>
  <c r="DG28" i="20" l="1"/>
  <c r="DK28" i="20" s="1"/>
  <c r="DH28" i="20"/>
  <c r="K10" i="19"/>
  <c r="M10" i="19" s="1"/>
  <c r="DP99" i="1"/>
  <c r="J26" i="4"/>
  <c r="H50" i="1" l="1"/>
  <c r="P35" i="6" l="1"/>
  <c r="P36" i="6"/>
  <c r="P37" i="6"/>
  <c r="P38" i="6"/>
  <c r="P39" i="6"/>
  <c r="P40" i="6"/>
  <c r="P41" i="6"/>
  <c r="P34" i="6"/>
  <c r="P20" i="6"/>
  <c r="P21" i="6"/>
  <c r="P22" i="6"/>
  <c r="P23" i="6"/>
  <c r="P24" i="6"/>
  <c r="P25" i="6"/>
  <c r="P26" i="6"/>
  <c r="P19" i="6"/>
  <c r="P50" i="6"/>
  <c r="P51" i="6"/>
  <c r="P52" i="6"/>
  <c r="P53" i="6"/>
  <c r="P54" i="6"/>
  <c r="P55" i="6"/>
  <c r="P56" i="6"/>
  <c r="P49" i="6"/>
  <c r="AU70" i="1"/>
  <c r="AV70" i="1" s="1"/>
  <c r="AV72" i="1" s="1"/>
  <c r="AT72" i="1"/>
  <c r="V39" i="5"/>
  <c r="V40" i="5"/>
  <c r="V41" i="5"/>
  <c r="V42" i="5"/>
  <c r="V38" i="5"/>
  <c r="V43" i="5" s="1"/>
  <c r="T37" i="5"/>
  <c r="T38" i="5"/>
  <c r="T39" i="5"/>
  <c r="T40" i="5"/>
  <c r="T41" i="5"/>
  <c r="T42" i="5"/>
  <c r="T36" i="5"/>
  <c r="W26" i="4"/>
  <c r="V32" i="4"/>
  <c r="W31" i="4"/>
  <c r="W30" i="4"/>
  <c r="W25" i="4"/>
  <c r="W24" i="4"/>
  <c r="W23" i="4"/>
  <c r="W22" i="4"/>
  <c r="DI105" i="1"/>
  <c r="DP105" i="1" s="1"/>
  <c r="AT68" i="1"/>
  <c r="AP72" i="1"/>
  <c r="L12" i="1" l="1"/>
  <c r="B12" i="1" s="1"/>
  <c r="P42" i="6"/>
  <c r="P57" i="6"/>
  <c r="P27" i="6"/>
  <c r="V44" i="5"/>
  <c r="V45" i="5" s="1"/>
  <c r="V46" i="5" s="1"/>
  <c r="V47" i="5" s="1"/>
  <c r="T43" i="5"/>
  <c r="T44" i="5" s="1"/>
  <c r="T45" i="5" s="1"/>
  <c r="AJ35" i="20" s="1"/>
  <c r="AK35" i="20" s="1"/>
  <c r="AL35" i="20" s="1"/>
  <c r="W32" i="4"/>
  <c r="DF100" i="1"/>
  <c r="DL100" i="1" s="1"/>
  <c r="AX53" i="1" l="1"/>
  <c r="AX68" i="1" s="1"/>
  <c r="AV20" i="20"/>
  <c r="AW20" i="20" s="1"/>
  <c r="AX20" i="20" s="1"/>
  <c r="Z45" i="1"/>
  <c r="AA45" i="1" s="1"/>
  <c r="AB45" i="1" s="1"/>
  <c r="X15" i="20"/>
  <c r="Y15" i="20" s="1"/>
  <c r="Z15" i="20" s="1"/>
  <c r="Z47" i="1"/>
  <c r="X17" i="20"/>
  <c r="Z46" i="1"/>
  <c r="AA46" i="1" s="1"/>
  <c r="AB46" i="1" s="1"/>
  <c r="X16" i="20"/>
  <c r="Y16" i="20" s="1"/>
  <c r="Z16" i="20" s="1"/>
  <c r="AA47" i="1"/>
  <c r="AB47" i="1" s="1"/>
  <c r="T46" i="5"/>
  <c r="T47" i="5" s="1"/>
  <c r="AL70" i="1"/>
  <c r="DG100" i="1"/>
  <c r="DH100" i="1" s="1"/>
  <c r="AY57" i="1"/>
  <c r="AZ57" i="1" s="1"/>
  <c r="AU57" i="1"/>
  <c r="AV57" i="1" s="1"/>
  <c r="AV68" i="1" s="1"/>
  <c r="S75" i="1"/>
  <c r="T75" i="1" s="1"/>
  <c r="AY53" i="1" l="1"/>
  <c r="AZ53" i="1" s="1"/>
  <c r="AZ68" i="1" s="1"/>
  <c r="Y17" i="20"/>
  <c r="Z17" i="20" s="1"/>
  <c r="AL72" i="1"/>
  <c r="AM70" i="1"/>
  <c r="AN70" i="1" s="1"/>
  <c r="AN72" i="1" s="1"/>
  <c r="DJ47" i="1"/>
  <c r="AR70" i="1"/>
  <c r="AR72" i="1" s="1"/>
  <c r="EC30" i="1"/>
  <c r="EC31" i="1"/>
  <c r="EC32" i="1"/>
  <c r="EC29" i="1"/>
  <c r="DY30" i="1"/>
  <c r="DY31" i="1"/>
  <c r="DY32" i="1"/>
  <c r="DY29" i="1"/>
  <c r="DH17" i="20" l="1"/>
  <c r="DG17" i="20"/>
  <c r="DK17" i="20" s="1"/>
  <c r="DY33" i="1"/>
  <c r="EC33" i="1"/>
  <c r="EA36" i="1" s="1"/>
  <c r="DI145" i="1"/>
  <c r="DS143" i="1"/>
  <c r="DS104" i="1"/>
  <c r="DI100" i="1"/>
  <c r="DP100" i="1" s="1"/>
  <c r="DI98" i="1"/>
  <c r="DP98" i="1" s="1"/>
  <c r="DI82" i="1"/>
  <c r="DP82" i="1" s="1"/>
  <c r="DI79" i="1"/>
  <c r="DP79" i="1" s="1"/>
  <c r="DI71" i="1"/>
  <c r="DP71" i="1" s="1"/>
  <c r="DI61" i="1"/>
  <c r="DP61" i="1" s="1"/>
  <c r="DI50" i="1"/>
  <c r="DP50" i="1" s="1"/>
  <c r="DI48" i="1"/>
  <c r="DP48" i="1" s="1"/>
  <c r="DI47" i="1"/>
  <c r="DP47" i="1" s="1"/>
  <c r="DI43" i="1"/>
  <c r="DI41" i="1"/>
  <c r="DI40" i="1"/>
  <c r="DI39" i="1"/>
  <c r="DI38" i="1"/>
  <c r="DI37" i="1"/>
  <c r="DI36" i="1"/>
  <c r="DI35" i="1"/>
  <c r="DI34" i="1"/>
  <c r="DI33" i="1"/>
  <c r="DI32" i="1"/>
  <c r="DI31" i="1"/>
  <c r="DS29" i="1"/>
  <c r="DN32" i="1"/>
  <c r="DN33" i="1"/>
  <c r="DN31" i="1"/>
  <c r="DN30" i="1"/>
  <c r="DN29" i="1"/>
  <c r="DS144" i="1" l="1"/>
  <c r="DP145" i="1"/>
  <c r="DS35" i="1"/>
  <c r="DS39" i="1"/>
  <c r="DS36" i="1"/>
  <c r="DS32" i="1"/>
  <c r="DS30" i="1"/>
  <c r="DS34" i="1"/>
  <c r="DS145" i="1"/>
  <c r="DS31" i="1"/>
  <c r="DS33" i="1"/>
  <c r="DS40" i="1"/>
  <c r="DS85" i="1"/>
  <c r="DS37" i="1"/>
  <c r="DS95" i="1"/>
  <c r="DS38" i="1"/>
  <c r="DI111" i="1"/>
  <c r="DS98" i="1"/>
  <c r="DS102" i="1"/>
  <c r="DM103" i="1"/>
  <c r="DM76" i="1"/>
  <c r="DS99" i="1"/>
  <c r="DM100" i="1"/>
  <c r="DF99" i="1"/>
  <c r="L15" i="1" l="1"/>
  <c r="DF123" i="1"/>
  <c r="DF105" i="1"/>
  <c r="DG99" i="1"/>
  <c r="DG105" i="1" s="1"/>
  <c r="DL99" i="1"/>
  <c r="DL123" i="1" s="1"/>
  <c r="DM99" i="1" l="1"/>
  <c r="DL105" i="1"/>
  <c r="DH99" i="1"/>
  <c r="O27" i="8"/>
  <c r="O28" i="8"/>
  <c r="O29" i="8"/>
  <c r="O26" i="8"/>
  <c r="R36" i="8"/>
  <c r="N36" i="8"/>
  <c r="X49" i="8" s="1"/>
  <c r="J29" i="8"/>
  <c r="J28" i="8"/>
  <c r="J27" i="8"/>
  <c r="S36" i="8"/>
  <c r="J26" i="8"/>
  <c r="DF61" i="1"/>
  <c r="DG61" i="1" s="1"/>
  <c r="AQ61" i="1"/>
  <c r="AR61" i="1" s="1"/>
  <c r="DJ61" i="1" s="1"/>
  <c r="S164" i="4"/>
  <c r="S163" i="4"/>
  <c r="S162" i="4"/>
  <c r="J162" i="4"/>
  <c r="S161" i="4"/>
  <c r="J161" i="4"/>
  <c r="S160" i="4"/>
  <c r="J160" i="4"/>
  <c r="S159" i="4"/>
  <c r="S158" i="4"/>
  <c r="M158" i="4"/>
  <c r="J158" i="4"/>
  <c r="O157" i="4"/>
  <c r="M157" i="4"/>
  <c r="J157" i="4"/>
  <c r="O156" i="4"/>
  <c r="M156" i="4"/>
  <c r="J156" i="4"/>
  <c r="O155" i="4"/>
  <c r="M155" i="4"/>
  <c r="J155" i="4"/>
  <c r="V75" i="1" l="1"/>
  <c r="W75" i="1" s="1"/>
  <c r="X75" i="1" s="1"/>
  <c r="T38" i="20"/>
  <c r="M12" i="1"/>
  <c r="DH61" i="1"/>
  <c r="DL61" i="1"/>
  <c r="DM61" i="1" s="1"/>
  <c r="O36" i="8"/>
  <c r="S165" i="4"/>
  <c r="BF42" i="1"/>
  <c r="BG35" i="1"/>
  <c r="BH35" i="1" s="1"/>
  <c r="BH42" i="1" s="1"/>
  <c r="U38" i="20" l="1"/>
  <c r="V38" i="20" s="1"/>
  <c r="AP58" i="1"/>
  <c r="DI58" i="1" s="1"/>
  <c r="DP58" i="1" s="1"/>
  <c r="AN25" i="20"/>
  <c r="N75" i="1"/>
  <c r="L38" i="20"/>
  <c r="DI75" i="1"/>
  <c r="DS75" i="1" s="1"/>
  <c r="DO75" i="1"/>
  <c r="DP75" i="1" s="1"/>
  <c r="O75" i="1"/>
  <c r="P75" i="1" s="1"/>
  <c r="DJ75" i="1" s="1"/>
  <c r="N20" i="6"/>
  <c r="N21" i="6"/>
  <c r="N22" i="6"/>
  <c r="N23" i="6"/>
  <c r="N24" i="6"/>
  <c r="N25" i="6"/>
  <c r="N26" i="6"/>
  <c r="N19" i="6"/>
  <c r="N35" i="6"/>
  <c r="N36" i="6"/>
  <c r="N37" i="6"/>
  <c r="N38" i="6"/>
  <c r="N39" i="6"/>
  <c r="N40" i="6"/>
  <c r="N41" i="6"/>
  <c r="N34" i="6"/>
  <c r="M42" i="6"/>
  <c r="K42" i="6"/>
  <c r="L42" i="6"/>
  <c r="M27" i="6"/>
  <c r="K27" i="6"/>
  <c r="L27" i="6"/>
  <c r="N5" i="6"/>
  <c r="N6" i="6"/>
  <c r="N7" i="6"/>
  <c r="N8" i="6"/>
  <c r="N9" i="6"/>
  <c r="N10" i="6"/>
  <c r="N11" i="6"/>
  <c r="N4" i="6"/>
  <c r="M12" i="6"/>
  <c r="J119" i="4"/>
  <c r="J120" i="4"/>
  <c r="J121" i="4"/>
  <c r="J118" i="4"/>
  <c r="S114" i="4"/>
  <c r="S115" i="4"/>
  <c r="S116" i="4"/>
  <c r="S117" i="4"/>
  <c r="S118" i="4"/>
  <c r="S119" i="4"/>
  <c r="S120" i="4"/>
  <c r="S121" i="4"/>
  <c r="S122" i="4"/>
  <c r="S123" i="4"/>
  <c r="S141" i="4"/>
  <c r="S142" i="4"/>
  <c r="S143" i="4"/>
  <c r="S140" i="4"/>
  <c r="J141" i="4"/>
  <c r="J142" i="4"/>
  <c r="J143" i="4"/>
  <c r="S145" i="4"/>
  <c r="S144" i="4"/>
  <c r="S139" i="4"/>
  <c r="S146" i="4" s="1"/>
  <c r="AN27" i="20" s="1"/>
  <c r="J136" i="4"/>
  <c r="M136" i="4"/>
  <c r="O136" i="4"/>
  <c r="J137" i="4"/>
  <c r="M137" i="4"/>
  <c r="O137" i="4"/>
  <c r="J138" i="4"/>
  <c r="M138" i="4"/>
  <c r="O138" i="4"/>
  <c r="J139" i="4"/>
  <c r="M139" i="4"/>
  <c r="J96" i="4"/>
  <c r="J97" i="4"/>
  <c r="J98" i="4"/>
  <c r="S91" i="4"/>
  <c r="S92" i="4"/>
  <c r="S93" i="4"/>
  <c r="S94" i="4"/>
  <c r="S95" i="4"/>
  <c r="S96" i="4"/>
  <c r="S97" i="4"/>
  <c r="S98" i="4"/>
  <c r="S99" i="4"/>
  <c r="S100" i="4"/>
  <c r="AQ58" i="1" l="1"/>
  <c r="AR58" i="1" s="1"/>
  <c r="DJ58" i="1" s="1"/>
  <c r="AO27" i="20"/>
  <c r="AP27" i="20" s="1"/>
  <c r="AO25" i="20"/>
  <c r="AP25" i="20" s="1"/>
  <c r="M38" i="20"/>
  <c r="N38" i="20" s="1"/>
  <c r="N27" i="6"/>
  <c r="N42" i="6"/>
  <c r="N12" i="6"/>
  <c r="S124" i="4"/>
  <c r="AP60" i="1"/>
  <c r="S101" i="4"/>
  <c r="DG27" i="20" l="1"/>
  <c r="DK27" i="20" s="1"/>
  <c r="DH27" i="20"/>
  <c r="DH38" i="20"/>
  <c r="DG38" i="20"/>
  <c r="DK38" i="20" s="1"/>
  <c r="DG25" i="20"/>
  <c r="DK25" i="20" s="1"/>
  <c r="DH25" i="20"/>
  <c r="AP57" i="1"/>
  <c r="AN24" i="20"/>
  <c r="AO24" i="20" s="1"/>
  <c r="AP24" i="20" s="1"/>
  <c r="V44" i="1"/>
  <c r="T14" i="20"/>
  <c r="U14" i="20" s="1"/>
  <c r="V14" i="20" s="1"/>
  <c r="V45" i="1"/>
  <c r="T15" i="20"/>
  <c r="AP59" i="1"/>
  <c r="AQ59" i="1" s="1"/>
  <c r="AR59" i="1" s="1"/>
  <c r="AN26" i="20"/>
  <c r="AO26" i="20" s="1"/>
  <c r="AP26" i="20" s="1"/>
  <c r="V46" i="1"/>
  <c r="T16" i="20"/>
  <c r="DI117" i="1"/>
  <c r="DP117" i="1" s="1"/>
  <c r="W45" i="1"/>
  <c r="W46" i="1"/>
  <c r="AQ57" i="1"/>
  <c r="AR57" i="1" s="1"/>
  <c r="AQ60" i="1"/>
  <c r="W44" i="1"/>
  <c r="X44" i="1" s="1"/>
  <c r="AP68" i="1" l="1"/>
  <c r="U16" i="20"/>
  <c r="V16" i="20" s="1"/>
  <c r="U15" i="20"/>
  <c r="V15" i="20" s="1"/>
  <c r="AR60" i="1"/>
  <c r="DJ60" i="1" s="1"/>
  <c r="X46" i="1"/>
  <c r="DO46" i="1" s="1"/>
  <c r="DJ46" i="1"/>
  <c r="DI46" i="1"/>
  <c r="X45" i="1"/>
  <c r="DO45" i="1" s="1"/>
  <c r="DJ45" i="1"/>
  <c r="DI45" i="1"/>
  <c r="DI123" i="1"/>
  <c r="L16" i="1"/>
  <c r="AR68" i="1"/>
  <c r="DJ123" i="1"/>
  <c r="DJ105" i="1" s="1"/>
  <c r="DM123" i="1"/>
  <c r="M17" i="1" s="1"/>
  <c r="DM105" i="1"/>
  <c r="J6" i="1"/>
  <c r="DG16" i="20" l="1"/>
  <c r="DK16" i="20" s="1"/>
  <c r="DH16" i="20"/>
  <c r="DH15" i="20"/>
  <c r="DG15" i="20"/>
  <c r="DK15" i="20" s="1"/>
  <c r="DI60" i="1"/>
  <c r="DM60" i="1" s="1"/>
  <c r="DM117" i="1" s="1"/>
  <c r="M16" i="1" s="1"/>
  <c r="DP45" i="1"/>
  <c r="DP46" i="1"/>
  <c r="DS46" i="1"/>
  <c r="DJ117" i="1"/>
  <c r="DO60" i="1"/>
  <c r="L17" i="1"/>
  <c r="DP123" i="1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DP60" i="1" l="1"/>
  <c r="R43" i="5"/>
  <c r="R44" i="5" s="1"/>
  <c r="R45" i="5" s="1"/>
  <c r="AF35" i="20" s="1"/>
  <c r="AG35" i="20" s="1"/>
  <c r="AH35" i="20" s="1"/>
  <c r="R46" i="5" l="1"/>
  <c r="R47" i="5" s="1"/>
  <c r="AH70" i="1"/>
  <c r="AH72" i="1" s="1"/>
  <c r="K12" i="1"/>
  <c r="H98" i="1"/>
  <c r="J16" i="1" s="1"/>
  <c r="K16" i="1" s="1"/>
  <c r="AI70" i="1" l="1"/>
  <c r="AJ70" i="1" s="1"/>
  <c r="AJ72" i="1" s="1"/>
  <c r="DG60" i="1" l="1"/>
  <c r="DF47" i="1"/>
  <c r="DF46" i="1"/>
  <c r="DL46" i="1" s="1"/>
  <c r="DM46" i="1" s="1"/>
  <c r="DF45" i="1"/>
  <c r="DG45" i="1" l="1"/>
  <c r="DH45" i="1" s="1"/>
  <c r="DH60" i="1"/>
  <c r="DH117" i="1" s="1"/>
  <c r="DG117" i="1"/>
  <c r="DL45" i="1"/>
  <c r="DL47" i="1"/>
  <c r="DM47" i="1" s="1"/>
  <c r="DG47" i="1"/>
  <c r="DH47" i="1" s="1"/>
  <c r="DG46" i="1"/>
  <c r="DH46" i="1" s="1"/>
  <c r="J13" i="1"/>
  <c r="DL129" i="1" l="1"/>
  <c r="DM45" i="1"/>
  <c r="DG123" i="1"/>
  <c r="DH123" i="1"/>
  <c r="DH105" i="1"/>
  <c r="DH129" i="1" s="1"/>
  <c r="J14" i="1"/>
  <c r="DF59" i="1"/>
  <c r="DL59" i="1" s="1"/>
  <c r="DF58" i="1"/>
  <c r="DL58" i="1" s="1"/>
  <c r="DM58" i="1" s="1"/>
  <c r="DF75" i="1"/>
  <c r="DL75" i="1" s="1"/>
  <c r="DM75" i="1" s="1"/>
  <c r="DF74" i="1"/>
  <c r="K87" i="1"/>
  <c r="K86" i="1"/>
  <c r="K84" i="1"/>
  <c r="K83" i="1"/>
  <c r="M10" i="8"/>
  <c r="M9" i="8"/>
  <c r="M8" i="8"/>
  <c r="M7" i="8"/>
  <c r="L86" i="1" l="1"/>
  <c r="DO86" i="1"/>
  <c r="DJ86" i="1"/>
  <c r="DI86" i="1"/>
  <c r="L84" i="1"/>
  <c r="DO84" i="1"/>
  <c r="DJ84" i="1"/>
  <c r="DI84" i="1"/>
  <c r="L83" i="1"/>
  <c r="DO83" i="1"/>
  <c r="DJ83" i="1"/>
  <c r="DI83" i="1"/>
  <c r="L87" i="1"/>
  <c r="DI87" i="1"/>
  <c r="DS87" i="1" s="1"/>
  <c r="DJ87" i="1"/>
  <c r="DO87" i="1"/>
  <c r="DP87" i="1" s="1"/>
  <c r="L97" i="1"/>
  <c r="DG74" i="1"/>
  <c r="DH74" i="1" s="1"/>
  <c r="DL74" i="1"/>
  <c r="DG59" i="1"/>
  <c r="DH59" i="1" s="1"/>
  <c r="DG58" i="1"/>
  <c r="DH58" i="1" s="1"/>
  <c r="DG75" i="1"/>
  <c r="DH75" i="1" s="1"/>
  <c r="DP83" i="1" l="1"/>
  <c r="DS83" i="1"/>
  <c r="DI97" i="1"/>
  <c r="DS97" i="1" s="1"/>
  <c r="DO97" i="1"/>
  <c r="DJ97" i="1"/>
  <c r="DP86" i="1"/>
  <c r="DS86" i="1"/>
  <c r="DP84" i="1"/>
  <c r="DS84" i="1"/>
  <c r="DS96" i="1"/>
  <c r="R17" i="8"/>
  <c r="P17" i="8"/>
  <c r="N17" i="8"/>
  <c r="L17" i="8"/>
  <c r="D16" i="8"/>
  <c r="D15" i="8"/>
  <c r="D14" i="8"/>
  <c r="D13" i="8"/>
  <c r="D12" i="8"/>
  <c r="D11" i="8"/>
  <c r="J10" i="8"/>
  <c r="J9" i="8"/>
  <c r="J8" i="8"/>
  <c r="J7" i="8"/>
  <c r="BB42" i="1"/>
  <c r="BC38" i="1"/>
  <c r="BD38" i="1" s="1"/>
  <c r="BD42" i="1" s="1"/>
  <c r="Q119" i="4"/>
  <c r="Q120" i="4"/>
  <c r="Q121" i="4"/>
  <c r="Q122" i="4"/>
  <c r="Q118" i="4"/>
  <c r="Q123" i="4"/>
  <c r="Q117" i="4"/>
  <c r="M117" i="4"/>
  <c r="J117" i="4"/>
  <c r="O116" i="4"/>
  <c r="M116" i="4"/>
  <c r="J116" i="4"/>
  <c r="O115" i="4"/>
  <c r="M115" i="4"/>
  <c r="J115" i="4"/>
  <c r="O114" i="4"/>
  <c r="M114" i="4"/>
  <c r="J114" i="4"/>
  <c r="DP97" i="1" l="1"/>
  <c r="M17" i="8"/>
  <c r="O17" i="8"/>
  <c r="Q17" i="8"/>
  <c r="S17" i="8"/>
  <c r="Q124" i="4"/>
  <c r="AU39" i="1"/>
  <c r="AV39" i="1" s="1"/>
  <c r="DJ39" i="1" s="1"/>
  <c r="DJ111" i="1" s="1"/>
  <c r="AL59" i="1" l="1"/>
  <c r="DI59" i="1" s="1"/>
  <c r="DP59" i="1" s="1"/>
  <c r="AJ26" i="20"/>
  <c r="V74" i="1"/>
  <c r="T37" i="20"/>
  <c r="U37" i="20" s="1"/>
  <c r="V37" i="20" s="1"/>
  <c r="R74" i="1"/>
  <c r="P37" i="20"/>
  <c r="Q37" i="20" s="1"/>
  <c r="R37" i="20" s="1"/>
  <c r="J74" i="1"/>
  <c r="H37" i="20"/>
  <c r="DO74" i="1"/>
  <c r="DP74" i="1" s="1"/>
  <c r="DS58" i="1"/>
  <c r="DS59" i="1"/>
  <c r="S74" i="1"/>
  <c r="T74" i="1" s="1"/>
  <c r="W74" i="1"/>
  <c r="X74" i="1" s="1"/>
  <c r="DI74" i="1"/>
  <c r="DS74" i="1" s="1"/>
  <c r="K74" i="1"/>
  <c r="L74" i="1" s="1"/>
  <c r="AL68" i="1"/>
  <c r="AM59" i="1"/>
  <c r="AN59" i="1" s="1"/>
  <c r="DM59" i="1"/>
  <c r="AK26" i="20" l="1"/>
  <c r="AL26" i="20" s="1"/>
  <c r="I37" i="20"/>
  <c r="J37" i="20" s="1"/>
  <c r="DJ74" i="1"/>
  <c r="DS73" i="1"/>
  <c r="DM74" i="1"/>
  <c r="AN68" i="1"/>
  <c r="DJ59" i="1"/>
  <c r="DH26" i="20" l="1"/>
  <c r="DG26" i="20"/>
  <c r="DK26" i="20" s="1"/>
  <c r="DG37" i="20"/>
  <c r="DK37" i="20" s="1"/>
  <c r="DH37" i="20"/>
  <c r="DF57" i="1"/>
  <c r="DL57" i="1" s="1"/>
  <c r="O100" i="4"/>
  <c r="O99" i="4"/>
  <c r="O98" i="4"/>
  <c r="O97" i="4"/>
  <c r="O96" i="4"/>
  <c r="O95" i="4"/>
  <c r="O94" i="4"/>
  <c r="M94" i="4"/>
  <c r="J94" i="4"/>
  <c r="O93" i="4"/>
  <c r="M93" i="4"/>
  <c r="J93" i="4"/>
  <c r="O92" i="4"/>
  <c r="M92" i="4"/>
  <c r="J92" i="4"/>
  <c r="O91" i="4"/>
  <c r="M91" i="4"/>
  <c r="J91" i="4"/>
  <c r="T32" i="4"/>
  <c r="U31" i="4"/>
  <c r="U30" i="4"/>
  <c r="U26" i="4"/>
  <c r="U25" i="4"/>
  <c r="U24" i="4"/>
  <c r="U23" i="4"/>
  <c r="U22" i="4"/>
  <c r="Q26" i="4"/>
  <c r="O26" i="4"/>
  <c r="Q24" i="4"/>
  <c r="Q25" i="4"/>
  <c r="Q30" i="4"/>
  <c r="Q31" i="4"/>
  <c r="P32" i="4"/>
  <c r="Q23" i="4"/>
  <c r="Q22" i="4"/>
  <c r="J79" i="4"/>
  <c r="J78" i="4"/>
  <c r="J77" i="4"/>
  <c r="J76" i="4"/>
  <c r="O72" i="4"/>
  <c r="O73" i="4"/>
  <c r="O74" i="4"/>
  <c r="O75" i="4"/>
  <c r="O76" i="4"/>
  <c r="O77" i="4"/>
  <c r="O78" i="4"/>
  <c r="O79" i="4"/>
  <c r="O80" i="4"/>
  <c r="O81" i="4"/>
  <c r="M72" i="4"/>
  <c r="M73" i="4"/>
  <c r="M74" i="4"/>
  <c r="M75" i="4"/>
  <c r="M76" i="4"/>
  <c r="M77" i="4"/>
  <c r="M78" i="4"/>
  <c r="M79" i="4"/>
  <c r="M80" i="4"/>
  <c r="M81" i="4"/>
  <c r="J75" i="4"/>
  <c r="J74" i="4"/>
  <c r="J73" i="4"/>
  <c r="J72" i="4"/>
  <c r="AX42" i="1"/>
  <c r="AY38" i="1"/>
  <c r="AZ38" i="1" s="1"/>
  <c r="AZ42" i="1" s="1"/>
  <c r="DF80" i="1"/>
  <c r="H79" i="1"/>
  <c r="F10" i="7"/>
  <c r="F9" i="7"/>
  <c r="F8" i="7"/>
  <c r="F7" i="7"/>
  <c r="N38" i="5"/>
  <c r="N39" i="5"/>
  <c r="N40" i="5"/>
  <c r="N41" i="5"/>
  <c r="N42" i="5"/>
  <c r="N36" i="5"/>
  <c r="N35" i="5"/>
  <c r="P36" i="5"/>
  <c r="P37" i="5"/>
  <c r="P38" i="5"/>
  <c r="P39" i="5"/>
  <c r="P40" i="5"/>
  <c r="P41" i="5"/>
  <c r="P42" i="5"/>
  <c r="P34" i="5"/>
  <c r="P33" i="5"/>
  <c r="P32" i="5"/>
  <c r="P31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K9" i="19" l="1"/>
  <c r="M9" i="19" s="1"/>
  <c r="F11" i="7"/>
  <c r="H41" i="20" s="1"/>
  <c r="DL80" i="1"/>
  <c r="U32" i="4"/>
  <c r="AF20" i="20" s="1"/>
  <c r="DG57" i="1"/>
  <c r="DH57" i="1" s="1"/>
  <c r="O101" i="4"/>
  <c r="Q32" i="4"/>
  <c r="M82" i="4"/>
  <c r="O82" i="4"/>
  <c r="DG80" i="1"/>
  <c r="P43" i="5"/>
  <c r="P44" i="5" s="1"/>
  <c r="P45" i="5" s="1"/>
  <c r="AB35" i="20" s="1"/>
  <c r="AC35" i="20" s="1"/>
  <c r="AD35" i="20" s="1"/>
  <c r="AD56" i="1" l="1"/>
  <c r="AB23" i="20"/>
  <c r="AH57" i="1"/>
  <c r="DI57" i="1" s="1"/>
  <c r="DP57" i="1" s="1"/>
  <c r="AF24" i="20"/>
  <c r="AH56" i="1"/>
  <c r="AI56" i="1" s="1"/>
  <c r="AJ56" i="1" s="1"/>
  <c r="AF23" i="20"/>
  <c r="AG23" i="20" s="1"/>
  <c r="AH23" i="20" s="1"/>
  <c r="V52" i="1"/>
  <c r="T19" i="20"/>
  <c r="U19" i="20" s="1"/>
  <c r="V19" i="20" s="1"/>
  <c r="AG20" i="20"/>
  <c r="AH20" i="20" s="1"/>
  <c r="I41" i="20"/>
  <c r="J41" i="20" s="1"/>
  <c r="S38" i="4"/>
  <c r="AH53" i="1"/>
  <c r="J80" i="1"/>
  <c r="F12" i="7"/>
  <c r="F13" i="7" s="1"/>
  <c r="DH80" i="1"/>
  <c r="P46" i="5"/>
  <c r="P47" i="5" s="1"/>
  <c r="AD70" i="1"/>
  <c r="DI56" i="1" l="1"/>
  <c r="DP56" i="1" s="1"/>
  <c r="AI57" i="1"/>
  <c r="AJ57" i="1" s="1"/>
  <c r="DJ57" i="1" s="1"/>
  <c r="DH41" i="20"/>
  <c r="DG41" i="20"/>
  <c r="DK41" i="20" s="1"/>
  <c r="DK42" i="20" s="1"/>
  <c r="DG20" i="20"/>
  <c r="DK20" i="20" s="1"/>
  <c r="DH20" i="20"/>
  <c r="AC23" i="20"/>
  <c r="AD23" i="20" s="1"/>
  <c r="AG24" i="20"/>
  <c r="AH24" i="20" s="1"/>
  <c r="DS56" i="1"/>
  <c r="DS57" i="1"/>
  <c r="AI53" i="1"/>
  <c r="AJ53" i="1" s="1"/>
  <c r="DJ53" i="1" s="1"/>
  <c r="DI53" i="1"/>
  <c r="DP53" i="1" s="1"/>
  <c r="AH68" i="1"/>
  <c r="K80" i="1"/>
  <c r="L80" i="1" s="1"/>
  <c r="DJ80" i="1" s="1"/>
  <c r="DI80" i="1"/>
  <c r="AE70" i="1"/>
  <c r="AF70" i="1" s="1"/>
  <c r="AF72" i="1" s="1"/>
  <c r="AD72" i="1"/>
  <c r="DM57" i="1"/>
  <c r="N34" i="5"/>
  <c r="N33" i="5"/>
  <c r="N32" i="5"/>
  <c r="N31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V68" i="1"/>
  <c r="V49" i="1" s="1"/>
  <c r="AE56" i="1"/>
  <c r="AF56" i="1" s="1"/>
  <c r="S14" i="4"/>
  <c r="S13" i="4"/>
  <c r="S12" i="4"/>
  <c r="S11" i="4"/>
  <c r="P17" i="4"/>
  <c r="Q14" i="4"/>
  <c r="Q13" i="4"/>
  <c r="Q12" i="4"/>
  <c r="R17" i="4"/>
  <c r="S16" i="4"/>
  <c r="Q16" i="4"/>
  <c r="S15" i="4"/>
  <c r="Q15" i="4"/>
  <c r="S10" i="4"/>
  <c r="Q10" i="4"/>
  <c r="S9" i="4"/>
  <c r="Q9" i="4"/>
  <c r="S8" i="4"/>
  <c r="Q8" i="4"/>
  <c r="S7" i="4"/>
  <c r="Q7" i="4"/>
  <c r="L11" i="6"/>
  <c r="L10" i="6"/>
  <c r="L9" i="6"/>
  <c r="L8" i="6"/>
  <c r="L7" i="6"/>
  <c r="L6" i="6"/>
  <c r="L5" i="6"/>
  <c r="L4" i="6"/>
  <c r="K12" i="6"/>
  <c r="AT42" i="1"/>
  <c r="AU37" i="1"/>
  <c r="AV37" i="1" s="1"/>
  <c r="AV42" i="1" s="1"/>
  <c r="DG23" i="20" l="1"/>
  <c r="DK23" i="20" s="1"/>
  <c r="DH23" i="20"/>
  <c r="K11" i="19"/>
  <c r="M11" i="19" s="1"/>
  <c r="DH24" i="20"/>
  <c r="DG24" i="20"/>
  <c r="DK24" i="20" s="1"/>
  <c r="DO80" i="1"/>
  <c r="DP80" i="1" s="1"/>
  <c r="AJ68" i="1"/>
  <c r="DM80" i="1"/>
  <c r="N43" i="5"/>
  <c r="N44" i="5" s="1"/>
  <c r="Q11" i="4"/>
  <c r="Q17" i="4" s="1"/>
  <c r="S17" i="4"/>
  <c r="L12" i="6"/>
  <c r="R44" i="1" l="1"/>
  <c r="P14" i="20"/>
  <c r="Q14" i="20" s="1"/>
  <c r="R14" i="20" s="1"/>
  <c r="AD51" i="1"/>
  <c r="AD68" i="1" s="1"/>
  <c r="AD49" i="1" s="1"/>
  <c r="AB18" i="20"/>
  <c r="AC18" i="20" s="1"/>
  <c r="AD18" i="20" s="1"/>
  <c r="Z51" i="1"/>
  <c r="Z68" i="1" s="1"/>
  <c r="Z49" i="1" s="1"/>
  <c r="X18" i="20"/>
  <c r="Y18" i="20" s="1"/>
  <c r="Z18" i="20" s="1"/>
  <c r="S44" i="1"/>
  <c r="T44" i="1" s="1"/>
  <c r="N45" i="5"/>
  <c r="X35" i="20" s="1"/>
  <c r="Y35" i="20" s="1"/>
  <c r="Z35" i="20" s="1"/>
  <c r="J10" i="1"/>
  <c r="J8" i="1"/>
  <c r="AE51" i="1" l="1"/>
  <c r="AF51" i="1" s="1"/>
  <c r="AF68" i="1" s="1"/>
  <c r="AF49" i="1" s="1"/>
  <c r="N46" i="5"/>
  <c r="N47" i="5" s="1"/>
  <c r="Z70" i="1"/>
  <c r="E49" i="6"/>
  <c r="E51" i="6"/>
  <c r="F58" i="6"/>
  <c r="F43" i="6"/>
  <c r="E34" i="6"/>
  <c r="F28" i="6"/>
  <c r="F13" i="6"/>
  <c r="E26" i="6"/>
  <c r="E25" i="6"/>
  <c r="E24" i="6"/>
  <c r="E23" i="6"/>
  <c r="E22" i="6"/>
  <c r="E21" i="6"/>
  <c r="E20" i="6"/>
  <c r="E19" i="6"/>
  <c r="E2" i="6" l="1"/>
  <c r="AA70" i="1"/>
  <c r="AB70" i="1" s="1"/>
  <c r="AB72" i="1" s="1"/>
  <c r="Z72" i="1"/>
  <c r="E50" i="6"/>
  <c r="E53" i="6"/>
  <c r="E52" i="6"/>
  <c r="E35" i="6"/>
  <c r="E36" i="6"/>
  <c r="E54" i="6" l="1"/>
  <c r="AA56" i="1"/>
  <c r="AB56" i="1" s="1"/>
  <c r="DJ56" i="1" s="1"/>
  <c r="AA55" i="1"/>
  <c r="AB55" i="1" s="1"/>
  <c r="AA51" i="1"/>
  <c r="AB51" i="1" s="1"/>
  <c r="W52" i="1"/>
  <c r="X52" i="1" s="1"/>
  <c r="X68" i="1" s="1"/>
  <c r="X49" i="1" s="1"/>
  <c r="AB68" i="1" l="1"/>
  <c r="AB49" i="1" s="1"/>
  <c r="E55" i="6"/>
  <c r="E38" i="6"/>
  <c r="E39" i="6"/>
  <c r="E37" i="6"/>
  <c r="E56" i="6" l="1"/>
  <c r="H82" i="1"/>
  <c r="K14" i="1"/>
  <c r="E40" i="6" l="1"/>
  <c r="E41" i="6"/>
  <c r="H73" i="1" l="1"/>
  <c r="F6" i="1"/>
  <c r="J7" i="1"/>
  <c r="K7" i="1" s="1"/>
  <c r="K8" i="1"/>
  <c r="K9" i="1"/>
  <c r="K10" i="1"/>
  <c r="K11" i="1"/>
  <c r="K13" i="1"/>
  <c r="H29" i="1" l="1"/>
  <c r="K6" i="1"/>
  <c r="DF56" i="1"/>
  <c r="DF55" i="1"/>
  <c r="DL55" i="1" s="1"/>
  <c r="Q61" i="4"/>
  <c r="Q60" i="4"/>
  <c r="Q59" i="4"/>
  <c r="Q58" i="4"/>
  <c r="P64" i="4"/>
  <c r="N64" i="4"/>
  <c r="L64" i="4"/>
  <c r="O63" i="4"/>
  <c r="M63" i="4"/>
  <c r="O62" i="4"/>
  <c r="M62" i="4"/>
  <c r="J61" i="4"/>
  <c r="J60" i="4"/>
  <c r="J59" i="4"/>
  <c r="J58" i="4"/>
  <c r="M57" i="4"/>
  <c r="O56" i="4"/>
  <c r="M56" i="4"/>
  <c r="O55" i="4"/>
  <c r="M55" i="4"/>
  <c r="O54" i="4"/>
  <c r="M54" i="4"/>
  <c r="P47" i="4"/>
  <c r="Q44" i="4"/>
  <c r="Q43" i="4"/>
  <c r="Q42" i="4"/>
  <c r="Q41" i="4"/>
  <c r="DG56" i="1" l="1"/>
  <c r="DH56" i="1" s="1"/>
  <c r="DL56" i="1"/>
  <c r="DM56" i="1" s="1"/>
  <c r="Q47" i="4"/>
  <c r="O64" i="4"/>
  <c r="DG55" i="1"/>
  <c r="DH55" i="1" s="1"/>
  <c r="Q64" i="4"/>
  <c r="M64" i="4"/>
  <c r="AP42" i="1"/>
  <c r="R55" i="1" l="1"/>
  <c r="DI55" i="1" s="1"/>
  <c r="DP55" i="1" s="1"/>
  <c r="P22" i="20"/>
  <c r="R54" i="1"/>
  <c r="S54" i="1" s="1"/>
  <c r="T54" i="1" s="1"/>
  <c r="P21" i="20"/>
  <c r="Q21" i="20" s="1"/>
  <c r="R21" i="20" s="1"/>
  <c r="DS55" i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R68" i="1" l="1"/>
  <c r="R49" i="1" s="1"/>
  <c r="DM55" i="1"/>
  <c r="S55" i="1"/>
  <c r="T55" i="1" s="1"/>
  <c r="DJ55" i="1" s="1"/>
  <c r="Q22" i="20"/>
  <c r="R22" i="20" s="1"/>
  <c r="T68" i="1"/>
  <c r="T49" i="1" s="1"/>
  <c r="L43" i="5"/>
  <c r="L44" i="5" s="1"/>
  <c r="L45" i="5" s="1"/>
  <c r="T35" i="20" s="1"/>
  <c r="U35" i="20" s="1"/>
  <c r="V35" i="20" s="1"/>
  <c r="AQ38" i="1"/>
  <c r="AR38" i="1" s="1"/>
  <c r="DJ38" i="1" s="1"/>
  <c r="AQ37" i="1"/>
  <c r="AR37" i="1" s="1"/>
  <c r="DH22" i="20" l="1"/>
  <c r="DG22" i="20"/>
  <c r="DK22" i="20" s="1"/>
  <c r="AR42" i="1"/>
  <c r="DJ37" i="1"/>
  <c r="L46" i="5"/>
  <c r="L47" i="5" s="1"/>
  <c r="V70" i="1"/>
  <c r="W70" i="1" l="1"/>
  <c r="X70" i="1" s="1"/>
  <c r="X72" i="1" s="1"/>
  <c r="V72" i="1"/>
  <c r="J41" i="4"/>
  <c r="J42" i="4"/>
  <c r="J43" i="4"/>
  <c r="J44" i="4"/>
  <c r="J22" i="4"/>
  <c r="J23" i="4"/>
  <c r="J24" i="4"/>
  <c r="J25" i="4"/>
  <c r="J27" i="4"/>
  <c r="J28" i="4"/>
  <c r="J7" i="4"/>
  <c r="J8" i="4"/>
  <c r="J9" i="4"/>
  <c r="J10" i="4"/>
  <c r="J11" i="4"/>
  <c r="J12" i="4"/>
  <c r="J13" i="4"/>
  <c r="J14" i="4"/>
  <c r="J15" i="4"/>
  <c r="J16" i="4"/>
  <c r="E4" i="6"/>
  <c r="E5" i="6"/>
  <c r="E6" i="6"/>
  <c r="E7" i="6"/>
  <c r="E8" i="6"/>
  <c r="E9" i="6"/>
  <c r="E10" i="6"/>
  <c r="E11" i="6"/>
  <c r="J11" i="6"/>
  <c r="J10" i="6"/>
  <c r="J9" i="6"/>
  <c r="J8" i="6"/>
  <c r="J7" i="6"/>
  <c r="J6" i="6"/>
  <c r="J5" i="6"/>
  <c r="J4" i="6"/>
  <c r="H11" i="6"/>
  <c r="H10" i="6"/>
  <c r="H9" i="6"/>
  <c r="H8" i="6"/>
  <c r="H7" i="6"/>
  <c r="H6" i="6"/>
  <c r="H5" i="6"/>
  <c r="H4" i="6"/>
  <c r="I12" i="6"/>
  <c r="G12" i="6"/>
  <c r="O44" i="4"/>
  <c r="O43" i="4"/>
  <c r="O42" i="4"/>
  <c r="O41" i="4"/>
  <c r="N47" i="4"/>
  <c r="O46" i="4"/>
  <c r="O45" i="4"/>
  <c r="M30" i="4"/>
  <c r="M31" i="4"/>
  <c r="L32" i="4"/>
  <c r="N32" i="4"/>
  <c r="O31" i="4"/>
  <c r="O30" i="4"/>
  <c r="H12" i="6" l="1"/>
  <c r="J12" i="6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AL42" i="1"/>
  <c r="AL78" i="1" s="1"/>
  <c r="AH42" i="1"/>
  <c r="AH78" i="1" s="1"/>
  <c r="AI34" i="1"/>
  <c r="AJ34" i="1" s="1"/>
  <c r="AJ42" i="1" s="1"/>
  <c r="AJ78" i="1" s="1"/>
  <c r="F12" i="5"/>
  <c r="F11" i="5"/>
  <c r="F10" i="5"/>
  <c r="F9" i="5"/>
  <c r="F8" i="5"/>
  <c r="F7" i="5"/>
  <c r="J15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I43" i="5"/>
  <c r="J38" i="5"/>
  <c r="J37" i="5"/>
  <c r="J36" i="5"/>
  <c r="J35" i="5"/>
  <c r="F30" i="5"/>
  <c r="F31" i="5"/>
  <c r="F32" i="5"/>
  <c r="F33" i="5"/>
  <c r="F29" i="5"/>
  <c r="F34" i="5"/>
  <c r="G43" i="5"/>
  <c r="E43" i="5"/>
  <c r="H38" i="5"/>
  <c r="F38" i="5"/>
  <c r="H37" i="5"/>
  <c r="F37" i="5"/>
  <c r="H36" i="5"/>
  <c r="F36" i="5"/>
  <c r="H35" i="5"/>
  <c r="F35" i="5"/>
  <c r="DF54" i="1"/>
  <c r="DL54" i="1" s="1"/>
  <c r="L47" i="4"/>
  <c r="M46" i="4"/>
  <c r="M45" i="4"/>
  <c r="O40" i="4"/>
  <c r="M40" i="4"/>
  <c r="O39" i="4"/>
  <c r="M39" i="4"/>
  <c r="O38" i="4"/>
  <c r="M38" i="4"/>
  <c r="O37" i="4"/>
  <c r="M37" i="4"/>
  <c r="O25" i="4"/>
  <c r="M25" i="4"/>
  <c r="O24" i="4"/>
  <c r="M24" i="4"/>
  <c r="O23" i="4"/>
  <c r="M23" i="4"/>
  <c r="O22" i="4"/>
  <c r="M22" i="4"/>
  <c r="M14" i="4"/>
  <c r="M13" i="4"/>
  <c r="M12" i="4"/>
  <c r="M11" i="4"/>
  <c r="N17" i="4"/>
  <c r="O16" i="4"/>
  <c r="O15" i="4"/>
  <c r="O14" i="4"/>
  <c r="O13" i="4"/>
  <c r="O12" i="4"/>
  <c r="O11" i="4"/>
  <c r="O10" i="4"/>
  <c r="O9" i="4"/>
  <c r="O8" i="4"/>
  <c r="O7" i="4"/>
  <c r="AM35" i="1"/>
  <c r="AN35" i="1" s="1"/>
  <c r="AN42" i="1" s="1"/>
  <c r="F43" i="5" l="1"/>
  <c r="N44" i="1"/>
  <c r="L14" i="20"/>
  <c r="M14" i="20" s="1"/>
  <c r="N14" i="20" s="1"/>
  <c r="J44" i="1"/>
  <c r="H14" i="20"/>
  <c r="DI44" i="1"/>
  <c r="DS45" i="1" s="1"/>
  <c r="M32" i="4"/>
  <c r="O32" i="4"/>
  <c r="L19" i="20" s="1"/>
  <c r="O47" i="4"/>
  <c r="H43" i="5"/>
  <c r="J43" i="5"/>
  <c r="DG54" i="1"/>
  <c r="DH54" i="1" s="1"/>
  <c r="M47" i="4"/>
  <c r="O17" i="4"/>
  <c r="N51" i="1" l="1"/>
  <c r="O51" i="1" s="1"/>
  <c r="P51" i="1" s="1"/>
  <c r="L18" i="20"/>
  <c r="M18" i="20" s="1"/>
  <c r="N18" i="20" s="1"/>
  <c r="M19" i="20"/>
  <c r="N19" i="20" s="1"/>
  <c r="N54" i="1"/>
  <c r="DI54" i="1" s="1"/>
  <c r="DP54" i="1" s="1"/>
  <c r="L21" i="20"/>
  <c r="I14" i="20"/>
  <c r="J14" i="20" s="1"/>
  <c r="DS53" i="1"/>
  <c r="N52" i="1"/>
  <c r="DI52" i="1" s="1"/>
  <c r="S39" i="4"/>
  <c r="DS43" i="1"/>
  <c r="DM54" i="1"/>
  <c r="O54" i="1"/>
  <c r="P54" i="1" s="1"/>
  <c r="DJ54" i="1" s="1"/>
  <c r="H44" i="5"/>
  <c r="H45" i="5" s="1"/>
  <c r="L35" i="20" s="1"/>
  <c r="J44" i="5"/>
  <c r="J45" i="5" s="1"/>
  <c r="P35" i="20" s="1"/>
  <c r="Q35" i="20" s="1"/>
  <c r="R35" i="20" s="1"/>
  <c r="F44" i="5"/>
  <c r="F45" i="5" s="1"/>
  <c r="H35" i="20" s="1"/>
  <c r="DF40" i="1"/>
  <c r="DL40" i="1" s="1"/>
  <c r="DM40" i="1" s="1"/>
  <c r="DS54" i="1" l="1"/>
  <c r="DH14" i="20"/>
  <c r="DG14" i="20"/>
  <c r="DK14" i="20" s="1"/>
  <c r="DH19" i="20"/>
  <c r="DG19" i="20"/>
  <c r="DK19" i="20" s="1"/>
  <c r="M35" i="20"/>
  <c r="N35" i="20" s="1"/>
  <c r="M21" i="20"/>
  <c r="N21" i="20" s="1"/>
  <c r="I35" i="20"/>
  <c r="J35" i="20" s="1"/>
  <c r="DS52" i="1"/>
  <c r="DP52" i="1"/>
  <c r="DS47" i="1"/>
  <c r="N68" i="1"/>
  <c r="O52" i="1"/>
  <c r="P52" i="1" s="1"/>
  <c r="DJ52" i="1" s="1"/>
  <c r="F46" i="5"/>
  <c r="F47" i="5" s="1"/>
  <c r="J70" i="1"/>
  <c r="J46" i="5"/>
  <c r="J47" i="5" s="1"/>
  <c r="R70" i="1"/>
  <c r="R72" i="1" s="1"/>
  <c r="H46" i="5"/>
  <c r="H47" i="5" s="1"/>
  <c r="N70" i="1"/>
  <c r="N72" i="1" s="1"/>
  <c r="DG40" i="1"/>
  <c r="DH40" i="1" s="1"/>
  <c r="DG21" i="20" l="1"/>
  <c r="DK21" i="20" s="1"/>
  <c r="DH21" i="20"/>
  <c r="K6" i="19"/>
  <c r="M6" i="19" s="1"/>
  <c r="DG35" i="20"/>
  <c r="DH35" i="20"/>
  <c r="P68" i="1"/>
  <c r="J72" i="1"/>
  <c r="S70" i="1"/>
  <c r="T70" i="1" s="1"/>
  <c r="T72" i="1" s="1"/>
  <c r="K8" i="19" l="1"/>
  <c r="M8" i="19" s="1"/>
  <c r="DK35" i="20"/>
  <c r="DI72" i="1"/>
  <c r="DS72" i="1" s="1"/>
  <c r="DS69" i="1"/>
  <c r="DS71" i="1"/>
  <c r="L17" i="4"/>
  <c r="M7" i="4"/>
  <c r="M8" i="4"/>
  <c r="M9" i="4"/>
  <c r="M10" i="4"/>
  <c r="M15" i="4"/>
  <c r="M16" i="4"/>
  <c r="N49" i="1"/>
  <c r="O44" i="1"/>
  <c r="P44" i="1" s="1"/>
  <c r="L10" i="1" l="1"/>
  <c r="B10" i="1" s="1"/>
  <c r="M17" i="4"/>
  <c r="K44" i="1"/>
  <c r="L44" i="1" s="1"/>
  <c r="DJ44" i="1" s="1"/>
  <c r="O70" i="1"/>
  <c r="P70" i="1" s="1"/>
  <c r="P72" i="1" s="1"/>
  <c r="J51" i="1" l="1"/>
  <c r="DI51" i="1" s="1"/>
  <c r="DS51" i="1" s="1"/>
  <c r="H18" i="20"/>
  <c r="DS50" i="1"/>
  <c r="DS60" i="1"/>
  <c r="DI81" i="1"/>
  <c r="DP81" i="1" s="1"/>
  <c r="AD42" i="1"/>
  <c r="AD78" i="1" s="1"/>
  <c r="Z42" i="1"/>
  <c r="Z78" i="1" s="1"/>
  <c r="V42" i="1"/>
  <c r="V78" i="1" s="1"/>
  <c r="R42" i="1"/>
  <c r="N42" i="1"/>
  <c r="J42" i="1"/>
  <c r="K51" i="1" l="1"/>
  <c r="L51" i="1" s="1"/>
  <c r="DJ51" i="1" s="1"/>
  <c r="DP51" i="1"/>
  <c r="I18" i="20"/>
  <c r="J18" i="20" s="1"/>
  <c r="DS62" i="1"/>
  <c r="L13" i="1"/>
  <c r="B13" i="1" s="1"/>
  <c r="DS80" i="1"/>
  <c r="N111" i="1"/>
  <c r="N78" i="1"/>
  <c r="DJ81" i="1"/>
  <c r="J111" i="1"/>
  <c r="J78" i="1"/>
  <c r="R111" i="1"/>
  <c r="R78" i="1" s="1"/>
  <c r="DI42" i="1"/>
  <c r="DS42" i="1" s="1"/>
  <c r="DG18" i="20" l="1"/>
  <c r="K7" i="19" s="1"/>
  <c r="M7" i="19" s="1"/>
  <c r="DH18" i="20"/>
  <c r="DI78" i="1"/>
  <c r="DS78" i="1" s="1"/>
  <c r="DS41" i="1"/>
  <c r="DF39" i="1"/>
  <c r="DF38" i="1"/>
  <c r="DK18" i="20" l="1"/>
  <c r="L11" i="1"/>
  <c r="B11" i="1" s="1"/>
  <c r="DS77" i="1"/>
  <c r="DS44" i="1"/>
  <c r="L8" i="1"/>
  <c r="B8" i="1" s="1"/>
  <c r="DL39" i="1"/>
  <c r="DL111" i="1" s="1"/>
  <c r="DF111" i="1"/>
  <c r="DG38" i="1"/>
  <c r="DH38" i="1" s="1"/>
  <c r="DL38" i="1"/>
  <c r="DG39" i="1"/>
  <c r="DM39" i="1" l="1"/>
  <c r="DM111" i="1" s="1"/>
  <c r="M15" i="1" s="1"/>
  <c r="DH39" i="1"/>
  <c r="DH111" i="1" s="1"/>
  <c r="DG111" i="1"/>
  <c r="DM38" i="1"/>
  <c r="K70" i="1"/>
  <c r="L70" i="1" l="1"/>
  <c r="DJ70" i="1" s="1"/>
  <c r="DJ72" i="1" s="1"/>
  <c r="DO70" i="1"/>
  <c r="L72" i="1"/>
  <c r="DO72" i="1" s="1"/>
  <c r="L68" i="1"/>
  <c r="J68" i="1"/>
  <c r="DO68" i="1" s="1"/>
  <c r="DI70" i="1" l="1"/>
  <c r="DP70" i="1" s="1"/>
  <c r="DI68" i="1"/>
  <c r="DS68" i="1" s="1"/>
  <c r="AE36" i="1"/>
  <c r="AF36" i="1" s="1"/>
  <c r="AE33" i="1"/>
  <c r="AF33" i="1" s="1"/>
  <c r="AF42" i="1" s="1"/>
  <c r="AF78" i="1" s="1"/>
  <c r="DS70" i="1" l="1"/>
  <c r="DP68" i="1"/>
  <c r="L9" i="1"/>
  <c r="B9" i="1" s="1"/>
  <c r="DS81" i="1"/>
  <c r="DS67" i="1"/>
  <c r="DF70" i="1"/>
  <c r="DF72" i="1" s="1"/>
  <c r="H69" i="1"/>
  <c r="DF53" i="1"/>
  <c r="DL53" i="1" s="1"/>
  <c r="DM53" i="1" s="1"/>
  <c r="DF52" i="1"/>
  <c r="DL52" i="1" s="1"/>
  <c r="DM52" i="1" s="1"/>
  <c r="DF51" i="1"/>
  <c r="DF81" i="1" s="1"/>
  <c r="DF44" i="1"/>
  <c r="DF49" i="1" s="1"/>
  <c r="H43" i="1"/>
  <c r="DF68" i="1" l="1"/>
  <c r="DL70" i="1"/>
  <c r="DL44" i="1"/>
  <c r="DL49" i="1" s="1"/>
  <c r="M8" i="1" s="1"/>
  <c r="DL51" i="1"/>
  <c r="DG51" i="1"/>
  <c r="DG81" i="1" s="1"/>
  <c r="DG70" i="1"/>
  <c r="DG52" i="1"/>
  <c r="DH52" i="1" s="1"/>
  <c r="DG53" i="1"/>
  <c r="DH53" i="1" s="1"/>
  <c r="DG44" i="1"/>
  <c r="DG49" i="1" s="1"/>
  <c r="DL68" i="1" l="1"/>
  <c r="M9" i="1" s="1"/>
  <c r="DL81" i="1"/>
  <c r="M13" i="1" s="1"/>
  <c r="DG68" i="1"/>
  <c r="DL72" i="1"/>
  <c r="M10" i="1" s="1"/>
  <c r="DH44" i="1"/>
  <c r="DH49" i="1" s="1"/>
  <c r="DH70" i="1"/>
  <c r="DH72" i="1" s="1"/>
  <c r="DG72" i="1"/>
  <c r="DH51" i="1"/>
  <c r="DM51" i="1"/>
  <c r="DM44" i="1"/>
  <c r="DF37" i="1"/>
  <c r="DF36" i="1"/>
  <c r="DL36" i="1" s="1"/>
  <c r="DM36" i="1" s="1"/>
  <c r="AA35" i="1"/>
  <c r="AB35" i="1" s="1"/>
  <c r="DJ35" i="1" s="1"/>
  <c r="AA36" i="1"/>
  <c r="AB36" i="1" s="1"/>
  <c r="DJ36" i="1" s="1"/>
  <c r="DH68" i="1" l="1"/>
  <c r="DH81" i="1"/>
  <c r="DM68" i="1"/>
  <c r="DM81" i="1"/>
  <c r="AB42" i="1"/>
  <c r="AB78" i="1" s="1"/>
  <c r="DG37" i="1"/>
  <c r="DL37" i="1"/>
  <c r="DG36" i="1"/>
  <c r="DH36" i="1" s="1"/>
  <c r="DM37" i="1" l="1"/>
  <c r="DH37" i="1"/>
  <c r="W33" i="1"/>
  <c r="X33" i="1" s="1"/>
  <c r="W34" i="1"/>
  <c r="X34" i="1" s="1"/>
  <c r="X42" i="1" l="1"/>
  <c r="X78" i="1" s="1"/>
  <c r="S32" i="1" l="1"/>
  <c r="T32" i="1" s="1"/>
  <c r="S30" i="1"/>
  <c r="T30" i="1" s="1"/>
  <c r="O33" i="1"/>
  <c r="P33" i="1" s="1"/>
  <c r="P42" i="1" s="1"/>
  <c r="P111" i="1" l="1"/>
  <c r="P78" i="1"/>
  <c r="T42" i="1"/>
  <c r="D53" i="2"/>
  <c r="T111" i="1" l="1"/>
  <c r="T78" i="1"/>
  <c r="DF35" i="1"/>
  <c r="DG35" i="1" s="1"/>
  <c r="DH35" i="1" s="1"/>
  <c r="DL35" i="1" l="1"/>
  <c r="DM35" i="1" l="1"/>
  <c r="D49" i="2"/>
  <c r="D41" i="2"/>
  <c r="D29" i="2"/>
  <c r="D24" i="2"/>
  <c r="D30" i="2"/>
  <c r="D28" i="2"/>
  <c r="D46" i="2"/>
  <c r="D36" i="2"/>
  <c r="D39" i="2"/>
  <c r="D35" i="2"/>
  <c r="D33" i="2"/>
  <c r="D34" i="2"/>
  <c r="D27" i="2"/>
  <c r="D38" i="2"/>
  <c r="D31" i="2"/>
  <c r="K32" i="1"/>
  <c r="L32" i="1" s="1"/>
  <c r="K31" i="1"/>
  <c r="L31" i="1" s="1"/>
  <c r="K30" i="1"/>
  <c r="L30" i="1" s="1"/>
  <c r="L42" i="1" l="1"/>
  <c r="D45" i="2"/>
  <c r="D43" i="2"/>
  <c r="D50" i="2"/>
  <c r="D44" i="2"/>
  <c r="D48" i="2"/>
  <c r="D22" i="2"/>
  <c r="D23" i="2"/>
  <c r="D32" i="2"/>
  <c r="D40" i="2"/>
  <c r="D42" i="2"/>
  <c r="D37" i="2"/>
  <c r="D47" i="2"/>
  <c r="D25" i="2"/>
  <c r="D26" i="2"/>
  <c r="D51" i="2"/>
  <c r="L111" i="1" l="1"/>
  <c r="DO111" i="1" s="1"/>
  <c r="DP111" i="1" s="1"/>
  <c r="L78" i="1"/>
  <c r="DO78" i="1" s="1"/>
  <c r="DP78" i="1" s="1"/>
  <c r="DJ34" i="1"/>
  <c r="DF34" i="1"/>
  <c r="DL34" i="1" s="1"/>
  <c r="DJ33" i="1"/>
  <c r="DF33" i="1"/>
  <c r="DL33" i="1" s="1"/>
  <c r="DM33" i="1" s="1"/>
  <c r="DF32" i="1"/>
  <c r="DL32" i="1" s="1"/>
  <c r="DJ32" i="1"/>
  <c r="DF31" i="1"/>
  <c r="DL31" i="1" s="1"/>
  <c r="DJ31" i="1"/>
  <c r="DF30" i="1"/>
  <c r="J5" i="1"/>
  <c r="K5" i="1" s="1"/>
  <c r="L7" i="1" l="1"/>
  <c r="B7" i="1" s="1"/>
  <c r="L6" i="1"/>
  <c r="B6" i="1" s="1"/>
  <c r="DF42" i="1"/>
  <c r="DL30" i="1"/>
  <c r="DG30" i="1"/>
  <c r="DH30" i="1" s="1"/>
  <c r="DM31" i="1"/>
  <c r="DG31" i="1"/>
  <c r="DH31" i="1" s="1"/>
  <c r="DJ30" i="1"/>
  <c r="DJ42" i="1" s="1"/>
  <c r="DJ78" i="1" s="1"/>
  <c r="DG33" i="1"/>
  <c r="DH33" i="1" s="1"/>
  <c r="DM34" i="1"/>
  <c r="DM32" i="1"/>
  <c r="DG32" i="1"/>
  <c r="DH32" i="1" s="1"/>
  <c r="M7" i="1"/>
  <c r="DG34" i="1"/>
  <c r="DH34" i="1" s="1"/>
  <c r="DF78" i="1" l="1"/>
  <c r="DL42" i="1"/>
  <c r="DH42" i="1"/>
  <c r="DH78" i="1" s="1"/>
  <c r="DG42" i="1"/>
  <c r="DG78" i="1" s="1"/>
  <c r="DM30" i="1"/>
  <c r="DM42" i="1" s="1"/>
  <c r="DM78" i="1" s="1"/>
  <c r="L5" i="1"/>
  <c r="M6" i="1" l="1"/>
  <c r="DL78" i="1"/>
  <c r="M11" i="1" s="1"/>
  <c r="M5" i="1"/>
  <c r="M8" i="14"/>
  <c r="J8" i="14" s="1"/>
  <c r="M9" i="14"/>
  <c r="J9" i="14" s="1"/>
  <c r="M11" i="14"/>
  <c r="J11" i="14" s="1"/>
  <c r="M10" i="14"/>
  <c r="J10" i="14" s="1"/>
  <c r="M7" i="14"/>
  <c r="J7" i="14" s="1"/>
  <c r="M13" i="14"/>
  <c r="H84" i="20" s="1"/>
  <c r="M84" i="20" l="1"/>
  <c r="I84" i="20"/>
  <c r="J13" i="14"/>
  <c r="Q22" i="14"/>
  <c r="J125" i="1"/>
  <c r="N84" i="20" l="1"/>
  <c r="J84" i="20"/>
  <c r="DH84" i="20" s="1"/>
  <c r="DG84" i="20"/>
  <c r="O125" i="1"/>
  <c r="K125" i="1"/>
  <c r="P125" i="1" s="1"/>
  <c r="J129" i="1"/>
  <c r="J49" i="1"/>
  <c r="DI49" i="1" s="1"/>
  <c r="DS49" i="1" s="1"/>
  <c r="K17" i="19" l="1"/>
  <c r="DK84" i="20"/>
  <c r="DJ125" i="1"/>
  <c r="L125" i="1"/>
  <c r="DI125" i="1" s="1"/>
  <c r="DM125" i="1" s="1"/>
  <c r="DM129" i="1" s="1"/>
  <c r="M18" i="1" s="1"/>
  <c r="DS79" i="1"/>
  <c r="DJ49" i="1"/>
  <c r="DJ68" i="1"/>
  <c r="DS48" i="1"/>
  <c r="DS82" i="1"/>
  <c r="P129" i="1"/>
  <c r="P49" i="1"/>
  <c r="L49" i="1"/>
  <c r="K20" i="19" l="1"/>
  <c r="M17" i="19"/>
  <c r="DI129" i="1"/>
  <c r="L18" i="1"/>
  <c r="L129" i="1"/>
  <c r="DO129" i="1" s="1"/>
  <c r="DP129" i="1" s="1"/>
  <c r="DO125" i="1"/>
  <c r="DP125" i="1" s="1"/>
  <c r="DJ129" i="1"/>
  <c r="DM49" i="1"/>
</calcChain>
</file>

<file path=xl/sharedStrings.xml><?xml version="1.0" encoding="utf-8"?>
<sst xmlns="http://schemas.openxmlformats.org/spreadsheetml/2006/main" count="3276" uniqueCount="679">
  <si>
    <t>Invoices Process Report - Design Projects</t>
  </si>
  <si>
    <t>Consultant</t>
  </si>
  <si>
    <t>Column1</t>
  </si>
  <si>
    <t>Frame Work Contract</t>
  </si>
  <si>
    <t>Value</t>
  </si>
  <si>
    <t>Duration</t>
  </si>
  <si>
    <t xml:space="preserve">Committed </t>
  </si>
  <si>
    <t>remaining from framework</t>
  </si>
  <si>
    <t>Invoices w/out VAT</t>
  </si>
  <si>
    <t>Earned value</t>
  </si>
  <si>
    <t>Dorsch</t>
  </si>
  <si>
    <t>48M</t>
  </si>
  <si>
    <t>Dorsch food</t>
  </si>
  <si>
    <t>24M</t>
  </si>
  <si>
    <t>Parsons</t>
  </si>
  <si>
    <t>Dar Al Handasah</t>
  </si>
  <si>
    <t>9M</t>
  </si>
  <si>
    <t>CASH FLOW OVERVIEW OF RUNNING PROJECTS</t>
  </si>
  <si>
    <t>INVOICES STATUS</t>
  </si>
  <si>
    <t>S/No.</t>
  </si>
  <si>
    <t>Projects</t>
  </si>
  <si>
    <t>Project ID</t>
  </si>
  <si>
    <t>Task Value</t>
  </si>
  <si>
    <t>Remarks</t>
  </si>
  <si>
    <t>VAT</t>
  </si>
  <si>
    <t>Total</t>
  </si>
  <si>
    <t>Invoices Submitted Without VAT</t>
  </si>
  <si>
    <t>Invoices Submitted With VAT</t>
  </si>
  <si>
    <t>% Completion</t>
  </si>
  <si>
    <t>Earned Value</t>
  </si>
  <si>
    <t>Remaining Value</t>
  </si>
  <si>
    <t>MLTX-01-085</t>
  </si>
  <si>
    <t>Jeddah 2 - Food Cluster - RBF 450 &amp; 900 m2</t>
  </si>
  <si>
    <t>JDH2-01-016</t>
  </si>
  <si>
    <t>Jeddah Food Cluster - Masterplan Update &amp; Lands Selection at Jeddah 2nd &amp; 3rd Ind. Cities</t>
  </si>
  <si>
    <t>MLTX-01-093</t>
  </si>
  <si>
    <t>Jeddah 3 - Design of Shared Dry &amp; Cold Storage Warehouses in Jeddah 3 Ind. City</t>
  </si>
  <si>
    <t>JDH3-01-021</t>
  </si>
  <si>
    <t>Master planning a logistic area in Dammam 2</t>
  </si>
  <si>
    <t>DAM2-01-026</t>
  </si>
  <si>
    <t>Hydrology Study for preventing Jeddah 4th Industrial City from floods and stormwater</t>
  </si>
  <si>
    <t>JDH4-01-040</t>
  </si>
  <si>
    <t>DAR Al Riyadh</t>
  </si>
  <si>
    <t>Prepared 
By:</t>
  </si>
  <si>
    <t>Date of invoice</t>
  </si>
  <si>
    <t>Value of invoice</t>
  </si>
  <si>
    <t>Invoice # 1 date</t>
  </si>
  <si>
    <t>Invoice # 1 amount</t>
  </si>
  <si>
    <t>Invoice # 1 vat</t>
  </si>
  <si>
    <t>Invoice # 1 total</t>
  </si>
  <si>
    <t>Invoice # 2 date</t>
  </si>
  <si>
    <t>Invoice # 2 amount</t>
  </si>
  <si>
    <t>Invoice # 2 vat</t>
  </si>
  <si>
    <t>Invoice # 2 total</t>
  </si>
  <si>
    <t>Invoice # 3 date</t>
  </si>
  <si>
    <t>Invoice # 3 amount</t>
  </si>
  <si>
    <t>Invoice # 3 vat</t>
  </si>
  <si>
    <t>Invoice # 3 total</t>
  </si>
  <si>
    <t>Invoice # 4 date</t>
  </si>
  <si>
    <t>Invoice # 4 amount</t>
  </si>
  <si>
    <t>Invoice # 4 vat</t>
  </si>
  <si>
    <t>Invoice # 4 total</t>
  </si>
  <si>
    <t>Invoice # 5 date</t>
  </si>
  <si>
    <t>Invoice # 5 amount</t>
  </si>
  <si>
    <t>Invoice # 5 vat</t>
  </si>
  <si>
    <t>Invoice # 5 total</t>
  </si>
  <si>
    <t>Invoice # 6 date</t>
  </si>
  <si>
    <t>Invoice # 6 amount</t>
  </si>
  <si>
    <t>Invoice # 6 vat</t>
  </si>
  <si>
    <t>Invoice # 6 total</t>
  </si>
  <si>
    <t>Invoice # 7 date</t>
  </si>
  <si>
    <t>Invoice # 7 amount</t>
  </si>
  <si>
    <t>Invoice # 7 vat</t>
  </si>
  <si>
    <t>Invoice # 7 total</t>
  </si>
  <si>
    <t>Invoice # 8 date</t>
  </si>
  <si>
    <t>Invoice # 8 amount</t>
  </si>
  <si>
    <t>Invoice # 8 vat</t>
  </si>
  <si>
    <t>Invoice # 8 total</t>
  </si>
  <si>
    <t>Invoice # 9 date</t>
  </si>
  <si>
    <t>Invoice # 9 amount</t>
  </si>
  <si>
    <t>Invoice # 9 vat</t>
  </si>
  <si>
    <t>Invoice # 9 total</t>
  </si>
  <si>
    <t>Invoice # 10 date</t>
  </si>
  <si>
    <t>Invoice # 10 amount</t>
  </si>
  <si>
    <t>Invoice # 10 vat</t>
  </si>
  <si>
    <t>Invoice # 10 total</t>
  </si>
  <si>
    <t>Invoice # 11 date</t>
  </si>
  <si>
    <t>Invoice # 11 amount</t>
  </si>
  <si>
    <t>Invoice # 11 vat</t>
  </si>
  <si>
    <t>Invoice # 11 total</t>
  </si>
  <si>
    <t>Invoice # 12 date</t>
  </si>
  <si>
    <t>Invoice # 12 amount</t>
  </si>
  <si>
    <t>Invoice # 12 vat</t>
  </si>
  <si>
    <t>Invoice # 12 total</t>
  </si>
  <si>
    <t>Invoice # 13 date</t>
  </si>
  <si>
    <t>Invoice # 13 amount</t>
  </si>
  <si>
    <t>Invoice # 13 vat</t>
  </si>
  <si>
    <t>Invoice # 13 total</t>
  </si>
  <si>
    <t>Invoice # 14 date</t>
  </si>
  <si>
    <t>Invoice # 14 amount</t>
  </si>
  <si>
    <t>Invoice # 14 vat</t>
  </si>
  <si>
    <t>Invoice # 14 total</t>
  </si>
  <si>
    <t>DA TES 2020-2025</t>
  </si>
  <si>
    <t>Invoice # 15 date</t>
  </si>
  <si>
    <t>Invoice # 15 amount</t>
  </si>
  <si>
    <t>Invoice # 15 vat</t>
  </si>
  <si>
    <t>Invoice # 15 total</t>
  </si>
  <si>
    <t>DAM2-02-027</t>
  </si>
  <si>
    <t>Invoice # 16 date</t>
  </si>
  <si>
    <t>Invoice # 16 amount</t>
  </si>
  <si>
    <t>Invoice # 16 vat</t>
  </si>
  <si>
    <t>Invoice # 16 total</t>
  </si>
  <si>
    <t>Reviewing the masterplan for alkhrj nd. City</t>
  </si>
  <si>
    <t>SYSTRA</t>
  </si>
  <si>
    <t>MLTX-01-102</t>
  </si>
  <si>
    <t>Masterplan &amp; Infrstructure Detailed Design For Technology Zones (Jenadryah)</t>
  </si>
  <si>
    <t>JNDT-01-001</t>
  </si>
  <si>
    <t>MLTX-01-099</t>
  </si>
  <si>
    <t>Updated concept masterplan &amp; Infrastructure designs for Tabouk ind. City</t>
  </si>
  <si>
    <t>TAB-01-009</t>
  </si>
  <si>
    <t>Project support services (6 months) (Masterplan)</t>
  </si>
  <si>
    <t>Project support services (6 months) (VRO)</t>
  </si>
  <si>
    <t>ENGICON</t>
  </si>
  <si>
    <t>Riyadh 4 Masterplan and Infrastructure concept design</t>
  </si>
  <si>
    <t>EGEC old</t>
  </si>
  <si>
    <t>10M</t>
  </si>
  <si>
    <t>Invoice # 17 date</t>
  </si>
  <si>
    <t>Invoice # 17 amount</t>
  </si>
  <si>
    <t>Invoice # 17 vat</t>
  </si>
  <si>
    <t>Invoice # 17 total</t>
  </si>
  <si>
    <t>`</t>
  </si>
  <si>
    <t>Detail MPL and infra Design for the multi-use area in Dammam2</t>
  </si>
  <si>
    <t>DAM2-01-029</t>
  </si>
  <si>
    <t>JDH2-01-023</t>
  </si>
  <si>
    <t>الدراسه القيميه لمشاريع المصانع الجاهزة</t>
  </si>
  <si>
    <t>Design shared services center - Food cluster</t>
  </si>
  <si>
    <t>Invoice # 18 date</t>
  </si>
  <si>
    <t>Invoice # 18 amount</t>
  </si>
  <si>
    <t>Invoice # 18 vat</t>
  </si>
  <si>
    <t>Invoice # 18 total</t>
  </si>
  <si>
    <t>advance payment (10%): 3,201,326.3</t>
  </si>
  <si>
    <t>Description</t>
  </si>
  <si>
    <t>Engineer/ Discipline Specialist</t>
  </si>
  <si>
    <t>Lead Engineer/ Discipline Engineer</t>
  </si>
  <si>
    <t>Sr. Engineer/ Senior discipline specialist</t>
  </si>
  <si>
    <t>Draftsman</t>
  </si>
  <si>
    <t>Lead engineer/ discipline expert</t>
  </si>
  <si>
    <t>Category</t>
  </si>
  <si>
    <t>Rate</t>
  </si>
  <si>
    <t>E2/ Project Manager</t>
  </si>
  <si>
    <t>F2/ Project Manager</t>
  </si>
  <si>
    <t>A1</t>
  </si>
  <si>
    <t>B1</t>
  </si>
  <si>
    <t>C1</t>
  </si>
  <si>
    <t>D1</t>
  </si>
  <si>
    <t>A2</t>
  </si>
  <si>
    <t>B2</t>
  </si>
  <si>
    <t>C2</t>
  </si>
  <si>
    <t>D2</t>
  </si>
  <si>
    <t>E2</t>
  </si>
  <si>
    <t>F2</t>
  </si>
  <si>
    <t>Invoice 1</t>
  </si>
  <si>
    <t>Amount</t>
  </si>
  <si>
    <t>Quantity</t>
  </si>
  <si>
    <t>Tabouk</t>
  </si>
  <si>
    <t>Invoice # 19 date</t>
  </si>
  <si>
    <t>Invoice # 19 amount</t>
  </si>
  <si>
    <t>Invoice # 19 vat</t>
  </si>
  <si>
    <t>Invoice # 19 total</t>
  </si>
  <si>
    <t>Quantity2</t>
  </si>
  <si>
    <t>Amount3</t>
  </si>
  <si>
    <t>Invoice 2</t>
  </si>
  <si>
    <t>Project support services</t>
  </si>
  <si>
    <t>Testing and evaluating concrete structure</t>
  </si>
  <si>
    <t>Invoice # 20 date</t>
  </si>
  <si>
    <t>Invoice # 20 amount</t>
  </si>
  <si>
    <t>Invoice # 20 vat</t>
  </si>
  <si>
    <t>Invoice # 20 total</t>
  </si>
  <si>
    <t>Riyadh 4</t>
  </si>
  <si>
    <t>Data collection - A</t>
  </si>
  <si>
    <t>Geotechnical - A</t>
  </si>
  <si>
    <t>Benchmark - A</t>
  </si>
  <si>
    <t>Concept masterplan - A</t>
  </si>
  <si>
    <t>Concept Infrastructure - A</t>
  </si>
  <si>
    <t>Urban &amp; Arch. Design guidelines - A</t>
  </si>
  <si>
    <t>Hydrology/Flood protection - A</t>
  </si>
  <si>
    <t>Enabling work package - A</t>
  </si>
  <si>
    <t>TIA - A</t>
  </si>
  <si>
    <t>Detailed masterplan - A</t>
  </si>
  <si>
    <t>Detailed infrastructure - A</t>
  </si>
  <si>
    <t>Detailed infrastructure (90%) - A</t>
  </si>
  <si>
    <t>IFT Package - A</t>
  </si>
  <si>
    <t>IFC Pckage - A</t>
  </si>
  <si>
    <t>Data collection - B</t>
  </si>
  <si>
    <t>Geotechnical - B</t>
  </si>
  <si>
    <t>Benchmark - B</t>
  </si>
  <si>
    <t>Concept masterplan - B</t>
  </si>
  <si>
    <t>Concept Infrastructure - B</t>
  </si>
  <si>
    <t>Urban &amp; Arch. Design guidelines - B</t>
  </si>
  <si>
    <t>Hydrology/Flood protection - B</t>
  </si>
  <si>
    <t>TIA - B</t>
  </si>
  <si>
    <t>Enabling work package - B</t>
  </si>
  <si>
    <t>Detailed masterplan - B</t>
  </si>
  <si>
    <t>Detailed infrastructure - B</t>
  </si>
  <si>
    <t>Detailed infrastructure (90%) - B</t>
  </si>
  <si>
    <t>IFT Package - B</t>
  </si>
  <si>
    <t>IFC Pckage - B</t>
  </si>
  <si>
    <t>A</t>
  </si>
  <si>
    <t>Quantity22</t>
  </si>
  <si>
    <t>Amount33</t>
  </si>
  <si>
    <t>W/OUT VAT</t>
  </si>
  <si>
    <t>NA</t>
  </si>
  <si>
    <t>Total with VAT</t>
  </si>
  <si>
    <t>Adnvance paymnt amount</t>
  </si>
  <si>
    <t>After advance payment discount</t>
  </si>
  <si>
    <t>Completing the infrastructure networks and residential neighborhood in the 2nd industrial city in Dammam</t>
  </si>
  <si>
    <t>Technology zones - Riyadh</t>
  </si>
  <si>
    <t>Total Quantity</t>
  </si>
  <si>
    <t>Remaining Quantity</t>
  </si>
  <si>
    <t>Remaining quantity</t>
  </si>
  <si>
    <t>Total quantity</t>
  </si>
  <si>
    <t>Preliminary designs for the expansion of the industrial city in riyadh</t>
  </si>
  <si>
    <t>Invoice 3</t>
  </si>
  <si>
    <t>Amount34</t>
  </si>
  <si>
    <t>Amount35</t>
  </si>
  <si>
    <t>Invoice 4</t>
  </si>
  <si>
    <t>Incubators in Al-Qassim Oasis</t>
  </si>
  <si>
    <t>QSM3-01-014</t>
  </si>
  <si>
    <t>Invoice # 21 date</t>
  </si>
  <si>
    <t>Invoice # 21 amount</t>
  </si>
  <si>
    <t>Invoice # 21 vat</t>
  </si>
  <si>
    <t>Invoice # 21 total</t>
  </si>
  <si>
    <t>TBA</t>
  </si>
  <si>
    <t>ENGICON - RDH4</t>
  </si>
  <si>
    <t>EGEC - WAS</t>
  </si>
  <si>
    <t>EGEC - NIS2</t>
  </si>
  <si>
    <t>Dar AlRiyadh 2</t>
  </si>
  <si>
    <t>60M</t>
  </si>
  <si>
    <t>Invoice # 22 date</t>
  </si>
  <si>
    <t>Invoice # 22 amount</t>
  </si>
  <si>
    <t>Invoice # 22 vat</t>
  </si>
  <si>
    <t>Invoice # 22 total</t>
  </si>
  <si>
    <t>Invoice # 23 date</t>
  </si>
  <si>
    <t>Invoice # 23 amount</t>
  </si>
  <si>
    <t>Invoice # 23 vat</t>
  </si>
  <si>
    <t>Invoice # 23 total</t>
  </si>
  <si>
    <t>Invoice # 24 date</t>
  </si>
  <si>
    <t>Invoice # 24 amount</t>
  </si>
  <si>
    <t>Invoice # 24 vat</t>
  </si>
  <si>
    <t>Invoice # 24 total</t>
  </si>
  <si>
    <t>Masterplan &amp; Infrstructure Detailed Design For Technology Zones (Dammam)</t>
  </si>
  <si>
    <t>DAMT-01-001</t>
  </si>
  <si>
    <t>Masterplan &amp; Infrstructure Detailed Design For Technology Zones (Dhahran)</t>
  </si>
  <si>
    <t>DHRT-01-001</t>
  </si>
  <si>
    <t>Technical review and transport planning expertise support for Riyadh Industrial cities 1 &amp; 4</t>
  </si>
  <si>
    <t>MLTX-01-111</t>
  </si>
  <si>
    <t>Technology zones - Dammam</t>
  </si>
  <si>
    <t>Column2</t>
  </si>
  <si>
    <t>Column3</t>
  </si>
  <si>
    <t>Column4</t>
  </si>
  <si>
    <t>Technology zones - Dhahran</t>
  </si>
  <si>
    <t>Was 5,482,294 (task order= 1,486,012)</t>
  </si>
  <si>
    <t>Invoice # 25 date</t>
  </si>
  <si>
    <t>Invoice # 25 amount</t>
  </si>
  <si>
    <t>Invoice # 25 vat</t>
  </si>
  <si>
    <t>Invoice # 25 total</t>
  </si>
  <si>
    <t>Quantity3</t>
  </si>
  <si>
    <t>Amount2</t>
  </si>
  <si>
    <t>Amount4</t>
  </si>
  <si>
    <t>Quantity25</t>
  </si>
  <si>
    <t>Amount36</t>
  </si>
  <si>
    <t>Invoice 5</t>
  </si>
  <si>
    <t>Invoice 6</t>
  </si>
  <si>
    <t>Amount342</t>
  </si>
  <si>
    <t>Amount353</t>
  </si>
  <si>
    <t>with addendum</t>
  </si>
  <si>
    <t>Amount3422</t>
  </si>
  <si>
    <t>Amount3533</t>
  </si>
  <si>
    <t>Riyadh 4 entrance</t>
  </si>
  <si>
    <t>Data collection, concept design, detailed design, and tender package A1</t>
  </si>
  <si>
    <t>Data collection, concept design, detailed design, and tender package B1</t>
  </si>
  <si>
    <t>Data collection, concept design, detailed design, and tender package C1</t>
  </si>
  <si>
    <t>Data collection, concept design, detailed design, and tender package</t>
  </si>
  <si>
    <t>Column5</t>
  </si>
  <si>
    <t>Column6</t>
  </si>
  <si>
    <t>Column7</t>
  </si>
  <si>
    <t>Column8</t>
  </si>
  <si>
    <t>Column9</t>
  </si>
  <si>
    <t>Column10</t>
  </si>
  <si>
    <t>Design work for entrance and facilities for Riyadh 4</t>
  </si>
  <si>
    <t>Incubators in AlQassim oasis</t>
  </si>
  <si>
    <t>Invoice 7</t>
  </si>
  <si>
    <t>Invoice 8</t>
  </si>
  <si>
    <t>Quantity222</t>
  </si>
  <si>
    <t>Amount333</t>
  </si>
  <si>
    <t>Quantity2222</t>
  </si>
  <si>
    <t>Amount3333</t>
  </si>
  <si>
    <t xml:space="preserve">Site development and infrastructure design works for expansion in Jeddah 1 </t>
  </si>
  <si>
    <t>Jeddah 1 Expansion</t>
  </si>
  <si>
    <t>Detailed design of connection road (Fly Over) in Dammam 2</t>
  </si>
  <si>
    <t>DAM2-01-033</t>
  </si>
  <si>
    <t>JDH1-01-021</t>
  </si>
  <si>
    <t xml:space="preserve">Labour camp masterplan and infrastructure development in AlKharj </t>
  </si>
  <si>
    <t>KHJ-01-025</t>
  </si>
  <si>
    <t>Site development and buildings design for labour community area in WAS industrial city</t>
  </si>
  <si>
    <t>WAS-01-035</t>
  </si>
  <si>
    <t>RDH4-01-002</t>
  </si>
  <si>
    <t>RDH4-00-001</t>
  </si>
  <si>
    <t>WAS1-01-039</t>
  </si>
  <si>
    <t>Design commercial area with fuel station in Waad AlShamal</t>
  </si>
  <si>
    <t>WAS-01-034</t>
  </si>
  <si>
    <t>Labour camp in AlKharj</t>
  </si>
  <si>
    <t>Labour community WAS</t>
  </si>
  <si>
    <t>MLTX-01-100</t>
  </si>
  <si>
    <t>Potable water pipeline supply and connection to alkharj 1st ind. City</t>
  </si>
  <si>
    <t>KHJ-01-026</t>
  </si>
  <si>
    <t>ENGICON - Package1</t>
  </si>
  <si>
    <t>MLTX-01-098</t>
  </si>
  <si>
    <t>NIS Design adaptation of RBF 450 , 900 m2</t>
  </si>
  <si>
    <t>Amount3534</t>
  </si>
  <si>
    <t>Amount3535</t>
  </si>
  <si>
    <t>Invoice 9</t>
  </si>
  <si>
    <t>Potable water pipeline supply and connection to kharj 1</t>
  </si>
  <si>
    <t>Quantity32</t>
  </si>
  <si>
    <t>Flyover</t>
  </si>
  <si>
    <t>Study design RBFs 900 &amp; 450m2 SFDA requirements</t>
  </si>
  <si>
    <t>Commercial area</t>
  </si>
  <si>
    <t>Amount35342</t>
  </si>
  <si>
    <t>Amount35353</t>
  </si>
  <si>
    <t>Amount353422</t>
  </si>
  <si>
    <t>Amount353533</t>
  </si>
  <si>
    <t>PM </t>
  </si>
  <si>
    <t>Saed</t>
  </si>
  <si>
    <t>Ibrahim</t>
  </si>
  <si>
    <t>Malik - Omar </t>
  </si>
  <si>
    <t>Shoug </t>
  </si>
  <si>
    <t>Detailed design of lake park and supply connection for Sudair Industrial City</t>
  </si>
  <si>
    <t>SUD1-01-033</t>
  </si>
  <si>
    <t>Invoice 11</t>
  </si>
  <si>
    <t>Quantity22222</t>
  </si>
  <si>
    <t>Amount33333</t>
  </si>
  <si>
    <t>VO</t>
  </si>
  <si>
    <t>Amount353534</t>
  </si>
  <si>
    <t>Amount353535</t>
  </si>
  <si>
    <t>الضمان</t>
  </si>
  <si>
    <t>Amount37</t>
  </si>
  <si>
    <t>ASFT-01-001</t>
  </si>
  <si>
    <t>KUMT-01-001</t>
  </si>
  <si>
    <t>Technology Zone- Asfan</t>
  </si>
  <si>
    <t>Technology Zone- Khumra</t>
  </si>
  <si>
    <t>RBF's</t>
  </si>
  <si>
    <t>E1</t>
  </si>
  <si>
    <t>F1</t>
  </si>
  <si>
    <t>Project Manager</t>
  </si>
  <si>
    <t xml:space="preserve"> Project Manager</t>
  </si>
  <si>
    <t>Sudair lake</t>
  </si>
  <si>
    <t>TOTAL</t>
  </si>
  <si>
    <t>NIS RBF</t>
  </si>
  <si>
    <t>Amount38</t>
  </si>
  <si>
    <t>Development of labour camps in: DAM03, NJR, MKH2, JDH2, SUD, ASR1</t>
  </si>
  <si>
    <t>MLTX-01-119</t>
  </si>
  <si>
    <t>Meinhardt (KHJ- FOOD)</t>
  </si>
  <si>
    <t>KHJ1-01-020</t>
  </si>
  <si>
    <t xml:space="preserve">Project support services </t>
  </si>
  <si>
    <t>ENGICON - RDH4 PH2</t>
  </si>
  <si>
    <t>36M</t>
  </si>
  <si>
    <t>AlDar International (KHJ - FOOD2)</t>
  </si>
  <si>
    <t>Meinhardt (KHJ - FOOD)</t>
  </si>
  <si>
    <t>ENGICON - Logistics</t>
  </si>
  <si>
    <t>EGEC - NIS3</t>
  </si>
  <si>
    <t>RDH4-01-003</t>
  </si>
  <si>
    <t>MLTX-01-117</t>
  </si>
  <si>
    <t>MLTX-01-112</t>
  </si>
  <si>
    <t>KHJ-01-027</t>
  </si>
  <si>
    <t>Technology zones - Asfan</t>
  </si>
  <si>
    <t>Technology zones - Khumra</t>
  </si>
  <si>
    <t>Invoice 10</t>
  </si>
  <si>
    <t>Invoice 12</t>
  </si>
  <si>
    <t>quantity4</t>
  </si>
  <si>
    <t>amount2</t>
  </si>
  <si>
    <t>Amount39</t>
  </si>
  <si>
    <t>Column11</t>
  </si>
  <si>
    <t>Column12</t>
  </si>
  <si>
    <t>Logistic Zones (JDH3,DAM3,MAD,MKH2)</t>
  </si>
  <si>
    <t>MLTX-01-123</t>
  </si>
  <si>
    <t>70 RBF's in Riyadh 04</t>
  </si>
  <si>
    <t>AlKharj Food cluster</t>
  </si>
  <si>
    <t>KHJ1-01-030</t>
  </si>
  <si>
    <t>Development of Design guidelines, production strategy, and prototype packages for mid-sized RBFs</t>
  </si>
  <si>
    <t>Riyadh 3 Business incubators</t>
  </si>
  <si>
    <t>RDH3-01-012</t>
  </si>
  <si>
    <t>Improving the entrances and exit points for Jeddah 1</t>
  </si>
  <si>
    <t>JDH1-01-028</t>
  </si>
  <si>
    <t>Finsih Date2</t>
  </si>
  <si>
    <t>Start Date</t>
  </si>
  <si>
    <t>Logistics</t>
  </si>
  <si>
    <t>Hydrology study for Jeddah 2</t>
  </si>
  <si>
    <t>Jenadriyadh Business Incubators</t>
  </si>
  <si>
    <t>JNDT-01-002</t>
  </si>
  <si>
    <t>Invoice13</t>
  </si>
  <si>
    <t>Project support services 3</t>
  </si>
  <si>
    <t>Invoice12</t>
  </si>
  <si>
    <t>Amount334</t>
  </si>
  <si>
    <t>Invoice 14</t>
  </si>
  <si>
    <t>Quantity223</t>
  </si>
  <si>
    <t xml:space="preserve">Adaptation and Design of an  Administrative Building Humanization in Riyadh 2 </t>
  </si>
  <si>
    <t>Adaptation and Design of an  Administrative Building Humanization in Riyadh 2</t>
  </si>
  <si>
    <t>Invoice 15</t>
  </si>
  <si>
    <t>Amount40</t>
  </si>
  <si>
    <t>quantity5</t>
  </si>
  <si>
    <t>amount32</t>
  </si>
  <si>
    <t>.</t>
  </si>
  <si>
    <t>amount33</t>
  </si>
  <si>
    <t>quantity6</t>
  </si>
  <si>
    <t>Amount363</t>
  </si>
  <si>
    <t>Invoice5</t>
  </si>
  <si>
    <t>Amount41</t>
  </si>
  <si>
    <t>Amount42</t>
  </si>
  <si>
    <t>Invoice7</t>
  </si>
  <si>
    <t>Development for the Masterplan and Concept Infrastructure for the expansion of Riyadh 4 industrial city</t>
  </si>
  <si>
    <t>RDH4-01-005</t>
  </si>
  <si>
    <t xml:space="preserve"> </t>
  </si>
  <si>
    <t xml:space="preserve">F1 </t>
  </si>
  <si>
    <t>Invoice1</t>
  </si>
  <si>
    <t>Industrial incubators 3rd ind. City</t>
  </si>
  <si>
    <t>NO.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</si>
  <si>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</si>
  <si>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</si>
  <si>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</si>
  <si>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</si>
  <si>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</si>
  <si>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</si>
  <si>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</si>
  <si>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</si>
  <si>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</si>
  <si>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</si>
  <si>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</si>
  <si>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</si>
  <si>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</si>
  <si>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</si>
  <si>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</si>
  <si>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</si>
  <si>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</si>
  <si>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</si>
  <si>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</si>
  <si>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</si>
  <si>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</si>
  <si>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</si>
  <si>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</si>
  <si>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</si>
  <si>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</si>
  <si>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</si>
  <si>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</si>
  <si>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</si>
  <si>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</si>
  <si>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</si>
  <si>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</si>
  <si>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</si>
  <si>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</si>
  <si>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</si>
  <si>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</si>
  <si>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</si>
  <si>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</si>
  <si>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</si>
  <si>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</si>
  <si>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</si>
  <si>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</si>
  <si>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</si>
  <si>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</si>
  <si>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</si>
  <si>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</si>
  <si>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</si>
  <si>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</si>
  <si>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</si>
  <si>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</si>
  <si>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</si>
  <si>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</si>
  <si>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</si>
  <si>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Column73</t>
  </si>
  <si>
    <t>Column72</t>
  </si>
  <si>
    <t>Column74</t>
  </si>
  <si>
    <t>Column71</t>
  </si>
  <si>
    <t>Column77</t>
  </si>
  <si>
    <t>Column78</t>
  </si>
  <si>
    <t>Column76</t>
  </si>
  <si>
    <t>Column75</t>
  </si>
  <si>
    <t>Column79</t>
  </si>
  <si>
    <t>Column82</t>
  </si>
  <si>
    <t>Column81</t>
  </si>
  <si>
    <t>Column80</t>
  </si>
  <si>
    <t>Column86</t>
  </si>
  <si>
    <t>Column85</t>
  </si>
  <si>
    <t>Column84</t>
  </si>
  <si>
    <t>Column83</t>
  </si>
  <si>
    <t>Column90</t>
  </si>
  <si>
    <t>Column89</t>
  </si>
  <si>
    <t>Column88</t>
  </si>
  <si>
    <t>Column87</t>
  </si>
  <si>
    <t>Column94</t>
  </si>
  <si>
    <t>Column93</t>
  </si>
  <si>
    <t>Column92</t>
  </si>
  <si>
    <t>Column91</t>
  </si>
  <si>
    <t>Column98</t>
  </si>
  <si>
    <t>Column97</t>
  </si>
  <si>
    <t>Column96</t>
  </si>
  <si>
    <t>Column95</t>
  </si>
  <si>
    <t>Column102</t>
  </si>
  <si>
    <t>Column101</t>
  </si>
  <si>
    <t>Column100</t>
  </si>
  <si>
    <t>Column99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</si>
  <si>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</si>
  <si>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</si>
  <si>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</si>
  <si>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</si>
  <si>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</si>
  <si>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</si>
  <si>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</si>
  <si>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</si>
  <si>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Column114</t>
  </si>
  <si>
    <t>Column113</t>
  </si>
  <si>
    <t>Column112</t>
  </si>
  <si>
    <t>Column111</t>
  </si>
  <si>
    <t>Column65</t>
  </si>
  <si>
    <t>Column66</t>
  </si>
  <si>
    <t>Column67</t>
  </si>
  <si>
    <t>Column68</t>
  </si>
  <si>
    <t>Column69</t>
  </si>
  <si>
    <t>Column70</t>
  </si>
  <si>
    <t>Quantity26</t>
  </si>
  <si>
    <t xml:space="preserve">Incubators Riyadh Janariyah </t>
  </si>
  <si>
    <t>Invoice 16</t>
  </si>
  <si>
    <t>Invoice16</t>
  </si>
  <si>
    <t>Project support services 4</t>
  </si>
  <si>
    <t>Amount364</t>
  </si>
  <si>
    <t>Invoice2</t>
  </si>
  <si>
    <t>TYPSA- (KHJ2-01-001)</t>
  </si>
  <si>
    <t>TYPSA- (KHJ-AMIC)</t>
  </si>
  <si>
    <t>KHJ2-01-001</t>
  </si>
  <si>
    <t>a</t>
  </si>
  <si>
    <t>b</t>
  </si>
  <si>
    <t>c</t>
  </si>
  <si>
    <t>Finsih Date</t>
  </si>
  <si>
    <t xml:space="preserve">Framework status </t>
  </si>
  <si>
    <t>Framework ID</t>
  </si>
  <si>
    <t>Framework name</t>
  </si>
  <si>
    <t>Project Name</t>
  </si>
  <si>
    <t>Project Total amount</t>
  </si>
  <si>
    <t>Framework Total amount</t>
  </si>
  <si>
    <t>Task Value2</t>
  </si>
  <si>
    <t>Framework Status</t>
  </si>
  <si>
    <t>Project status</t>
  </si>
  <si>
    <t>Closed</t>
  </si>
  <si>
    <t>ongoing</t>
  </si>
  <si>
    <t>Ongoing</t>
  </si>
  <si>
    <t>Remaining from framework</t>
  </si>
  <si>
    <t>Remaining to Invoice</t>
  </si>
  <si>
    <t>JDH2-01-028</t>
  </si>
  <si>
    <t>WAS1-01-035</t>
  </si>
  <si>
    <t>RDH2-01-031</t>
  </si>
  <si>
    <t>Military Industries City in Al Kharj</t>
  </si>
  <si>
    <t>Initial Info. Package; Gap Tracker</t>
  </si>
  <si>
    <t>Rapid Site, Data &amp; Gap Analysis</t>
  </si>
  <si>
    <t>Military Survey- Methodology</t>
  </si>
  <si>
    <t>Military Survey-Survey Data</t>
  </si>
  <si>
    <t>Military Survey-Report &amp; Analysis</t>
  </si>
  <si>
    <t>Traffic Impact Study</t>
  </si>
  <si>
    <t>Environmental Impact Assmt.</t>
  </si>
  <si>
    <t>Waste Management Plan</t>
  </si>
  <si>
    <t>Post-Hydrology Study</t>
  </si>
  <si>
    <t>Safety Impact Assessment Report</t>
  </si>
  <si>
    <t>HCIS Security Report</t>
  </si>
  <si>
    <t>Data Gathering &amp; Baseline Assmt.</t>
  </si>
  <si>
    <t>Benchmark Successful Cases</t>
  </si>
  <si>
    <t>Market Assmt. &amp; Demand Forecast</t>
  </si>
  <si>
    <t>Development Scenarios</t>
  </si>
  <si>
    <t>Governance Model</t>
  </si>
  <si>
    <t>Mix of Products &amp; Incentives</t>
  </si>
  <si>
    <t>Business Plan</t>
  </si>
  <si>
    <t>Financial Modelling &amp; Risk Assmt.</t>
  </si>
  <si>
    <t>Inputs to the Master Plan Devt.</t>
  </si>
  <si>
    <t>3 Preliminary Masterplan Options</t>
  </si>
  <si>
    <t xml:space="preserve">Fast-Track Concept Master Plan </t>
  </si>
  <si>
    <t>Pre-Concept Infra. Strategy (Plot)</t>
  </si>
  <si>
    <t>Concept Infrastructure (F&amp;G)
Pre-workshop Submission</t>
  </si>
  <si>
    <t>Concept Infrastructure (F&amp;G)</t>
  </si>
  <si>
    <t>Initial Devt. Brief Workshop &amp; Appr.</t>
  </si>
  <si>
    <t>PPP Model and Roadmap</t>
  </si>
  <si>
    <t>Detailed Master Plan-(F&amp;G)
Pre-workshop Submission</t>
  </si>
  <si>
    <t>Detailed Master Plan-(F&amp;G)</t>
  </si>
  <si>
    <t>Enabling Work / Early Package IFT</t>
  </si>
  <si>
    <t>Detailed Infrastructure 60%-(F&amp;G)</t>
  </si>
  <si>
    <t>Detailed Infrastructure 100%-(F&amp;G)</t>
  </si>
  <si>
    <t>IFT Infrastructure-(Only F&amp;G Zones)</t>
  </si>
  <si>
    <t>Business Plan Project Charter</t>
  </si>
  <si>
    <t>Final Business Plan per DD Compt.</t>
  </si>
  <si>
    <t>Master Planner</t>
  </si>
  <si>
    <t>Utilities &amp; Infra. Specialist</t>
  </si>
  <si>
    <t>Quantity Surveyor</t>
  </si>
  <si>
    <t>Contracts Specialist</t>
  </si>
  <si>
    <t>Specifications Specialist</t>
  </si>
  <si>
    <t>Schematic Infra. Design</t>
  </si>
  <si>
    <t xml:space="preserve">Total WITH VAT </t>
  </si>
  <si>
    <t>Invoice 13</t>
  </si>
  <si>
    <t>Invoice 17</t>
  </si>
  <si>
    <t>Invoice 18</t>
  </si>
  <si>
    <t>Invoice 19</t>
  </si>
  <si>
    <t>Invoice 20</t>
  </si>
  <si>
    <t>Quantity4</t>
  </si>
  <si>
    <t>Amount5</t>
  </si>
  <si>
    <t>Quantity6</t>
  </si>
  <si>
    <t>Amount7</t>
  </si>
  <si>
    <t>Quantity8</t>
  </si>
  <si>
    <t>Amount9</t>
  </si>
  <si>
    <t>Quantity10</t>
  </si>
  <si>
    <t>Amount11</t>
  </si>
  <si>
    <t>Quantity12</t>
  </si>
  <si>
    <t>Amount13</t>
  </si>
  <si>
    <t>Quantity14</t>
  </si>
  <si>
    <t>Amount15</t>
  </si>
  <si>
    <t>Quantity16</t>
  </si>
  <si>
    <t>Amount17</t>
  </si>
  <si>
    <t>Quantity18</t>
  </si>
  <si>
    <t>Amount19</t>
  </si>
  <si>
    <t>Quantity20</t>
  </si>
  <si>
    <t>Amount21</t>
  </si>
  <si>
    <t>Amount23</t>
  </si>
  <si>
    <t>Quantity24</t>
  </si>
  <si>
    <t>Amount25</t>
  </si>
  <si>
    <t>Amount27</t>
  </si>
  <si>
    <t>Quantity28</t>
  </si>
  <si>
    <t>Amount29</t>
  </si>
  <si>
    <t>Quantity30</t>
  </si>
  <si>
    <t>Amount31</t>
  </si>
  <si>
    <t>Quantity34</t>
  </si>
  <si>
    <t>Quantity36</t>
  </si>
  <si>
    <t>Quantity38</t>
  </si>
  <si>
    <t>KHJ2-01-000</t>
  </si>
  <si>
    <t>Meinhardt (RDH1-01-006)</t>
  </si>
  <si>
    <t>Design and Engineering Support Works for the Master Plan and Infrastructure Project for the Military Industries City in Al Kharj</t>
  </si>
  <si>
    <t>RDH1-01-007</t>
  </si>
  <si>
    <t>RDH1-01-008</t>
  </si>
  <si>
    <t>RDH1-01-009</t>
  </si>
  <si>
    <t>RDH1-01-000</t>
  </si>
  <si>
    <t>Multi-Story Building</t>
  </si>
  <si>
    <t>Riyadh 1 Industrial City Masterplan</t>
  </si>
  <si>
    <t>Riyadh 1-Codes and Guidelines</t>
  </si>
  <si>
    <t>Riyadh 1-RBF-Value Engineering</t>
  </si>
  <si>
    <t>Invoice17</t>
  </si>
  <si>
    <t>Invoice</t>
  </si>
  <si>
    <t>Ddevelopment The walkway In residential area Jeddah1</t>
  </si>
  <si>
    <t xml:space="preserve"> The walkway In residential area Jeddah1</t>
  </si>
  <si>
    <t>Invoice3</t>
  </si>
  <si>
    <t>Invoice4</t>
  </si>
  <si>
    <t>Design Bridge 3rd HIGHWAY RiyaDH 4</t>
  </si>
  <si>
    <t>Invoice6</t>
  </si>
  <si>
    <t xml:space="preserve">Lead Engineer/ Discipline Expert </t>
  </si>
  <si>
    <t>Quantity27</t>
  </si>
  <si>
    <t>Amount365</t>
  </si>
  <si>
    <t>Amount366</t>
  </si>
  <si>
    <t>Quantity29</t>
  </si>
  <si>
    <t>Amount367</t>
  </si>
  <si>
    <t xml:space="preserve">Rate </t>
  </si>
  <si>
    <t xml:space="preserve">Quanty </t>
  </si>
  <si>
    <t xml:space="preserve">total </t>
  </si>
  <si>
    <t>RDH1-01-006</t>
  </si>
  <si>
    <t xml:space="preserve">Total </t>
  </si>
  <si>
    <t>Bonded Zone in Jeddah 3rd Industrial City-MSC</t>
  </si>
  <si>
    <t>Invoice20</t>
  </si>
  <si>
    <t xml:space="preserve">Development of full Design for Multi - Story Building for foure Sities </t>
  </si>
  <si>
    <t xml:space="preserve">Development of full Design Of Mid RBFs for Food , Machinery &amp; Equipment and Pharmceutical Cluster </t>
  </si>
  <si>
    <t xml:space="preserve">SIDF-RBF SITE ADAPTATION 450 &amp;900M2 IN 5  CITIES </t>
  </si>
  <si>
    <t xml:space="preserve">Adimn Building In Riyadh 4 </t>
  </si>
  <si>
    <t xml:space="preserve">Oasis Lab Riyadh 4 </t>
  </si>
  <si>
    <t>Riyadh4 Industrial City expansion 1&amp;2</t>
  </si>
  <si>
    <t>KHJ2-01-007</t>
  </si>
  <si>
    <t>KHJ2-01-002</t>
  </si>
  <si>
    <t>Strategic Advisory and Military Industrial Planning Support Services</t>
  </si>
  <si>
    <t xml:space="preserve">Comprehensive Facility Survey &amp; Update of As-Builts, Al Kharj MIC </t>
  </si>
  <si>
    <t>KHJ2-01-006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</si>
</sst>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d\-mmm\-yy;@"/>
    <numFmt numFmtId="165" formatCode="[$-409]d\-mmm\-yy;@"/>
    <numFmt numFmtId="166" formatCode="_(* #,##0_);_(* \(#,##0\);_(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_(* #,##0.0000000_);_(* \(#,##0.0000000\);_(* &quot;-&quot;??_);_(@_)"/>
    <numFmt numFmtId="170" formatCode="0.0000"/>
    <numFmt numFmtId="171" formatCode="_(* #,##0.00000000000_);_(* \(#,##0.00000000000\);_(* &quot;-&quot;??_);_(@_)"/>
    <numFmt numFmtId="172" formatCode="_(* #,##0.0000000000_);_(* \(#,##0.0000000000\);_(* &quot;-&quot;??_);_(@_)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5953"/>
      <name val="Janna LT"/>
    </font>
    <font>
      <b/>
      <sz val="20"/>
      <color rgb="FF005953"/>
      <name val="Janna LT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5953"/>
      <name val="Calibri"/>
      <family val="2"/>
      <scheme val="minor"/>
    </font>
    <font>
      <b/>
      <sz val="11"/>
      <color rgb="FF000000"/>
      <name val="Bahij TheSansArabic Plain"/>
      <family val="1"/>
    </font>
    <font>
      <b/>
      <sz val="12"/>
      <color rgb="FF0000FF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rgb="FF005953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2"/>
      <color rgb="FF005953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59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0.34998626667073579"/>
        <bgColor theme="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2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4" tint="0.39997558519241921"/>
      </bottom>
      <diagonal/>
    </border>
    <border>
      <left style="double">
        <color indexed="64"/>
      </left>
      <right style="thin">
        <color indexed="64"/>
      </right>
      <top style="thin">
        <color theme="4" tint="0.39997558519241921"/>
      </top>
      <bottom style="hair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double">
        <color indexed="64"/>
      </left>
      <right style="double">
        <color indexed="64"/>
      </right>
      <top style="medium">
        <color rgb="FF8EA9DB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rgb="FF8EA9DB"/>
      </top>
      <bottom style="medium">
        <color indexed="64"/>
      </bottom>
      <diagonal/>
    </border>
    <border>
      <left/>
      <right/>
      <top style="medium">
        <color rgb="FF8EA9DB"/>
      </top>
      <bottom style="medium">
        <color rgb="FF8EA9DB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rgb="FF8EA9DB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hair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/>
      <bottom/>
      <diagonal/>
    </border>
    <border>
      <left style="double">
        <color theme="1"/>
      </left>
      <right style="double">
        <color theme="1"/>
      </right>
      <top/>
      <bottom style="double">
        <color theme="1"/>
      </bottom>
      <diagonal/>
    </border>
    <border>
      <left/>
      <right style="double">
        <color theme="1"/>
      </right>
      <top style="hair">
        <color indexed="64"/>
      </top>
      <bottom/>
      <diagonal/>
    </border>
    <border>
      <left/>
      <right style="double">
        <color theme="1"/>
      </right>
      <top/>
      <bottom/>
      <diagonal/>
    </border>
    <border>
      <left/>
      <right style="double">
        <color indexed="64"/>
      </right>
      <top style="double">
        <color theme="1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theme="1"/>
      </bottom>
      <diagonal/>
    </border>
    <border>
      <left/>
      <right/>
      <top style="hair">
        <color indexed="64"/>
      </top>
      <bottom style="double">
        <color theme="1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 style="double">
        <color theme="1"/>
      </left>
      <right/>
      <top/>
      <bottom/>
      <diagonal/>
    </border>
    <border>
      <left/>
      <right/>
      <top style="double">
        <color theme="1"/>
      </top>
      <bottom/>
      <diagonal/>
    </border>
    <border>
      <left style="double">
        <color theme="1"/>
      </left>
      <right style="double">
        <color theme="1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double">
        <color theme="1"/>
      </bottom>
      <diagonal/>
    </border>
    <border>
      <left/>
      <right style="double">
        <color indexed="64"/>
      </right>
      <top style="hair">
        <color indexed="64"/>
      </top>
      <bottom style="double">
        <color theme="1"/>
      </bottom>
      <diagonal/>
    </border>
    <border>
      <left style="double">
        <color theme="1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theme="1"/>
      </bottom>
      <diagonal/>
    </border>
    <border>
      <left/>
      <right style="thin">
        <color indexed="64"/>
      </right>
      <top style="hair">
        <color indexed="64"/>
      </top>
      <bottom style="double">
        <color theme="1"/>
      </bottom>
      <diagonal/>
    </border>
    <border>
      <left style="thin">
        <color indexed="64"/>
      </left>
      <right/>
      <top style="hair">
        <color indexed="64"/>
      </top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  <border>
      <left/>
      <right style="double">
        <color indexed="64"/>
      </right>
      <top/>
      <bottom style="double">
        <color theme="1"/>
      </bottom>
      <diagonal/>
    </border>
    <border>
      <left style="double">
        <color indexed="64"/>
      </left>
      <right style="thin">
        <color indexed="64"/>
      </right>
      <top/>
      <bottom style="double">
        <color theme="1"/>
      </bottom>
      <diagonal/>
    </border>
    <border>
      <left style="thin">
        <color indexed="64"/>
      </left>
      <right style="double">
        <color indexed="64"/>
      </right>
      <top/>
      <bottom style="double">
        <color theme="1"/>
      </bottom>
      <diagonal/>
    </border>
    <border>
      <left/>
      <right style="thin">
        <color indexed="64"/>
      </right>
      <top/>
      <bottom style="double">
        <color theme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auto="1"/>
      </left>
      <right style="double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/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ck">
        <color auto="1"/>
      </top>
      <bottom/>
      <diagonal/>
    </border>
    <border>
      <left style="double">
        <color indexed="64"/>
      </left>
      <right style="thin">
        <color indexed="64"/>
      </right>
      <top style="thick">
        <color auto="1"/>
      </top>
      <bottom/>
      <diagonal/>
    </border>
    <border>
      <left style="double">
        <color indexed="64"/>
      </left>
      <right style="double">
        <color indexed="64"/>
      </right>
      <top style="thick">
        <color auto="1"/>
      </top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double">
        <color indexed="64"/>
      </bottom>
      <diagonal/>
    </border>
    <border>
      <left style="thick">
        <color auto="1"/>
      </left>
      <right style="thin">
        <color indexed="64"/>
      </right>
      <top/>
      <bottom style="thick">
        <color auto="1"/>
      </bottom>
      <diagonal/>
    </border>
    <border>
      <left style="double">
        <color indexed="64"/>
      </left>
      <right style="double">
        <color indexed="64"/>
      </right>
      <top/>
      <bottom style="thick">
        <color auto="1"/>
      </bottom>
      <diagonal/>
    </border>
    <border>
      <left style="double">
        <color indexed="64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double">
        <color indexed="64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ck">
        <color auto="1"/>
      </right>
      <top style="double">
        <color indexed="64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 style="double">
        <color indexed="64"/>
      </left>
      <right style="thick">
        <color auto="1"/>
      </right>
      <top style="double">
        <color auto="1"/>
      </top>
      <bottom style="thin">
        <color indexed="64"/>
      </bottom>
      <diagonal/>
    </border>
    <border>
      <left style="thick">
        <color auto="1"/>
      </left>
      <right style="double">
        <color indexed="64"/>
      </right>
      <top/>
      <bottom style="double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311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3" fontId="7" fillId="0" borderId="3" xfId="0" applyNumberFormat="1" applyFont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 applyProtection="1">
      <alignment horizontal="center" vertical="center"/>
      <protection locked="0"/>
    </xf>
    <xf numFmtId="3" fontId="7" fillId="0" borderId="5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0" borderId="5" xfId="0" applyFont="1" applyBorder="1" applyAlignment="1" applyProtection="1">
      <alignment horizontal="center" vertical="center"/>
      <protection locked="0"/>
    </xf>
    <xf numFmtId="164" fontId="7" fillId="0" borderId="5" xfId="0" applyNumberFormat="1" applyFont="1" applyBorder="1" applyAlignment="1" applyProtection="1">
      <alignment horizontal="center" vertical="center"/>
      <protection locked="0"/>
    </xf>
    <xf numFmtId="3" fontId="7" fillId="0" borderId="8" xfId="0" applyNumberFormat="1" applyFont="1" applyBorder="1" applyAlignment="1" applyProtection="1">
      <alignment horizontal="center" vertical="center"/>
      <protection locked="0"/>
    </xf>
    <xf numFmtId="43" fontId="7" fillId="0" borderId="5" xfId="1" applyFont="1" applyBorder="1" applyAlignment="1" applyProtection="1">
      <alignment horizontal="center" vertical="center"/>
      <protection locked="0"/>
    </xf>
    <xf numFmtId="43" fontId="7" fillId="0" borderId="0" xfId="1" applyFont="1" applyAlignment="1" applyProtection="1">
      <alignment horizontal="center" vertical="center"/>
      <protection locked="0"/>
    </xf>
    <xf numFmtId="3" fontId="10" fillId="0" borderId="0" xfId="0" applyNumberFormat="1" applyFont="1"/>
    <xf numFmtId="0" fontId="7" fillId="2" borderId="6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15" fontId="11" fillId="0" borderId="0" xfId="0" applyNumberFormat="1" applyFont="1" applyAlignment="1" applyProtection="1">
      <alignment horizontal="center" vertical="center"/>
      <protection locked="0"/>
    </xf>
    <xf numFmtId="0" fontId="3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3" fontId="7" fillId="0" borderId="11" xfId="0" applyNumberFormat="1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13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5" xfId="0" applyFont="1" applyFill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7" fillId="7" borderId="35" xfId="0" applyFont="1" applyFill="1" applyBorder="1" applyAlignment="1">
      <alignment horizontal="center" vertical="center"/>
    </xf>
    <xf numFmtId="3" fontId="8" fillId="5" borderId="36" xfId="0" applyNumberFormat="1" applyFont="1" applyFill="1" applyBorder="1" applyAlignment="1">
      <alignment horizontal="center" vertical="center"/>
    </xf>
    <xf numFmtId="4" fontId="16" fillId="0" borderId="38" xfId="1" applyNumberFormat="1" applyFont="1" applyFill="1" applyBorder="1" applyAlignment="1">
      <alignment horizontal="center"/>
    </xf>
    <xf numFmtId="4" fontId="16" fillId="0" borderId="0" xfId="1" applyNumberFormat="1" applyFont="1" applyFill="1" applyBorder="1" applyAlignment="1">
      <alignment horizontal="center"/>
    </xf>
    <xf numFmtId="4" fontId="16" fillId="0" borderId="39" xfId="1" applyNumberFormat="1" applyFont="1" applyFill="1" applyBorder="1" applyAlignment="1">
      <alignment horizontal="center"/>
    </xf>
    <xf numFmtId="4" fontId="16" fillId="0" borderId="40" xfId="1" applyNumberFormat="1" applyFont="1" applyFill="1" applyBorder="1" applyAlignment="1">
      <alignment horizontal="center"/>
    </xf>
    <xf numFmtId="4" fontId="16" fillId="0" borderId="41" xfId="1" applyNumberFormat="1" applyFont="1" applyFill="1" applyBorder="1" applyAlignment="1">
      <alignment horizontal="center"/>
    </xf>
    <xf numFmtId="4" fontId="16" fillId="0" borderId="42" xfId="1" applyNumberFormat="1" applyFont="1" applyFill="1" applyBorder="1" applyAlignment="1">
      <alignment horizontal="center"/>
    </xf>
    <xf numFmtId="4" fontId="16" fillId="0" borderId="37" xfId="1" applyNumberFormat="1" applyFont="1" applyFill="1" applyBorder="1" applyAlignment="1">
      <alignment horizontal="center"/>
    </xf>
    <xf numFmtId="4" fontId="16" fillId="0" borderId="43" xfId="1" applyNumberFormat="1" applyFont="1" applyFill="1" applyBorder="1" applyAlignment="1">
      <alignment horizontal="center"/>
    </xf>
    <xf numFmtId="165" fontId="16" fillId="0" borderId="37" xfId="1" applyNumberFormat="1" applyFont="1" applyFill="1" applyBorder="1" applyAlignment="1">
      <alignment horizontal="center"/>
    </xf>
    <xf numFmtId="165" fontId="16" fillId="0" borderId="39" xfId="1" applyNumberFormat="1" applyFont="1" applyFill="1" applyBorder="1" applyAlignment="1">
      <alignment horizontal="center"/>
    </xf>
    <xf numFmtId="4" fontId="16" fillId="0" borderId="44" xfId="1" applyNumberFormat="1" applyFont="1" applyFill="1" applyBorder="1" applyAlignment="1">
      <alignment horizontal="center"/>
    </xf>
    <xf numFmtId="4" fontId="16" fillId="0" borderId="45" xfId="1" applyNumberFormat="1" applyFont="1" applyFill="1" applyBorder="1" applyAlignment="1">
      <alignment horizontal="center"/>
    </xf>
    <xf numFmtId="4" fontId="16" fillId="0" borderId="46" xfId="1" applyNumberFormat="1" applyFont="1" applyFill="1" applyBorder="1" applyAlignment="1">
      <alignment horizontal="center"/>
    </xf>
    <xf numFmtId="0" fontId="7" fillId="0" borderId="50" xfId="0" applyFont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3" fontId="8" fillId="5" borderId="53" xfId="0" applyNumberFormat="1" applyFont="1" applyFill="1" applyBorder="1" applyAlignment="1">
      <alignment horizontal="center" vertical="center"/>
    </xf>
    <xf numFmtId="165" fontId="15" fillId="0" borderId="44" xfId="2" applyNumberFormat="1" applyFont="1" applyFill="1" applyBorder="1" applyAlignment="1">
      <alignment horizontal="center"/>
    </xf>
    <xf numFmtId="4" fontId="16" fillId="0" borderId="55" xfId="1" applyNumberFormat="1" applyFont="1" applyFill="1" applyBorder="1" applyAlignment="1">
      <alignment horizontal="center"/>
    </xf>
    <xf numFmtId="4" fontId="16" fillId="0" borderId="56" xfId="1" applyNumberFormat="1" applyFont="1" applyFill="1" applyBorder="1" applyAlignment="1">
      <alignment horizontal="center"/>
    </xf>
    <xf numFmtId="4" fontId="16" fillId="0" borderId="54" xfId="1" applyNumberFormat="1" applyFont="1" applyFill="1" applyBorder="1" applyAlignment="1">
      <alignment horizontal="center"/>
    </xf>
    <xf numFmtId="165" fontId="16" fillId="0" borderId="44" xfId="1" applyNumberFormat="1" applyFont="1" applyFill="1" applyBorder="1" applyAlignment="1">
      <alignment horizontal="center"/>
    </xf>
    <xf numFmtId="165" fontId="16" fillId="0" borderId="45" xfId="1" applyNumberFormat="1" applyFont="1" applyFill="1" applyBorder="1" applyAlignment="1">
      <alignment horizontal="center"/>
    </xf>
    <xf numFmtId="165" fontId="15" fillId="7" borderId="44" xfId="2" applyNumberFormat="1" applyFont="1" applyFill="1" applyBorder="1" applyAlignment="1">
      <alignment horizontal="center" vertical="center"/>
    </xf>
    <xf numFmtId="4" fontId="16" fillId="0" borderId="51" xfId="1" applyNumberFormat="1" applyFont="1" applyFill="1" applyBorder="1" applyAlignment="1">
      <alignment horizontal="center"/>
    </xf>
    <xf numFmtId="165" fontId="16" fillId="0" borderId="57" xfId="1" applyNumberFormat="1" applyFont="1" applyFill="1" applyBorder="1" applyAlignment="1">
      <alignment horizontal="center"/>
    </xf>
    <xf numFmtId="165" fontId="16" fillId="0" borderId="54" xfId="1" applyNumberFormat="1" applyFont="1" applyFill="1" applyBorder="1" applyAlignment="1">
      <alignment horizontal="center"/>
    </xf>
    <xf numFmtId="0" fontId="7" fillId="0" borderId="58" xfId="0" applyFont="1" applyBorder="1" applyAlignment="1">
      <alignment horizontal="center" vertical="center"/>
    </xf>
    <xf numFmtId="0" fontId="7" fillId="7" borderId="59" xfId="0" applyFont="1" applyFill="1" applyBorder="1" applyAlignment="1">
      <alignment vertical="center"/>
    </xf>
    <xf numFmtId="0" fontId="7" fillId="7" borderId="60" xfId="0" applyFont="1" applyFill="1" applyBorder="1" applyAlignment="1">
      <alignment vertical="center"/>
    </xf>
    <xf numFmtId="0" fontId="7" fillId="7" borderId="60" xfId="0" applyFont="1" applyFill="1" applyBorder="1" applyAlignment="1">
      <alignment horizontal="center" vertical="center"/>
    </xf>
    <xf numFmtId="3" fontId="8" fillId="5" borderId="61" xfId="0" applyNumberFormat="1" applyFont="1" applyFill="1" applyBorder="1" applyAlignment="1">
      <alignment horizontal="center" vertical="center"/>
    </xf>
    <xf numFmtId="165" fontId="15" fillId="7" borderId="62" xfId="2" applyNumberFormat="1" applyFont="1" applyFill="1" applyBorder="1" applyAlignment="1">
      <alignment horizontal="center" vertical="center"/>
    </xf>
    <xf numFmtId="4" fontId="16" fillId="0" borderId="59" xfId="1" applyNumberFormat="1" applyFont="1" applyFill="1" applyBorder="1" applyAlignment="1">
      <alignment horizontal="center"/>
    </xf>
    <xf numFmtId="165" fontId="16" fillId="0" borderId="62" xfId="1" applyNumberFormat="1" applyFont="1" applyFill="1" applyBorder="1" applyAlignment="1">
      <alignment horizontal="center"/>
    </xf>
    <xf numFmtId="165" fontId="16" fillId="0" borderId="63" xfId="1" applyNumberFormat="1" applyFont="1" applyFill="1" applyBorder="1" applyAlignment="1">
      <alignment horizontal="center"/>
    </xf>
    <xf numFmtId="165" fontId="16" fillId="0" borderId="64" xfId="1" applyNumberFormat="1" applyFont="1" applyFill="1" applyBorder="1" applyAlignment="1">
      <alignment horizontal="center"/>
    </xf>
    <xf numFmtId="165" fontId="16" fillId="0" borderId="55" xfId="1" applyNumberFormat="1" applyFont="1" applyFill="1" applyBorder="1" applyAlignment="1">
      <alignment horizontal="center"/>
    </xf>
    <xf numFmtId="4" fontId="16" fillId="0" borderId="62" xfId="1" applyNumberFormat="1" applyFont="1" applyFill="1" applyBorder="1" applyAlignment="1">
      <alignment horizontal="center"/>
    </xf>
    <xf numFmtId="4" fontId="16" fillId="0" borderId="63" xfId="1" applyNumberFormat="1" applyFont="1" applyFill="1" applyBorder="1" applyAlignment="1">
      <alignment horizontal="center"/>
    </xf>
    <xf numFmtId="4" fontId="16" fillId="0" borderId="60" xfId="1" applyNumberFormat="1" applyFont="1" applyFill="1" applyBorder="1" applyAlignment="1">
      <alignment horizontal="center"/>
    </xf>
    <xf numFmtId="0" fontId="7" fillId="7" borderId="58" xfId="0" applyFont="1" applyFill="1" applyBorder="1"/>
    <xf numFmtId="0" fontId="7" fillId="0" borderId="68" xfId="0" applyFont="1" applyBorder="1" applyAlignment="1">
      <alignment horizontal="center" vertical="center"/>
    </xf>
    <xf numFmtId="0" fontId="7" fillId="7" borderId="70" xfId="0" applyFont="1" applyFill="1" applyBorder="1" applyAlignment="1">
      <alignment horizontal="center" vertical="center"/>
    </xf>
    <xf numFmtId="3" fontId="8" fillId="5" borderId="71" xfId="0" applyNumberFormat="1" applyFont="1" applyFill="1" applyBorder="1" applyAlignment="1">
      <alignment horizontal="center" vertical="center"/>
    </xf>
    <xf numFmtId="165" fontId="16" fillId="0" borderId="72" xfId="1" applyNumberFormat="1" applyFont="1" applyFill="1" applyBorder="1" applyAlignment="1">
      <alignment horizontal="center"/>
    </xf>
    <xf numFmtId="165" fontId="16" fillId="0" borderId="75" xfId="1" applyNumberFormat="1" applyFont="1" applyFill="1" applyBorder="1" applyAlignment="1">
      <alignment horizontal="center"/>
    </xf>
    <xf numFmtId="165" fontId="16" fillId="0" borderId="76" xfId="1" applyNumberFormat="1" applyFont="1" applyFill="1" applyBorder="1" applyAlignment="1">
      <alignment horizontal="center"/>
    </xf>
    <xf numFmtId="4" fontId="16" fillId="0" borderId="72" xfId="1" applyNumberFormat="1" applyFont="1" applyFill="1" applyBorder="1" applyAlignment="1">
      <alignment horizontal="center"/>
    </xf>
    <xf numFmtId="4" fontId="16" fillId="0" borderId="77" xfId="1" applyNumberFormat="1" applyFont="1" applyFill="1" applyBorder="1" applyAlignment="1">
      <alignment horizontal="center"/>
    </xf>
    <xf numFmtId="4" fontId="16" fillId="0" borderId="75" xfId="1" applyNumberFormat="1" applyFont="1" applyFill="1" applyBorder="1" applyAlignment="1">
      <alignment horizontal="center"/>
    </xf>
    <xf numFmtId="4" fontId="16" fillId="0" borderId="73" xfId="1" applyNumberFormat="1" applyFont="1" applyFill="1" applyBorder="1" applyAlignment="1">
      <alignment horizontal="center"/>
    </xf>
    <xf numFmtId="0" fontId="7" fillId="5" borderId="25" xfId="0" applyFont="1" applyFill="1" applyBorder="1"/>
    <xf numFmtId="0" fontId="7" fillId="5" borderId="26" xfId="0" applyFont="1" applyFill="1" applyBorder="1" applyAlignment="1">
      <alignment vertical="center"/>
    </xf>
    <xf numFmtId="0" fontId="7" fillId="5" borderId="27" xfId="0" applyFont="1" applyFill="1" applyBorder="1" applyAlignment="1">
      <alignment vertical="center"/>
    </xf>
    <xf numFmtId="3" fontId="8" fillId="6" borderId="28" xfId="0" applyNumberFormat="1" applyFont="1" applyFill="1" applyBorder="1" applyAlignment="1">
      <alignment horizontal="center" vertical="center"/>
    </xf>
    <xf numFmtId="165" fontId="15" fillId="7" borderId="29" xfId="2" applyNumberFormat="1" applyFont="1" applyFill="1" applyBorder="1" applyAlignment="1">
      <alignment horizontal="center" vertical="center"/>
    </xf>
    <xf numFmtId="4" fontId="16" fillId="0" borderId="31" xfId="1" applyNumberFormat="1" applyFont="1" applyFill="1" applyBorder="1" applyAlignment="1">
      <alignment horizontal="center"/>
    </xf>
    <xf numFmtId="4" fontId="17" fillId="0" borderId="26" xfId="1" applyNumberFormat="1" applyFont="1" applyFill="1" applyBorder="1" applyAlignment="1">
      <alignment horizontal="center"/>
    </xf>
    <xf numFmtId="165" fontId="16" fillId="0" borderId="29" xfId="1" applyNumberFormat="1" applyFont="1" applyFill="1" applyBorder="1" applyAlignment="1">
      <alignment horizontal="center"/>
    </xf>
    <xf numFmtId="165" fontId="16" fillId="0" borderId="31" xfId="1" applyNumberFormat="1" applyFont="1" applyFill="1" applyBorder="1" applyAlignment="1">
      <alignment horizontal="center"/>
    </xf>
    <xf numFmtId="4" fontId="17" fillId="0" borderId="32" xfId="1" applyNumberFormat="1" applyFont="1" applyFill="1" applyBorder="1" applyAlignment="1">
      <alignment horizontal="center"/>
    </xf>
    <xf numFmtId="165" fontId="16" fillId="0" borderId="33" xfId="1" applyNumberFormat="1" applyFont="1" applyFill="1" applyBorder="1" applyAlignment="1">
      <alignment horizontal="center"/>
    </xf>
    <xf numFmtId="165" fontId="16" fillId="0" borderId="30" xfId="1" applyNumberFormat="1" applyFont="1" applyFill="1" applyBorder="1" applyAlignment="1">
      <alignment horizontal="center"/>
    </xf>
    <xf numFmtId="4" fontId="17" fillId="0" borderId="30" xfId="1" applyNumberFormat="1" applyFont="1" applyFill="1" applyBorder="1" applyAlignment="1">
      <alignment horizontal="center"/>
    </xf>
    <xf numFmtId="4" fontId="16" fillId="0" borderId="29" xfId="1" applyNumberFormat="1" applyFont="1" applyFill="1" applyBorder="1" applyAlignment="1">
      <alignment horizontal="center"/>
    </xf>
    <xf numFmtId="4" fontId="16" fillId="0" borderId="30" xfId="1" applyNumberFormat="1" applyFont="1" applyFill="1" applyBorder="1" applyAlignment="1">
      <alignment horizontal="center"/>
    </xf>
    <xf numFmtId="4" fontId="16" fillId="0" borderId="32" xfId="1" applyNumberFormat="1" applyFont="1" applyFill="1" applyBorder="1" applyAlignment="1">
      <alignment horizontal="center"/>
    </xf>
    <xf numFmtId="4" fontId="16" fillId="0" borderId="27" xfId="1" applyNumberFormat="1" applyFont="1" applyFill="1" applyBorder="1" applyAlignment="1">
      <alignment horizontal="center"/>
    </xf>
    <xf numFmtId="3" fontId="15" fillId="7" borderId="29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Alignment="1">
      <alignment vertical="center"/>
    </xf>
    <xf numFmtId="165" fontId="15" fillId="7" borderId="63" xfId="2" applyNumberFormat="1" applyFont="1" applyFill="1" applyBorder="1" applyAlignment="1">
      <alignment horizontal="center" vertical="center"/>
    </xf>
    <xf numFmtId="3" fontId="15" fillId="7" borderId="66" xfId="0" applyNumberFormat="1" applyFont="1" applyFill="1" applyBorder="1" applyAlignment="1">
      <alignment horizontal="center" vertical="center"/>
    </xf>
    <xf numFmtId="3" fontId="15" fillId="7" borderId="49" xfId="0" applyNumberFormat="1" applyFont="1" applyFill="1" applyBorder="1" applyAlignment="1">
      <alignment horizontal="center" vertical="center"/>
    </xf>
    <xf numFmtId="4" fontId="16" fillId="0" borderId="26" xfId="1" applyNumberFormat="1" applyFont="1" applyFill="1" applyBorder="1" applyAlignment="1">
      <alignment horizontal="center"/>
    </xf>
    <xf numFmtId="4" fontId="14" fillId="7" borderId="35" xfId="0" applyNumberFormat="1" applyFont="1" applyFill="1" applyBorder="1" applyAlignment="1">
      <alignment horizontal="center" vertical="center" wrapText="1"/>
    </xf>
    <xf numFmtId="4" fontId="16" fillId="0" borderId="34" xfId="1" applyNumberFormat="1" applyFont="1" applyFill="1" applyBorder="1" applyAlignment="1">
      <alignment horizontal="center"/>
    </xf>
    <xf numFmtId="165" fontId="16" fillId="0" borderId="78" xfId="1" applyNumberFormat="1" applyFont="1" applyFill="1" applyBorder="1" applyAlignment="1">
      <alignment horizontal="center"/>
    </xf>
    <xf numFmtId="4" fontId="14" fillId="7" borderId="46" xfId="0" applyNumberFormat="1" applyFont="1" applyFill="1" applyBorder="1" applyAlignment="1">
      <alignment horizontal="center" vertical="center" wrapText="1"/>
    </xf>
    <xf numFmtId="4" fontId="14" fillId="7" borderId="54" xfId="0" applyNumberFormat="1" applyFont="1" applyFill="1" applyBorder="1" applyAlignment="1">
      <alignment horizontal="center" vertical="center" wrapText="1"/>
    </xf>
    <xf numFmtId="4" fontId="14" fillId="7" borderId="44" xfId="0" applyNumberFormat="1" applyFont="1" applyFill="1" applyBorder="1" applyAlignment="1">
      <alignment horizontal="center" vertical="center" wrapText="1"/>
    </xf>
    <xf numFmtId="4" fontId="14" fillId="7" borderId="45" xfId="0" applyNumberFormat="1" applyFont="1" applyFill="1" applyBorder="1" applyAlignment="1">
      <alignment horizontal="center" vertical="center" wrapText="1"/>
    </xf>
    <xf numFmtId="4" fontId="14" fillId="7" borderId="52" xfId="0" applyNumberFormat="1" applyFont="1" applyFill="1" applyBorder="1" applyAlignment="1">
      <alignment horizontal="center" vertical="center" wrapText="1"/>
    </xf>
    <xf numFmtId="3" fontId="15" fillId="7" borderId="65" xfId="0" applyNumberFormat="1" applyFont="1" applyFill="1" applyBorder="1" applyAlignment="1">
      <alignment horizontal="center" vertical="center"/>
    </xf>
    <xf numFmtId="165" fontId="15" fillId="7" borderId="37" xfId="2" applyNumberFormat="1" applyFont="1" applyFill="1" applyBorder="1" applyAlignment="1">
      <alignment horizontal="center" vertical="center"/>
    </xf>
    <xf numFmtId="3" fontId="15" fillId="7" borderId="47" xfId="0" applyNumberFormat="1" applyFont="1" applyFill="1" applyBorder="1" applyAlignment="1">
      <alignment horizontal="center" vertical="center"/>
    </xf>
    <xf numFmtId="3" fontId="15" fillId="7" borderId="67" xfId="0" applyNumberFormat="1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vertical="center"/>
    </xf>
    <xf numFmtId="165" fontId="16" fillId="0" borderId="43" xfId="1" applyNumberFormat="1" applyFont="1" applyFill="1" applyBorder="1" applyAlignment="1">
      <alignment horizontal="center"/>
    </xf>
    <xf numFmtId="0" fontId="21" fillId="0" borderId="83" xfId="0" applyFont="1" applyBorder="1" applyAlignment="1">
      <alignment horizontal="center" vertical="center"/>
    </xf>
    <xf numFmtId="0" fontId="21" fillId="0" borderId="84" xfId="0" applyFont="1" applyBorder="1" applyAlignment="1">
      <alignment horizontal="center" vertical="center"/>
    </xf>
    <xf numFmtId="0" fontId="0" fillId="0" borderId="84" xfId="0" applyBorder="1" applyAlignment="1">
      <alignment vertical="center"/>
    </xf>
    <xf numFmtId="0" fontId="21" fillId="0" borderId="8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4" borderId="20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7" borderId="50" xfId="0" applyFont="1" applyFill="1" applyBorder="1" applyAlignment="1"/>
    <xf numFmtId="0" fontId="8" fillId="7" borderId="50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52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7" borderId="58" xfId="0" applyFont="1" applyFill="1" applyBorder="1" applyAlignment="1">
      <alignment horizontal="left"/>
    </xf>
    <xf numFmtId="164" fontId="0" fillId="0" borderId="0" xfId="0" applyNumberFormat="1"/>
    <xf numFmtId="0" fontId="7" fillId="4" borderId="50" xfId="0" applyFont="1" applyFill="1" applyBorder="1" applyAlignment="1">
      <alignment horizontal="center" vertical="center"/>
    </xf>
    <xf numFmtId="3" fontId="15" fillId="7" borderId="16" xfId="0" applyNumberFormat="1" applyFont="1" applyFill="1" applyBorder="1" applyAlignment="1">
      <alignment horizontal="center" vertical="center"/>
    </xf>
    <xf numFmtId="3" fontId="15" fillId="7" borderId="79" xfId="0" applyNumberFormat="1" applyFont="1" applyFill="1" applyBorder="1" applyAlignment="1">
      <alignment horizontal="center" vertical="center"/>
    </xf>
    <xf numFmtId="9" fontId="0" fillId="0" borderId="48" xfId="0" applyNumberFormat="1" applyBorder="1" applyAlignment="1">
      <alignment vertical="center"/>
    </xf>
    <xf numFmtId="3" fontId="15" fillId="7" borderId="48" xfId="0" applyNumberFormat="1" applyFont="1" applyFill="1" applyBorder="1" applyAlignment="1">
      <alignment vertical="center"/>
    </xf>
    <xf numFmtId="3" fontId="15" fillId="7" borderId="18" xfId="0" applyNumberFormat="1" applyFont="1" applyFill="1" applyBorder="1" applyAlignment="1">
      <alignment horizontal="center" vertical="center"/>
    </xf>
    <xf numFmtId="3" fontId="15" fillId="7" borderId="88" xfId="0" applyNumberFormat="1" applyFont="1" applyFill="1" applyBorder="1" applyAlignment="1">
      <alignment horizontal="center" vertical="center"/>
    </xf>
    <xf numFmtId="166" fontId="16" fillId="9" borderId="76" xfId="1" applyNumberFormat="1" applyFont="1" applyFill="1" applyBorder="1" applyAlignment="1">
      <alignment horizontal="center"/>
    </xf>
    <xf numFmtId="4" fontId="14" fillId="7" borderId="0" xfId="0" applyNumberFormat="1" applyFont="1" applyFill="1" applyBorder="1" applyAlignment="1">
      <alignment horizontal="center" vertical="center" wrapText="1"/>
    </xf>
    <xf numFmtId="4" fontId="14" fillId="7" borderId="84" xfId="0" applyNumberFormat="1" applyFont="1" applyFill="1" applyBorder="1" applyAlignment="1">
      <alignment horizontal="center" vertical="center" wrapText="1"/>
    </xf>
    <xf numFmtId="0" fontId="7" fillId="4" borderId="90" xfId="0" applyFont="1" applyFill="1" applyBorder="1" applyAlignment="1">
      <alignment vertical="center" wrapText="1"/>
    </xf>
    <xf numFmtId="164" fontId="14" fillId="4" borderId="91" xfId="0" applyNumberFormat="1" applyFont="1" applyFill="1" applyBorder="1" applyAlignment="1">
      <alignment horizontal="center" wrapText="1"/>
    </xf>
    <xf numFmtId="164" fontId="14" fillId="4" borderId="92" xfId="0" applyNumberFormat="1" applyFont="1" applyFill="1" applyBorder="1" applyAlignment="1">
      <alignment horizontal="center" wrapText="1"/>
    </xf>
    <xf numFmtId="164" fontId="14" fillId="4" borderId="32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4" fontId="14" fillId="7" borderId="52" xfId="1" applyNumberFormat="1" applyFont="1" applyFill="1" applyBorder="1" applyAlignment="1">
      <alignment horizontal="center" vertical="center" wrapText="1"/>
    </xf>
    <xf numFmtId="4" fontId="14" fillId="7" borderId="44" xfId="1" applyNumberFormat="1" applyFont="1" applyFill="1" applyBorder="1" applyAlignment="1">
      <alignment horizontal="center" vertical="center" wrapText="1"/>
    </xf>
    <xf numFmtId="4" fontId="14" fillId="7" borderId="45" xfId="1" applyNumberFormat="1" applyFont="1" applyFill="1" applyBorder="1" applyAlignment="1">
      <alignment horizontal="center" vertical="center" wrapText="1"/>
    </xf>
    <xf numFmtId="4" fontId="14" fillId="7" borderId="46" xfId="1" applyNumberFormat="1" applyFont="1" applyFill="1" applyBorder="1" applyAlignment="1">
      <alignment horizontal="center" vertical="center" wrapText="1"/>
    </xf>
    <xf numFmtId="4" fontId="14" fillId="7" borderId="54" xfId="1" applyNumberFormat="1" applyFont="1" applyFill="1" applyBorder="1" applyAlignment="1">
      <alignment horizontal="center" vertical="center" wrapText="1"/>
    </xf>
    <xf numFmtId="4" fontId="14" fillId="7" borderId="62" xfId="1" applyNumberFormat="1" applyFont="1" applyFill="1" applyBorder="1" applyAlignment="1">
      <alignment horizontal="center" vertical="center" wrapText="1"/>
    </xf>
    <xf numFmtId="4" fontId="14" fillId="7" borderId="63" xfId="1" applyNumberFormat="1" applyFont="1" applyFill="1" applyBorder="1" applyAlignment="1">
      <alignment horizontal="center" vertical="center" wrapText="1"/>
    </xf>
    <xf numFmtId="164" fontId="14" fillId="4" borderId="42" xfId="0" applyNumberFormat="1" applyFont="1" applyFill="1" applyBorder="1" applyAlignment="1">
      <alignment horizontal="center" wrapText="1"/>
    </xf>
    <xf numFmtId="4" fontId="14" fillId="7" borderId="79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84" xfId="0" applyBorder="1"/>
    <xf numFmtId="0" fontId="8" fillId="7" borderId="34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7" fillId="10" borderId="0" xfId="0" applyFont="1" applyFill="1" applyBorder="1" applyAlignment="1">
      <alignment vertical="center"/>
    </xf>
    <xf numFmtId="0" fontId="7" fillId="10" borderId="24" xfId="0" applyFont="1" applyFill="1" applyBorder="1" applyAlignment="1">
      <alignment vertical="center"/>
    </xf>
    <xf numFmtId="0" fontId="7" fillId="10" borderId="34" xfId="0" applyFont="1" applyFill="1" applyBorder="1" applyAlignment="1">
      <alignment vertical="center"/>
    </xf>
    <xf numFmtId="9" fontId="0" fillId="0" borderId="67" xfId="0" applyNumberFormat="1" applyBorder="1" applyAlignment="1">
      <alignment vertical="center"/>
    </xf>
    <xf numFmtId="3" fontId="15" fillId="7" borderId="67" xfId="0" applyNumberFormat="1" applyFont="1" applyFill="1" applyBorder="1" applyAlignment="1">
      <alignment vertical="center"/>
    </xf>
    <xf numFmtId="0" fontId="8" fillId="7" borderId="68" xfId="0" applyFont="1" applyFill="1" applyBorder="1" applyAlignment="1">
      <alignment horizontal="center" vertical="center"/>
    </xf>
    <xf numFmtId="0" fontId="8" fillId="7" borderId="69" xfId="0" applyFont="1" applyFill="1" applyBorder="1" applyAlignment="1">
      <alignment horizontal="center" vertical="center"/>
    </xf>
    <xf numFmtId="0" fontId="8" fillId="7" borderId="70" xfId="0" applyFont="1" applyFill="1" applyBorder="1" applyAlignment="1">
      <alignment horizontal="center" vertical="center"/>
    </xf>
    <xf numFmtId="0" fontId="8" fillId="7" borderId="58" xfId="0" applyFont="1" applyFill="1" applyBorder="1" applyAlignment="1">
      <alignment horizontal="center" vertical="center"/>
    </xf>
    <xf numFmtId="3" fontId="7" fillId="0" borderId="0" xfId="1" applyNumberFormat="1" applyFont="1" applyAlignment="1" applyProtection="1">
      <alignment horizontal="center" vertical="center"/>
      <protection locked="0"/>
    </xf>
    <xf numFmtId="43" fontId="7" fillId="0" borderId="0" xfId="1" applyNumberFormat="1" applyFont="1" applyAlignment="1" applyProtection="1">
      <alignment horizontal="center" vertical="center"/>
      <protection locked="0"/>
    </xf>
    <xf numFmtId="3" fontId="7" fillId="0" borderId="93" xfId="0" applyNumberFormat="1" applyFont="1" applyBorder="1" applyAlignment="1" applyProtection="1">
      <alignment horizontal="center" vertical="center"/>
      <protection locked="0"/>
    </xf>
    <xf numFmtId="3" fontId="7" fillId="0" borderId="0" xfId="1" applyNumberFormat="1" applyFont="1" applyBorder="1" applyAlignment="1" applyProtection="1">
      <alignment horizontal="center" vertical="center"/>
      <protection locked="0"/>
    </xf>
    <xf numFmtId="43" fontId="7" fillId="0" borderId="0" xfId="1" applyNumberFormat="1" applyFont="1" applyBorder="1" applyAlignment="1" applyProtection="1">
      <alignment horizontal="center" vertical="center"/>
      <protection locked="0"/>
    </xf>
    <xf numFmtId="0" fontId="7" fillId="0" borderId="52" xfId="0" applyNumberFormat="1" applyFont="1" applyBorder="1" applyAlignment="1">
      <alignment horizontal="center" vertical="center"/>
    </xf>
    <xf numFmtId="3" fontId="6" fillId="2" borderId="4" xfId="0" applyNumberFormat="1" applyFont="1" applyFill="1" applyBorder="1" applyAlignment="1" applyProtection="1">
      <alignment horizontal="center" vertical="center"/>
      <protection locked="0"/>
    </xf>
    <xf numFmtId="43" fontId="7" fillId="0" borderId="8" xfId="1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>
      <alignment vertical="center" wrapText="1"/>
    </xf>
    <xf numFmtId="3" fontId="7" fillId="0" borderId="0" xfId="0" applyNumberFormat="1" applyFont="1" applyBorder="1" applyAlignment="1" applyProtection="1">
      <alignment horizontal="center" vertical="center"/>
      <protection locked="0"/>
    </xf>
    <xf numFmtId="4" fontId="14" fillId="7" borderId="41" xfId="1" applyNumberFormat="1" applyFont="1" applyFill="1" applyBorder="1" applyAlignment="1">
      <alignment horizontal="center" vertical="center" wrapText="1"/>
    </xf>
    <xf numFmtId="165" fontId="16" fillId="0" borderId="51" xfId="1" applyNumberFormat="1" applyFont="1" applyFill="1" applyBorder="1" applyAlignment="1">
      <alignment horizontal="center"/>
    </xf>
    <xf numFmtId="165" fontId="16" fillId="0" borderId="34" xfId="1" applyNumberFormat="1" applyFont="1" applyFill="1" applyBorder="1" applyAlignment="1">
      <alignment horizontal="center"/>
    </xf>
    <xf numFmtId="4" fontId="16" fillId="0" borderId="57" xfId="1" applyNumberFormat="1" applyFont="1" applyFill="1" applyBorder="1" applyAlignment="1">
      <alignment horizontal="center"/>
    </xf>
    <xf numFmtId="4" fontId="16" fillId="0" borderId="76" xfId="1" applyNumberFormat="1" applyFont="1" applyFill="1" applyBorder="1" applyAlignment="1">
      <alignment horizontal="center"/>
    </xf>
    <xf numFmtId="4" fontId="16" fillId="0" borderId="78" xfId="1" applyNumberFormat="1" applyFont="1" applyFill="1" applyBorder="1" applyAlignment="1">
      <alignment horizontal="center"/>
    </xf>
    <xf numFmtId="4" fontId="14" fillId="7" borderId="56" xfId="1" applyNumberFormat="1" applyFont="1" applyFill="1" applyBorder="1" applyAlignment="1">
      <alignment horizontal="center" vertical="center" wrapText="1"/>
    </xf>
    <xf numFmtId="165" fontId="16" fillId="0" borderId="32" xfId="1" applyNumberFormat="1" applyFont="1" applyFill="1" applyBorder="1" applyAlignment="1">
      <alignment horizontal="center"/>
    </xf>
    <xf numFmtId="165" fontId="16" fillId="0" borderId="46" xfId="1" applyNumberFormat="1" applyFont="1" applyFill="1" applyBorder="1" applyAlignment="1">
      <alignment horizontal="center"/>
    </xf>
    <xf numFmtId="165" fontId="16" fillId="0" borderId="40" xfId="1" applyNumberFormat="1" applyFont="1" applyFill="1" applyBorder="1" applyAlignment="1">
      <alignment horizontal="center"/>
    </xf>
    <xf numFmtId="165" fontId="16" fillId="0" borderId="52" xfId="1" applyNumberFormat="1" applyFont="1" applyFill="1" applyBorder="1" applyAlignment="1">
      <alignment horizontal="center"/>
    </xf>
    <xf numFmtId="165" fontId="16" fillId="0" borderId="35" xfId="1" applyNumberFormat="1" applyFont="1" applyFill="1" applyBorder="1" applyAlignment="1">
      <alignment horizontal="center"/>
    </xf>
    <xf numFmtId="165" fontId="16" fillId="0" borderId="70" xfId="1" applyNumberFormat="1" applyFont="1" applyFill="1" applyBorder="1" applyAlignment="1">
      <alignment horizontal="center"/>
    </xf>
    <xf numFmtId="9" fontId="0" fillId="0" borderId="49" xfId="0" applyNumberFormat="1" applyBorder="1" applyAlignment="1">
      <alignment vertical="center"/>
    </xf>
    <xf numFmtId="3" fontId="15" fillId="7" borderId="49" xfId="0" applyNumberFormat="1" applyFont="1" applyFill="1" applyBorder="1" applyAlignment="1">
      <alignment vertical="center"/>
    </xf>
    <xf numFmtId="0" fontId="0" fillId="0" borderId="67" xfId="0" applyBorder="1" applyAlignment="1">
      <alignment vertical="center"/>
    </xf>
    <xf numFmtId="4" fontId="14" fillId="7" borderId="0" xfId="1" applyNumberFormat="1" applyFont="1" applyFill="1" applyBorder="1" applyAlignment="1">
      <alignment horizontal="center" vertical="center" wrapText="1"/>
    </xf>
    <xf numFmtId="0" fontId="3" fillId="4" borderId="67" xfId="0" applyFont="1" applyFill="1" applyBorder="1" applyAlignment="1">
      <alignment vertical="center"/>
    </xf>
    <xf numFmtId="2" fontId="0" fillId="0" borderId="0" xfId="0" applyNumberFormat="1"/>
    <xf numFmtId="166" fontId="16" fillId="0" borderId="30" xfId="1" applyNumberFormat="1" applyFont="1" applyFill="1" applyBorder="1" applyAlignment="1">
      <alignment horizontal="center"/>
    </xf>
    <xf numFmtId="166" fontId="16" fillId="0" borderId="55" xfId="1" applyNumberFormat="1" applyFont="1" applyFill="1" applyBorder="1" applyAlignment="1">
      <alignment horizontal="center"/>
    </xf>
    <xf numFmtId="3" fontId="7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14" fillId="4" borderId="41" xfId="0" applyNumberFormat="1" applyFont="1" applyFill="1" applyBorder="1" applyAlignment="1">
      <alignment horizontal="center" wrapText="1"/>
    </xf>
    <xf numFmtId="4" fontId="14" fillId="7" borderId="42" xfId="1" applyNumberFormat="1" applyFont="1" applyFill="1" applyBorder="1" applyAlignment="1">
      <alignment horizontal="center" vertical="center" wrapText="1"/>
    </xf>
    <xf numFmtId="4" fontId="14" fillId="7" borderId="96" xfId="1" applyNumberFormat="1" applyFont="1" applyFill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164" fontId="14" fillId="4" borderId="93" xfId="0" applyNumberFormat="1" applyFont="1" applyFill="1" applyBorder="1" applyAlignment="1">
      <alignment horizontal="center" wrapText="1"/>
    </xf>
    <xf numFmtId="43" fontId="15" fillId="7" borderId="63" xfId="1" applyNumberFormat="1" applyFont="1" applyFill="1" applyBorder="1" applyAlignment="1">
      <alignment horizontal="center" vertical="center"/>
    </xf>
    <xf numFmtId="43" fontId="0" fillId="0" borderId="0" xfId="1" applyFont="1"/>
    <xf numFmtId="43" fontId="0" fillId="0" borderId="0" xfId="0" applyNumberFormat="1"/>
    <xf numFmtId="168" fontId="3" fillId="0" borderId="0" xfId="0" applyNumberFormat="1" applyFont="1"/>
    <xf numFmtId="169" fontId="3" fillId="0" borderId="0" xfId="0" applyNumberFormat="1" applyFont="1"/>
    <xf numFmtId="167" fontId="0" fillId="0" borderId="0" xfId="1" applyNumberFormat="1" applyFont="1"/>
    <xf numFmtId="0" fontId="21" fillId="0" borderId="84" xfId="0" applyFont="1" applyBorder="1" applyAlignment="1">
      <alignment vertical="center" wrapText="1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/>
    <xf numFmtId="0" fontId="3" fillId="0" borderId="0" xfId="0" applyFont="1"/>
    <xf numFmtId="17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43" fontId="3" fillId="0" borderId="0" xfId="1" applyNumberFormat="1" applyFont="1"/>
    <xf numFmtId="165" fontId="16" fillId="0" borderId="42" xfId="1" applyNumberFormat="1" applyFont="1" applyFill="1" applyBorder="1" applyAlignment="1">
      <alignment horizontal="center"/>
    </xf>
    <xf numFmtId="165" fontId="16" fillId="0" borderId="15" xfId="1" applyNumberFormat="1" applyFont="1" applyFill="1" applyBorder="1" applyAlignment="1">
      <alignment horizontal="center"/>
    </xf>
    <xf numFmtId="165" fontId="16" fillId="0" borderId="0" xfId="1" applyNumberFormat="1" applyFont="1" applyFill="1" applyBorder="1" applyAlignment="1">
      <alignment horizontal="center"/>
    </xf>
    <xf numFmtId="165" fontId="16" fillId="0" borderId="23" xfId="1" applyNumberFormat="1" applyFont="1" applyFill="1" applyBorder="1" applyAlignment="1">
      <alignment horizontal="center"/>
    </xf>
    <xf numFmtId="165" fontId="16" fillId="0" borderId="84" xfId="1" applyNumberFormat="1" applyFont="1" applyFill="1" applyBorder="1" applyAlignment="1">
      <alignment horizontal="center"/>
    </xf>
    <xf numFmtId="0" fontId="20" fillId="0" borderId="84" xfId="0" applyFont="1" applyBorder="1" applyAlignment="1">
      <alignment horizontal="center" vertical="center" wrapText="1"/>
    </xf>
    <xf numFmtId="0" fontId="7" fillId="0" borderId="58" xfId="0" applyFont="1" applyFill="1" applyBorder="1"/>
    <xf numFmtId="0" fontId="0" fillId="0" borderId="14" xfId="0" applyBorder="1"/>
    <xf numFmtId="0" fontId="0" fillId="0" borderId="15" xfId="0" applyBorder="1"/>
    <xf numFmtId="43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43" fontId="3" fillId="0" borderId="0" xfId="1" applyFont="1" applyAlignment="1">
      <alignment horizontal="right"/>
    </xf>
    <xf numFmtId="43" fontId="6" fillId="0" borderId="0" xfId="1" applyFont="1" applyAlignment="1">
      <alignment horizontal="center" vertical="center"/>
    </xf>
    <xf numFmtId="0" fontId="0" fillId="8" borderId="0" xfId="0" applyFill="1"/>
    <xf numFmtId="0" fontId="0" fillId="0" borderId="0" xfId="0" applyFill="1"/>
    <xf numFmtId="43" fontId="0" fillId="0" borderId="0" xfId="1" applyNumberFormat="1" applyFont="1"/>
    <xf numFmtId="2" fontId="3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0" fontId="0" fillId="8" borderId="0" xfId="0" applyFill="1" applyAlignment="1">
      <alignment horizontal="center"/>
    </xf>
    <xf numFmtId="43" fontId="3" fillId="8" borderId="0" xfId="1" applyFont="1" applyFill="1" applyAlignment="1">
      <alignment horizontal="right"/>
    </xf>
    <xf numFmtId="2" fontId="0" fillId="8" borderId="0" xfId="0" applyNumberFormat="1" applyFill="1" applyAlignment="1">
      <alignment horizontal="center"/>
    </xf>
    <xf numFmtId="43" fontId="3" fillId="8" borderId="0" xfId="1" applyNumberFormat="1" applyFont="1" applyFill="1"/>
    <xf numFmtId="167" fontId="3" fillId="8" borderId="0" xfId="1" applyNumberFormat="1" applyFont="1" applyFill="1" applyAlignment="1">
      <alignment horizontal="center"/>
    </xf>
    <xf numFmtId="165" fontId="15" fillId="12" borderId="44" xfId="2" applyNumberFormat="1" applyFont="1" applyFill="1" applyBorder="1" applyAlignment="1">
      <alignment horizontal="center" vertical="center"/>
    </xf>
    <xf numFmtId="4" fontId="17" fillId="12" borderId="75" xfId="0" applyNumberFormat="1" applyFont="1" applyFill="1" applyBorder="1" applyAlignment="1">
      <alignment horizontal="center" vertical="center" wrapText="1"/>
    </xf>
    <xf numFmtId="4" fontId="14" fillId="12" borderId="75" xfId="0" applyNumberFormat="1" applyFont="1" applyFill="1" applyBorder="1" applyAlignment="1">
      <alignment horizontal="center" vertical="center" wrapText="1"/>
    </xf>
    <xf numFmtId="4" fontId="17" fillId="12" borderId="73" xfId="0" applyNumberFormat="1" applyFont="1" applyFill="1" applyBorder="1" applyAlignment="1">
      <alignment horizontal="center" vertical="center" wrapText="1"/>
    </xf>
    <xf numFmtId="165" fontId="15" fillId="12" borderId="62" xfId="2" applyNumberFormat="1" applyFont="1" applyFill="1" applyBorder="1" applyAlignment="1">
      <alignment horizontal="center" vertical="center"/>
    </xf>
    <xf numFmtId="165" fontId="15" fillId="12" borderId="63" xfId="2" applyNumberFormat="1" applyFont="1" applyFill="1" applyBorder="1" applyAlignment="1">
      <alignment horizontal="center" vertical="center"/>
    </xf>
    <xf numFmtId="4" fontId="16" fillId="0" borderId="38" xfId="1" applyNumberFormat="1" applyFont="1" applyFill="1" applyBorder="1" applyAlignment="1">
      <alignment horizontal="right"/>
    </xf>
    <xf numFmtId="166" fontId="15" fillId="7" borderId="63" xfId="1" applyNumberFormat="1" applyFont="1" applyFill="1" applyBorder="1" applyAlignment="1">
      <alignment horizontal="right" vertical="center"/>
    </xf>
    <xf numFmtId="4" fontId="16" fillId="12" borderId="72" xfId="1" applyNumberFormat="1" applyFont="1" applyFill="1" applyBorder="1" applyAlignment="1">
      <alignment horizontal="center"/>
    </xf>
    <xf numFmtId="4" fontId="16" fillId="12" borderId="44" xfId="1" applyNumberFormat="1" applyFont="1" applyFill="1" applyBorder="1" applyAlignment="1">
      <alignment horizontal="center"/>
    </xf>
    <xf numFmtId="165" fontId="16" fillId="12" borderId="44" xfId="1" applyNumberFormat="1" applyFont="1" applyFill="1" applyBorder="1" applyAlignment="1">
      <alignment horizontal="center"/>
    </xf>
    <xf numFmtId="4" fontId="14" fillId="12" borderId="44" xfId="1" applyNumberFormat="1" applyFont="1" applyFill="1" applyBorder="1" applyAlignment="1">
      <alignment horizontal="center" vertical="center" wrapText="1"/>
    </xf>
    <xf numFmtId="4" fontId="14" fillId="12" borderId="45" xfId="1" applyNumberFormat="1" applyFont="1" applyFill="1" applyBorder="1" applyAlignment="1">
      <alignment horizontal="center" vertical="center" wrapText="1"/>
    </xf>
    <xf numFmtId="4" fontId="14" fillId="12" borderId="46" xfId="1" applyNumberFormat="1" applyFont="1" applyFill="1" applyBorder="1" applyAlignment="1">
      <alignment horizontal="center" vertical="center" wrapText="1"/>
    </xf>
    <xf numFmtId="4" fontId="14" fillId="12" borderId="54" xfId="1" applyNumberFormat="1" applyFont="1" applyFill="1" applyBorder="1" applyAlignment="1">
      <alignment horizontal="center" vertical="center" wrapText="1"/>
    </xf>
    <xf numFmtId="4" fontId="14" fillId="12" borderId="79" xfId="1" applyNumberFormat="1" applyFont="1" applyFill="1" applyBorder="1" applyAlignment="1">
      <alignment horizontal="center" vertical="center" wrapText="1"/>
    </xf>
    <xf numFmtId="4" fontId="14" fillId="12" borderId="41" xfId="1" applyNumberFormat="1" applyFont="1" applyFill="1" applyBorder="1" applyAlignment="1">
      <alignment horizontal="center" vertical="center" wrapText="1"/>
    </xf>
    <xf numFmtId="4" fontId="14" fillId="12" borderId="42" xfId="1" applyNumberFormat="1" applyFont="1" applyFill="1" applyBorder="1" applyAlignment="1">
      <alignment horizontal="center" vertical="center" wrapText="1"/>
    </xf>
    <xf numFmtId="4" fontId="16" fillId="12" borderId="45" xfId="1" applyNumberFormat="1" applyFont="1" applyFill="1" applyBorder="1" applyAlignment="1">
      <alignment horizontal="center"/>
    </xf>
    <xf numFmtId="4" fontId="16" fillId="12" borderId="51" xfId="1" applyNumberFormat="1" applyFont="1" applyFill="1" applyBorder="1" applyAlignment="1">
      <alignment horizontal="center"/>
    </xf>
    <xf numFmtId="165" fontId="16" fillId="12" borderId="45" xfId="1" applyNumberFormat="1" applyFont="1" applyFill="1" applyBorder="1" applyAlignment="1">
      <alignment horizontal="center"/>
    </xf>
    <xf numFmtId="4" fontId="16" fillId="12" borderId="46" xfId="1" applyNumberFormat="1" applyFont="1" applyFill="1" applyBorder="1" applyAlignment="1">
      <alignment horizontal="center"/>
    </xf>
    <xf numFmtId="165" fontId="16" fillId="12" borderId="57" xfId="1" applyNumberFormat="1" applyFont="1" applyFill="1" applyBorder="1" applyAlignment="1">
      <alignment horizontal="center"/>
    </xf>
    <xf numFmtId="165" fontId="16" fillId="12" borderId="54" xfId="1" applyNumberFormat="1" applyFont="1" applyFill="1" applyBorder="1" applyAlignment="1">
      <alignment horizontal="center"/>
    </xf>
    <xf numFmtId="4" fontId="16" fillId="12" borderId="54" xfId="1" applyNumberFormat="1" applyFont="1" applyFill="1" applyBorder="1" applyAlignment="1">
      <alignment horizontal="center"/>
    </xf>
    <xf numFmtId="4" fontId="14" fillId="12" borderId="62" xfId="1" applyNumberFormat="1" applyFont="1" applyFill="1" applyBorder="1" applyAlignment="1">
      <alignment horizontal="center" vertical="center" wrapText="1"/>
    </xf>
    <xf numFmtId="4" fontId="14" fillId="12" borderId="63" xfId="1" applyNumberFormat="1" applyFont="1" applyFill="1" applyBorder="1" applyAlignment="1">
      <alignment horizontal="center" vertical="center" wrapText="1"/>
    </xf>
    <xf numFmtId="4" fontId="14" fillId="12" borderId="56" xfId="1" applyNumberFormat="1" applyFont="1" applyFill="1" applyBorder="1" applyAlignment="1">
      <alignment horizontal="center" vertical="center" wrapText="1"/>
    </xf>
    <xf numFmtId="4" fontId="14" fillId="12" borderId="64" xfId="1" applyNumberFormat="1" applyFont="1" applyFill="1" applyBorder="1" applyAlignment="1">
      <alignment horizontal="center" vertical="center" wrapText="1"/>
    </xf>
    <xf numFmtId="165" fontId="15" fillId="12" borderId="44" xfId="2" applyNumberFormat="1" applyFont="1" applyFill="1" applyBorder="1" applyAlignment="1">
      <alignment horizontal="center"/>
    </xf>
    <xf numFmtId="166" fontId="15" fillId="12" borderId="63" xfId="1" applyNumberFormat="1" applyFont="1" applyFill="1" applyBorder="1" applyAlignment="1">
      <alignment horizontal="center" vertical="center"/>
    </xf>
    <xf numFmtId="4" fontId="16" fillId="12" borderId="38" xfId="1" applyNumberFormat="1" applyFont="1" applyFill="1" applyBorder="1" applyAlignment="1">
      <alignment horizontal="center"/>
    </xf>
    <xf numFmtId="4" fontId="16" fillId="12" borderId="0" xfId="1" applyNumberFormat="1" applyFont="1" applyFill="1" applyBorder="1" applyAlignment="1">
      <alignment horizontal="center"/>
    </xf>
    <xf numFmtId="4" fontId="16" fillId="12" borderId="57" xfId="1" applyNumberFormat="1" applyFont="1" applyFill="1" applyBorder="1" applyAlignment="1">
      <alignment horizontal="center"/>
    </xf>
    <xf numFmtId="165" fontId="16" fillId="12" borderId="37" xfId="1" applyNumberFormat="1" applyFont="1" applyFill="1" applyBorder="1" applyAlignment="1">
      <alignment horizontal="center"/>
    </xf>
    <xf numFmtId="4" fontId="14" fillId="0" borderId="35" xfId="0" applyNumberFormat="1" applyFont="1" applyFill="1" applyBorder="1" applyAlignment="1">
      <alignment horizontal="center" vertical="center" wrapText="1"/>
    </xf>
    <xf numFmtId="4" fontId="14" fillId="0" borderId="0" xfId="0" applyNumberFormat="1" applyFont="1" applyFill="1" applyBorder="1" applyAlignment="1">
      <alignment horizontal="center" vertical="center" wrapText="1"/>
    </xf>
    <xf numFmtId="4" fontId="14" fillId="0" borderId="52" xfId="0" applyNumberFormat="1" applyFont="1" applyFill="1" applyBorder="1" applyAlignment="1">
      <alignment horizontal="center" vertical="center" wrapText="1"/>
    </xf>
    <xf numFmtId="4" fontId="14" fillId="0" borderId="44" xfId="0" applyNumberFormat="1" applyFont="1" applyFill="1" applyBorder="1" applyAlignment="1">
      <alignment horizontal="center" vertical="center" wrapText="1"/>
    </xf>
    <xf numFmtId="4" fontId="14" fillId="0" borderId="45" xfId="0" applyNumberFormat="1" applyFont="1" applyFill="1" applyBorder="1" applyAlignment="1">
      <alignment horizontal="center" vertical="center" wrapText="1"/>
    </xf>
    <xf numFmtId="4" fontId="14" fillId="0" borderId="46" xfId="0" applyNumberFormat="1" applyFont="1" applyFill="1" applyBorder="1" applyAlignment="1">
      <alignment horizontal="center" vertical="center" wrapText="1"/>
    </xf>
    <xf numFmtId="4" fontId="14" fillId="0" borderId="54" xfId="0" applyNumberFormat="1" applyFont="1" applyFill="1" applyBorder="1" applyAlignment="1">
      <alignment horizontal="center" vertical="center" wrapText="1"/>
    </xf>
    <xf numFmtId="4" fontId="14" fillId="0" borderId="60" xfId="1" applyNumberFormat="1" applyFont="1" applyFill="1" applyBorder="1" applyAlignment="1">
      <alignment horizontal="center" vertical="center" wrapText="1"/>
    </xf>
    <xf numFmtId="4" fontId="14" fillId="0" borderId="15" xfId="1" applyNumberFormat="1" applyFont="1" applyFill="1" applyBorder="1" applyAlignment="1">
      <alignment horizontal="center" vertical="center" wrapText="1"/>
    </xf>
    <xf numFmtId="4" fontId="14" fillId="0" borderId="70" xfId="0" applyNumberFormat="1" applyFont="1" applyFill="1" applyBorder="1" applyAlignment="1">
      <alignment horizontal="center" vertical="center" wrapText="1"/>
    </xf>
    <xf numFmtId="4" fontId="14" fillId="0" borderId="72" xfId="0" applyNumberFormat="1" applyFont="1" applyFill="1" applyBorder="1" applyAlignment="1">
      <alignment horizontal="center" vertical="center" wrapText="1"/>
    </xf>
    <xf numFmtId="4" fontId="14" fillId="0" borderId="75" xfId="0" applyNumberFormat="1" applyFont="1" applyFill="1" applyBorder="1" applyAlignment="1">
      <alignment horizontal="center" vertical="center" wrapText="1"/>
    </xf>
    <xf numFmtId="4" fontId="14" fillId="0" borderId="73" xfId="0" applyNumberFormat="1" applyFont="1" applyFill="1" applyBorder="1" applyAlignment="1">
      <alignment horizontal="center" vertical="center" wrapText="1"/>
    </xf>
    <xf numFmtId="4" fontId="14" fillId="0" borderId="77" xfId="0" applyNumberFormat="1" applyFont="1" applyFill="1" applyBorder="1" applyAlignment="1">
      <alignment horizontal="center" vertical="center" wrapText="1"/>
    </xf>
    <xf numFmtId="4" fontId="14" fillId="0" borderId="84" xfId="0" applyNumberFormat="1" applyFont="1" applyFill="1" applyBorder="1" applyAlignment="1">
      <alignment horizontal="center" vertical="center" wrapText="1"/>
    </xf>
    <xf numFmtId="165" fontId="15" fillId="0" borderId="44" xfId="2" applyNumberFormat="1" applyFont="1" applyFill="1" applyBorder="1" applyAlignment="1">
      <alignment horizontal="center" vertical="center"/>
    </xf>
    <xf numFmtId="165" fontId="15" fillId="0" borderId="72" xfId="2" applyNumberFormat="1" applyFont="1" applyFill="1" applyBorder="1" applyAlignment="1">
      <alignment horizontal="center" vertical="center"/>
    </xf>
    <xf numFmtId="4" fontId="18" fillId="0" borderId="73" xfId="0" applyNumberFormat="1" applyFont="1" applyFill="1" applyBorder="1" applyAlignment="1">
      <alignment horizontal="center" vertical="center" wrapText="1"/>
    </xf>
    <xf numFmtId="4" fontId="14" fillId="0" borderId="37" xfId="0" applyNumberFormat="1" applyFont="1" applyFill="1" applyBorder="1" applyAlignment="1">
      <alignment horizontal="center" vertical="center" wrapText="1"/>
    </xf>
    <xf numFmtId="4" fontId="14" fillId="0" borderId="39" xfId="0" applyNumberFormat="1" applyFont="1" applyFill="1" applyBorder="1" applyAlignment="1">
      <alignment horizontal="center" vertical="center" wrapText="1"/>
    </xf>
    <xf numFmtId="4" fontId="14" fillId="0" borderId="40" xfId="0" applyNumberFormat="1" applyFont="1" applyFill="1" applyBorder="1" applyAlignment="1">
      <alignment horizontal="center" vertical="center" wrapText="1"/>
    </xf>
    <xf numFmtId="4" fontId="14" fillId="0" borderId="43" xfId="0" applyNumberFormat="1" applyFont="1" applyFill="1" applyBorder="1" applyAlignment="1">
      <alignment horizontal="center" vertical="center" wrapText="1"/>
    </xf>
    <xf numFmtId="4" fontId="14" fillId="0" borderId="59" xfId="1" applyNumberFormat="1" applyFont="1" applyFill="1" applyBorder="1" applyAlignment="1">
      <alignment horizontal="center" vertical="center" wrapText="1"/>
    </xf>
    <xf numFmtId="165" fontId="15" fillId="0" borderId="37" xfId="2" applyNumberFormat="1" applyFont="1" applyFill="1" applyBorder="1" applyAlignment="1">
      <alignment horizontal="center" vertical="center"/>
    </xf>
    <xf numFmtId="4" fontId="14" fillId="0" borderId="52" xfId="1" applyNumberFormat="1" applyFont="1" applyFill="1" applyBorder="1" applyAlignment="1">
      <alignment horizontal="center" vertical="center" wrapText="1"/>
    </xf>
    <xf numFmtId="4" fontId="14" fillId="0" borderId="0" xfId="1" applyNumberFormat="1" applyFont="1" applyFill="1" applyBorder="1" applyAlignment="1">
      <alignment horizontal="center" vertical="center" wrapText="1"/>
    </xf>
    <xf numFmtId="4" fontId="14" fillId="0" borderId="51" xfId="1" applyNumberFormat="1" applyFont="1" applyFill="1" applyBorder="1" applyAlignment="1">
      <alignment horizontal="center" vertical="center" wrapText="1"/>
    </xf>
    <xf numFmtId="4" fontId="14" fillId="0" borderId="15" xfId="0" applyNumberFormat="1" applyFont="1" applyFill="1" applyBorder="1" applyAlignment="1">
      <alignment horizontal="center" vertical="center" wrapText="1"/>
    </xf>
    <xf numFmtId="164" fontId="14" fillId="4" borderId="99" xfId="0" applyNumberFormat="1" applyFont="1" applyFill="1" applyBorder="1" applyAlignment="1">
      <alignment horizontal="center" wrapText="1"/>
    </xf>
    <xf numFmtId="164" fontId="14" fillId="4" borderId="15" xfId="0" applyNumberFormat="1" applyFont="1" applyFill="1" applyBorder="1" applyAlignment="1">
      <alignment horizontal="center" wrapText="1"/>
    </xf>
    <xf numFmtId="0" fontId="3" fillId="4" borderId="101" xfId="0" applyFont="1" applyFill="1" applyBorder="1" applyAlignment="1">
      <alignment vertical="center"/>
    </xf>
    <xf numFmtId="164" fontId="14" fillId="4" borderId="84" xfId="0" applyNumberFormat="1" applyFont="1" applyFill="1" applyBorder="1" applyAlignment="1">
      <alignment horizontal="center" wrapText="1"/>
    </xf>
    <xf numFmtId="4" fontId="14" fillId="0" borderId="63" xfId="1" applyNumberFormat="1" applyFont="1" applyFill="1" applyBorder="1" applyAlignment="1">
      <alignment horizontal="center" vertical="center" wrapText="1"/>
    </xf>
    <xf numFmtId="4" fontId="14" fillId="0" borderId="45" xfId="1" applyNumberFormat="1" applyFont="1" applyFill="1" applyBorder="1" applyAlignment="1">
      <alignment horizontal="center" vertical="center" wrapText="1"/>
    </xf>
    <xf numFmtId="4" fontId="14" fillId="0" borderId="38" xfId="0" applyNumberFormat="1" applyFont="1" applyFill="1" applyBorder="1" applyAlignment="1">
      <alignment horizontal="center" vertical="center" wrapText="1"/>
    </xf>
    <xf numFmtId="165" fontId="16" fillId="0" borderId="69" xfId="1" applyNumberFormat="1" applyFont="1" applyFill="1" applyBorder="1" applyAlignment="1">
      <alignment horizontal="center"/>
    </xf>
    <xf numFmtId="4" fontId="16" fillId="0" borderId="102" xfId="1" applyNumberFormat="1" applyFont="1" applyFill="1" applyBorder="1" applyAlignment="1">
      <alignment horizontal="center"/>
    </xf>
    <xf numFmtId="0" fontId="7" fillId="0" borderId="79" xfId="0" applyFont="1" applyFill="1" applyBorder="1" applyAlignment="1">
      <alignment horizontal="center" vertical="center" wrapText="1"/>
    </xf>
    <xf numFmtId="4" fontId="14" fillId="0" borderId="79" xfId="0" applyNumberFormat="1" applyFont="1" applyFill="1" applyBorder="1" applyAlignment="1">
      <alignment horizontal="center" vertical="center" wrapText="1"/>
    </xf>
    <xf numFmtId="4" fontId="16" fillId="0" borderId="80" xfId="1" applyNumberFormat="1" applyFont="1" applyFill="1" applyBorder="1" applyAlignment="1">
      <alignment horizontal="center"/>
    </xf>
    <xf numFmtId="4" fontId="14" fillId="0" borderId="62" xfId="1" applyNumberFormat="1" applyFont="1" applyFill="1" applyBorder="1" applyAlignment="1">
      <alignment horizontal="center" vertical="center" wrapText="1"/>
    </xf>
    <xf numFmtId="4" fontId="14" fillId="0" borderId="79" xfId="1" applyNumberFormat="1" applyFont="1" applyFill="1" applyBorder="1" applyAlignment="1">
      <alignment horizontal="center" vertical="center" wrapText="1"/>
    </xf>
    <xf numFmtId="4" fontId="18" fillId="0" borderId="75" xfId="0" applyNumberFormat="1" applyFont="1" applyFill="1" applyBorder="1" applyAlignment="1">
      <alignment horizontal="center" vertical="center" wrapText="1"/>
    </xf>
    <xf numFmtId="4" fontId="18" fillId="0" borderId="77" xfId="0" applyNumberFormat="1" applyFont="1" applyFill="1" applyBorder="1" applyAlignment="1">
      <alignment horizontal="center" vertical="center" wrapText="1"/>
    </xf>
    <xf numFmtId="4" fontId="14" fillId="0" borderId="74" xfId="0" applyNumberFormat="1" applyFont="1" applyFill="1" applyBorder="1" applyAlignment="1">
      <alignment horizontal="center" vertical="center" wrapText="1"/>
    </xf>
    <xf numFmtId="4" fontId="14" fillId="0" borderId="81" xfId="0" applyNumberFormat="1" applyFont="1" applyFill="1" applyBorder="1" applyAlignment="1">
      <alignment horizontal="center" vertical="center" wrapText="1"/>
    </xf>
    <xf numFmtId="165" fontId="16" fillId="0" borderId="12" xfId="1" applyNumberFormat="1" applyFont="1" applyFill="1" applyBorder="1" applyAlignment="1">
      <alignment horizontal="center"/>
    </xf>
    <xf numFmtId="165" fontId="16" fillId="0" borderId="14" xfId="1" applyNumberFormat="1" applyFont="1" applyFill="1" applyBorder="1" applyAlignment="1">
      <alignment horizontal="center"/>
    </xf>
    <xf numFmtId="165" fontId="16" fillId="0" borderId="38" xfId="1" applyNumberFormat="1" applyFont="1" applyFill="1" applyBorder="1" applyAlignment="1">
      <alignment horizontal="center"/>
    </xf>
    <xf numFmtId="4" fontId="14" fillId="0" borderId="38" xfId="1" applyNumberFormat="1" applyFont="1" applyFill="1" applyBorder="1" applyAlignment="1">
      <alignment horizontal="center" vertical="center" wrapText="1"/>
    </xf>
    <xf numFmtId="165" fontId="16" fillId="0" borderId="74" xfId="1" applyNumberFormat="1" applyFont="1" applyFill="1" applyBorder="1" applyAlignment="1">
      <alignment horizontal="center"/>
    </xf>
    <xf numFmtId="165" fontId="16" fillId="0" borderId="81" xfId="1" applyNumberFormat="1" applyFont="1" applyFill="1" applyBorder="1" applyAlignment="1">
      <alignment horizontal="center"/>
    </xf>
    <xf numFmtId="165" fontId="16" fillId="0" borderId="94" xfId="1" applyNumberFormat="1" applyFont="1" applyFill="1" applyBorder="1" applyAlignment="1">
      <alignment horizontal="center"/>
    </xf>
    <xf numFmtId="165" fontId="16" fillId="0" borderId="96" xfId="1" applyNumberFormat="1" applyFont="1" applyFill="1" applyBorder="1" applyAlignment="1">
      <alignment horizontal="center"/>
    </xf>
    <xf numFmtId="4" fontId="14" fillId="0" borderId="96" xfId="1" applyNumberFormat="1" applyFont="1" applyFill="1" applyBorder="1" applyAlignment="1">
      <alignment horizontal="center" vertical="center" wrapText="1"/>
    </xf>
    <xf numFmtId="165" fontId="16" fillId="0" borderId="95" xfId="1" applyNumberFormat="1" applyFont="1" applyFill="1" applyBorder="1" applyAlignment="1">
      <alignment horizontal="center"/>
    </xf>
    <xf numFmtId="4" fontId="14" fillId="0" borderId="96" xfId="0" applyNumberFormat="1" applyFont="1" applyFill="1" applyBorder="1" applyAlignment="1">
      <alignment horizontal="center" vertical="center" wrapText="1"/>
    </xf>
    <xf numFmtId="165" fontId="16" fillId="0" borderId="90" xfId="1" applyNumberFormat="1" applyFont="1" applyFill="1" applyBorder="1" applyAlignment="1">
      <alignment horizontal="center"/>
    </xf>
    <xf numFmtId="4" fontId="14" fillId="0" borderId="42" xfId="1" applyNumberFormat="1" applyFont="1" applyFill="1" applyBorder="1" applyAlignment="1">
      <alignment horizontal="center" vertical="center" wrapText="1"/>
    </xf>
    <xf numFmtId="4" fontId="14" fillId="0" borderId="42" xfId="0" applyNumberFormat="1" applyFont="1" applyFill="1" applyBorder="1" applyAlignment="1">
      <alignment horizontal="center" vertical="center" wrapText="1"/>
    </xf>
    <xf numFmtId="4" fontId="14" fillId="0" borderId="56" xfId="1" applyNumberFormat="1" applyFont="1" applyFill="1" applyBorder="1" applyAlignment="1">
      <alignment horizontal="center" vertical="center" wrapText="1"/>
    </xf>
    <xf numFmtId="165" fontId="16" fillId="0" borderId="73" xfId="1" applyNumberFormat="1" applyFont="1" applyFill="1" applyBorder="1" applyAlignment="1">
      <alignment horizontal="center"/>
    </xf>
    <xf numFmtId="4" fontId="14" fillId="0" borderId="46" xfId="1" applyNumberFormat="1" applyFont="1" applyFill="1" applyBorder="1" applyAlignment="1">
      <alignment horizontal="center" vertical="center" wrapText="1"/>
    </xf>
    <xf numFmtId="4" fontId="14" fillId="0" borderId="56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/>
    </xf>
    <xf numFmtId="3" fontId="15" fillId="7" borderId="0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4" fontId="16" fillId="0" borderId="0" xfId="1" applyNumberFormat="1" applyFont="1" applyBorder="1" applyAlignment="1">
      <alignment horizontal="center"/>
    </xf>
    <xf numFmtId="0" fontId="2" fillId="0" borderId="13" xfId="0" applyFont="1" applyBorder="1" applyAlignment="1">
      <alignment vertical="center"/>
    </xf>
    <xf numFmtId="0" fontId="22" fillId="0" borderId="84" xfId="0" applyFont="1" applyBorder="1" applyAlignment="1">
      <alignment horizontal="center" vertical="center"/>
    </xf>
    <xf numFmtId="3" fontId="15" fillId="7" borderId="82" xfId="0" applyNumberFormat="1" applyFont="1" applyFill="1" applyBorder="1" applyAlignment="1">
      <alignment horizontal="center" vertical="center"/>
    </xf>
    <xf numFmtId="3" fontId="15" fillId="7" borderId="14" xfId="0" applyNumberFormat="1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vertical="center"/>
    </xf>
    <xf numFmtId="0" fontId="7" fillId="4" borderId="80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vertical="center" wrapText="1"/>
    </xf>
    <xf numFmtId="0" fontId="7" fillId="4" borderId="101" xfId="0" applyFont="1" applyFill="1" applyBorder="1" applyAlignment="1">
      <alignment vertical="center" wrapText="1"/>
    </xf>
    <xf numFmtId="0" fontId="7" fillId="4" borderId="104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105" xfId="0" applyFont="1" applyFill="1" applyBorder="1" applyAlignment="1">
      <alignment vertical="center"/>
    </xf>
    <xf numFmtId="0" fontId="7" fillId="4" borderId="100" xfId="0" applyFont="1" applyFill="1" applyBorder="1" applyAlignment="1">
      <alignment vertical="center"/>
    </xf>
    <xf numFmtId="0" fontId="7" fillId="4" borderId="99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100" xfId="0" applyFont="1" applyFill="1" applyBorder="1" applyAlignment="1">
      <alignment horizontal="center" vertical="center" wrapText="1"/>
    </xf>
    <xf numFmtId="3" fontId="15" fillId="0" borderId="47" xfId="0" applyNumberFormat="1" applyFont="1" applyFill="1" applyBorder="1" applyAlignment="1">
      <alignment horizontal="center" vertical="center"/>
    </xf>
    <xf numFmtId="3" fontId="15" fillId="8" borderId="106" xfId="0" applyNumberFormat="1" applyFont="1" applyFill="1" applyBorder="1" applyAlignment="1">
      <alignment horizontal="center" vertical="center"/>
    </xf>
    <xf numFmtId="3" fontId="15" fillId="8" borderId="107" xfId="0" applyNumberFormat="1" applyFont="1" applyFill="1" applyBorder="1" applyAlignment="1">
      <alignment horizontal="center" vertical="center"/>
    </xf>
    <xf numFmtId="9" fontId="0" fillId="0" borderId="108" xfId="0" applyNumberFormat="1" applyBorder="1" applyAlignment="1">
      <alignment vertical="center"/>
    </xf>
    <xf numFmtId="3" fontId="15" fillId="0" borderId="16" xfId="0" applyNumberFormat="1" applyFont="1" applyFill="1" applyBorder="1" applyAlignment="1">
      <alignment horizontal="center" vertical="center"/>
    </xf>
    <xf numFmtId="3" fontId="15" fillId="7" borderId="48" xfId="0" applyNumberFormat="1" applyFont="1" applyFill="1" applyBorder="1" applyAlignment="1">
      <alignment horizontal="center" vertical="center"/>
    </xf>
    <xf numFmtId="3" fontId="15" fillId="7" borderId="110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165" fontId="15" fillId="0" borderId="44" xfId="0" applyNumberFormat="1" applyFont="1" applyFill="1" applyBorder="1" applyAlignment="1">
      <alignment horizontal="center"/>
    </xf>
    <xf numFmtId="166" fontId="15" fillId="0" borderId="85" xfId="0" applyNumberFormat="1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165" fontId="16" fillId="0" borderId="86" xfId="1" applyNumberFormat="1" applyFont="1" applyFill="1" applyBorder="1" applyAlignment="1">
      <alignment horizontal="center"/>
    </xf>
    <xf numFmtId="4" fontId="16" fillId="0" borderId="87" xfId="1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23" fillId="11" borderId="98" xfId="0" applyFont="1" applyFill="1" applyBorder="1"/>
    <xf numFmtId="0" fontId="0" fillId="13" borderId="98" xfId="0" applyFont="1" applyFill="1" applyBorder="1" applyAlignment="1">
      <alignment wrapText="1"/>
    </xf>
    <xf numFmtId="43" fontId="0" fillId="13" borderId="111" xfId="1" applyNumberFormat="1" applyFont="1" applyFill="1" applyBorder="1"/>
    <xf numFmtId="0" fontId="0" fillId="0" borderId="98" xfId="0" applyFont="1" applyBorder="1" applyAlignment="1">
      <alignment wrapText="1"/>
    </xf>
    <xf numFmtId="43" fontId="0" fillId="0" borderId="111" xfId="1" applyNumberFormat="1" applyFont="1" applyBorder="1"/>
    <xf numFmtId="168" fontId="3" fillId="13" borderId="111" xfId="0" applyNumberFormat="1" applyFont="1" applyFill="1" applyBorder="1"/>
    <xf numFmtId="43" fontId="0" fillId="0" borderId="111" xfId="0" applyNumberFormat="1" applyFont="1" applyBorder="1"/>
    <xf numFmtId="43" fontId="0" fillId="13" borderId="111" xfId="0" applyNumberFormat="1" applyFont="1" applyFill="1" applyBorder="1"/>
    <xf numFmtId="0" fontId="0" fillId="13" borderId="98" xfId="0" applyFont="1" applyFill="1" applyBorder="1"/>
    <xf numFmtId="0" fontId="0" fillId="0" borderId="98" xfId="0" applyFont="1" applyBorder="1"/>
    <xf numFmtId="43" fontId="1" fillId="0" borderId="0" xfId="1" applyNumberFormat="1" applyFont="1"/>
    <xf numFmtId="2" fontId="0" fillId="0" borderId="0" xfId="0" applyNumberFormat="1" applyBorder="1" applyAlignment="1">
      <alignment horizontal="center"/>
    </xf>
    <xf numFmtId="169" fontId="3" fillId="0" borderId="0" xfId="0" applyNumberFormat="1" applyFont="1" applyBorder="1"/>
    <xf numFmtId="0" fontId="23" fillId="0" borderId="0" xfId="0" applyFont="1" applyFill="1" applyBorder="1" applyAlignment="1"/>
    <xf numFmtId="0" fontId="23" fillId="11" borderId="97" xfId="0" applyFont="1" applyFill="1" applyBorder="1" applyAlignment="1"/>
    <xf numFmtId="0" fontId="23" fillId="11" borderId="111" xfId="0" applyFont="1" applyFill="1" applyBorder="1" applyAlignment="1"/>
    <xf numFmtId="0" fontId="23" fillId="11" borderId="0" xfId="0" applyFont="1" applyFill="1" applyBorder="1"/>
    <xf numFmtId="43" fontId="0" fillId="13" borderId="97" xfId="1" applyFont="1" applyFill="1" applyBorder="1" applyAlignment="1">
      <alignment horizontal="center"/>
    </xf>
    <xf numFmtId="43" fontId="0" fillId="0" borderId="97" xfId="1" applyFont="1" applyBorder="1" applyAlignment="1">
      <alignment horizontal="center"/>
    </xf>
    <xf numFmtId="43" fontId="0" fillId="0" borderId="97" xfId="1" applyFont="1" applyFill="1" applyBorder="1" applyAlignment="1">
      <alignment horizontal="center"/>
    </xf>
    <xf numFmtId="43" fontId="0" fillId="13" borderId="0" xfId="1" applyFont="1" applyFill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13" borderId="97" xfId="0" applyFont="1" applyFill="1" applyBorder="1" applyAlignment="1">
      <alignment horizontal="center"/>
    </xf>
    <xf numFmtId="0" fontId="0" fillId="0" borderId="97" xfId="0" applyFont="1" applyBorder="1" applyAlignment="1">
      <alignment horizontal="center"/>
    </xf>
    <xf numFmtId="170" fontId="0" fillId="0" borderId="97" xfId="0" applyNumberFormat="1" applyFont="1" applyBorder="1" applyAlignment="1">
      <alignment horizontal="center"/>
    </xf>
    <xf numFmtId="170" fontId="0" fillId="13" borderId="97" xfId="0" applyNumberFormat="1" applyFont="1" applyFill="1" applyBorder="1" applyAlignment="1">
      <alignment horizontal="center"/>
    </xf>
    <xf numFmtId="3" fontId="0" fillId="0" borderId="0" xfId="0" applyNumberFormat="1"/>
    <xf numFmtId="4" fontId="14" fillId="7" borderId="38" xfId="0" applyNumberFormat="1" applyFont="1" applyFill="1" applyBorder="1" applyAlignment="1">
      <alignment horizontal="center" vertical="center" wrapText="1"/>
    </xf>
    <xf numFmtId="4" fontId="14" fillId="7" borderId="60" xfId="1" applyNumberFormat="1" applyFont="1" applyFill="1" applyBorder="1" applyAlignment="1">
      <alignment horizontal="center" vertical="center" wrapText="1"/>
    </xf>
    <xf numFmtId="4" fontId="14" fillId="7" borderId="59" xfId="1" applyNumberFormat="1" applyFont="1" applyFill="1" applyBorder="1" applyAlignment="1">
      <alignment horizontal="center" vertical="center" wrapText="1"/>
    </xf>
    <xf numFmtId="3" fontId="24" fillId="0" borderId="0" xfId="1" applyNumberFormat="1" applyFont="1" applyBorder="1" applyAlignment="1" applyProtection="1">
      <alignment horizontal="center" vertical="center"/>
      <protection locked="0"/>
    </xf>
    <xf numFmtId="43" fontId="24" fillId="0" borderId="0" xfId="1" applyNumberFormat="1" applyFont="1" applyBorder="1" applyAlignment="1" applyProtection="1">
      <alignment horizontal="center" vertical="center"/>
      <protection locked="0"/>
    </xf>
    <xf numFmtId="0" fontId="24" fillId="2" borderId="10" xfId="0" applyFont="1" applyFill="1" applyBorder="1" applyAlignment="1">
      <alignment vertical="center"/>
    </xf>
    <xf numFmtId="0" fontId="24" fillId="0" borderId="11" xfId="0" applyFont="1" applyBorder="1" applyAlignment="1" applyProtection="1">
      <alignment horizontal="center" vertical="center"/>
      <protection locked="0"/>
    </xf>
    <xf numFmtId="3" fontId="24" fillId="0" borderId="11" xfId="0" applyNumberFormat="1" applyFont="1" applyBorder="1" applyAlignment="1" applyProtection="1">
      <alignment horizontal="center" vertical="center"/>
      <protection locked="0"/>
    </xf>
    <xf numFmtId="3" fontId="24" fillId="0" borderId="93" xfId="0" applyNumberFormat="1" applyFont="1" applyBorder="1" applyAlignment="1" applyProtection="1">
      <alignment horizontal="center" vertical="center"/>
      <protection locked="0"/>
    </xf>
    <xf numFmtId="4" fontId="14" fillId="7" borderId="15" xfId="1" applyNumberFormat="1" applyFont="1" applyFill="1" applyBorder="1" applyAlignment="1">
      <alignment horizontal="center" vertical="center" wrapText="1"/>
    </xf>
    <xf numFmtId="4" fontId="14" fillId="7" borderId="38" xfId="1" applyNumberFormat="1" applyFont="1" applyFill="1" applyBorder="1" applyAlignment="1">
      <alignment horizontal="center" vertical="center" wrapText="1"/>
    </xf>
    <xf numFmtId="4" fontId="14" fillId="7" borderId="37" xfId="0" applyNumberFormat="1" applyFont="1" applyFill="1" applyBorder="1" applyAlignment="1">
      <alignment horizontal="center" vertical="center" wrapText="1"/>
    </xf>
    <xf numFmtId="4" fontId="14" fillId="7" borderId="39" xfId="0" applyNumberFormat="1" applyFont="1" applyFill="1" applyBorder="1" applyAlignment="1">
      <alignment horizontal="center" vertical="center" wrapText="1"/>
    </xf>
    <xf numFmtId="4" fontId="14" fillId="7" borderId="40" xfId="0" applyNumberFormat="1" applyFont="1" applyFill="1" applyBorder="1" applyAlignment="1">
      <alignment horizontal="center" vertical="center" wrapText="1"/>
    </xf>
    <xf numFmtId="4" fontId="14" fillId="7" borderId="43" xfId="0" applyNumberFormat="1" applyFont="1" applyFill="1" applyBorder="1" applyAlignment="1">
      <alignment horizontal="center" vertical="center" wrapText="1"/>
    </xf>
    <xf numFmtId="0" fontId="7" fillId="7" borderId="71" xfId="0" applyFont="1" applyFill="1" applyBorder="1" applyAlignment="1">
      <alignment horizontal="center" vertical="center"/>
    </xf>
    <xf numFmtId="165" fontId="15" fillId="7" borderId="72" xfId="2" applyNumberFormat="1" applyFont="1" applyFill="1" applyBorder="1" applyAlignment="1">
      <alignment horizontal="center" vertical="center"/>
    </xf>
    <xf numFmtId="4" fontId="14" fillId="7" borderId="72" xfId="0" applyNumberFormat="1" applyFont="1" applyFill="1" applyBorder="1" applyAlignment="1">
      <alignment horizontal="center" vertical="center" wrapText="1"/>
    </xf>
    <xf numFmtId="4" fontId="14" fillId="7" borderId="75" xfId="0" applyNumberFormat="1" applyFont="1" applyFill="1" applyBorder="1" applyAlignment="1">
      <alignment horizontal="center" vertical="center" wrapText="1"/>
    </xf>
    <xf numFmtId="4" fontId="14" fillId="7" borderId="73" xfId="0" applyNumberFormat="1" applyFont="1" applyFill="1" applyBorder="1" applyAlignment="1">
      <alignment horizontal="center" vertical="center" wrapText="1"/>
    </xf>
    <xf numFmtId="4" fontId="14" fillId="7" borderId="77" xfId="0" applyNumberFormat="1" applyFont="1" applyFill="1" applyBorder="1" applyAlignment="1">
      <alignment horizontal="center" vertical="center" wrapText="1"/>
    </xf>
    <xf numFmtId="4" fontId="14" fillId="7" borderId="74" xfId="0" applyNumberFormat="1" applyFont="1" applyFill="1" applyBorder="1" applyAlignment="1">
      <alignment horizontal="center" vertical="center" wrapText="1"/>
    </xf>
    <xf numFmtId="4" fontId="14" fillId="7" borderId="23" xfId="1" applyNumberFormat="1" applyFont="1" applyFill="1" applyBorder="1" applyAlignment="1">
      <alignment horizontal="center" vertical="center" wrapText="1"/>
    </xf>
    <xf numFmtId="4" fontId="14" fillId="7" borderId="80" xfId="1" applyNumberFormat="1" applyFont="1" applyFill="1" applyBorder="1" applyAlignment="1">
      <alignment horizontal="center" vertical="center" wrapText="1"/>
    </xf>
    <xf numFmtId="4" fontId="14" fillId="7" borderId="84" xfId="1" applyNumberFormat="1" applyFont="1" applyFill="1" applyBorder="1" applyAlignment="1">
      <alignment horizontal="center" vertical="center" wrapText="1"/>
    </xf>
    <xf numFmtId="4" fontId="14" fillId="7" borderId="74" xfId="1" applyNumberFormat="1" applyFont="1" applyFill="1" applyBorder="1" applyAlignment="1">
      <alignment horizontal="center" vertical="center" wrapText="1"/>
    </xf>
    <xf numFmtId="4" fontId="14" fillId="7" borderId="73" xfId="1" applyNumberFormat="1" applyFont="1" applyFill="1" applyBorder="1" applyAlignment="1">
      <alignment horizontal="center" vertical="center" wrapText="1"/>
    </xf>
    <xf numFmtId="4" fontId="14" fillId="0" borderId="23" xfId="1" applyNumberFormat="1" applyFont="1" applyFill="1" applyBorder="1" applyAlignment="1">
      <alignment horizontal="center" vertical="center" wrapText="1"/>
    </xf>
    <xf numFmtId="4" fontId="14" fillId="0" borderId="74" xfId="1" applyNumberFormat="1" applyFont="1" applyFill="1" applyBorder="1" applyAlignment="1">
      <alignment horizontal="center" vertical="center" wrapText="1"/>
    </xf>
    <xf numFmtId="0" fontId="7" fillId="10" borderId="28" xfId="0" applyFont="1" applyFill="1" applyBorder="1" applyAlignment="1">
      <alignment vertical="center"/>
    </xf>
    <xf numFmtId="0" fontId="7" fillId="10" borderId="112" xfId="0" applyFont="1" applyFill="1" applyBorder="1" applyAlignment="1">
      <alignment vertical="center"/>
    </xf>
    <xf numFmtId="0" fontId="25" fillId="7" borderId="52" xfId="0" applyFont="1" applyFill="1" applyBorder="1" applyAlignment="1">
      <alignment horizontal="center" vertical="center"/>
    </xf>
    <xf numFmtId="4" fontId="29" fillId="7" borderId="0" xfId="0" applyNumberFormat="1" applyFont="1" applyFill="1" applyBorder="1" applyAlignment="1">
      <alignment horizontal="center" vertical="center" wrapText="1"/>
    </xf>
    <xf numFmtId="4" fontId="29" fillId="7" borderId="0" xfId="1" applyNumberFormat="1" applyFont="1" applyFill="1" applyBorder="1" applyAlignment="1">
      <alignment horizontal="center" vertical="center" wrapText="1"/>
    </xf>
    <xf numFmtId="3" fontId="27" fillId="7" borderId="47" xfId="0" applyNumberFormat="1" applyFont="1" applyFill="1" applyBorder="1" applyAlignment="1">
      <alignment horizontal="center" vertical="center"/>
    </xf>
    <xf numFmtId="3" fontId="8" fillId="8" borderId="53" xfId="0" applyNumberFormat="1" applyFont="1" applyFill="1" applyBorder="1" applyAlignment="1">
      <alignment horizontal="center" vertical="center"/>
    </xf>
    <xf numFmtId="3" fontId="26" fillId="5" borderId="53" xfId="0" applyNumberFormat="1" applyFont="1" applyFill="1" applyBorder="1" applyAlignment="1">
      <alignment horizontal="center" vertical="center"/>
    </xf>
    <xf numFmtId="4" fontId="28" fillId="0" borderId="45" xfId="1" applyNumberFormat="1" applyFont="1" applyFill="1" applyBorder="1" applyAlignment="1">
      <alignment horizontal="center"/>
    </xf>
    <xf numFmtId="165" fontId="28" fillId="0" borderId="44" xfId="1" applyNumberFormat="1" applyFont="1" applyFill="1" applyBorder="1" applyAlignment="1">
      <alignment horizontal="center"/>
    </xf>
    <xf numFmtId="165" fontId="28" fillId="0" borderId="45" xfId="1" applyNumberFormat="1" applyFont="1" applyFill="1" applyBorder="1" applyAlignment="1">
      <alignment horizontal="center"/>
    </xf>
    <xf numFmtId="4" fontId="28" fillId="0" borderId="46" xfId="1" applyNumberFormat="1" applyFont="1" applyFill="1" applyBorder="1" applyAlignment="1">
      <alignment horizontal="center"/>
    </xf>
    <xf numFmtId="165" fontId="28" fillId="0" borderId="57" xfId="1" applyNumberFormat="1" applyFont="1" applyFill="1" applyBorder="1" applyAlignment="1">
      <alignment horizontal="center"/>
    </xf>
    <xf numFmtId="165" fontId="28" fillId="0" borderId="54" xfId="1" applyNumberFormat="1" applyFont="1" applyFill="1" applyBorder="1" applyAlignment="1">
      <alignment horizontal="center"/>
    </xf>
    <xf numFmtId="4" fontId="28" fillId="0" borderId="54" xfId="1" applyNumberFormat="1" applyFont="1" applyFill="1" applyBorder="1" applyAlignment="1">
      <alignment horizontal="center"/>
    </xf>
    <xf numFmtId="4" fontId="28" fillId="0" borderId="44" xfId="1" applyNumberFormat="1" applyFont="1" applyFill="1" applyBorder="1" applyAlignment="1">
      <alignment horizontal="center"/>
    </xf>
    <xf numFmtId="4" fontId="29" fillId="7" borderId="52" xfId="0" applyNumberFormat="1" applyFont="1" applyFill="1" applyBorder="1" applyAlignment="1">
      <alignment horizontal="center" vertical="center" wrapText="1"/>
    </xf>
    <xf numFmtId="4" fontId="29" fillId="7" borderId="44" xfId="0" applyNumberFormat="1" applyFont="1" applyFill="1" applyBorder="1" applyAlignment="1">
      <alignment horizontal="center" vertical="center" wrapText="1"/>
    </xf>
    <xf numFmtId="4" fontId="29" fillId="7" borderId="45" xfId="0" applyNumberFormat="1" applyFont="1" applyFill="1" applyBorder="1" applyAlignment="1">
      <alignment horizontal="center" vertical="center" wrapText="1"/>
    </xf>
    <xf numFmtId="4" fontId="29" fillId="7" borderId="46" xfId="0" applyNumberFormat="1" applyFont="1" applyFill="1" applyBorder="1" applyAlignment="1">
      <alignment horizontal="center" vertical="center" wrapText="1"/>
    </xf>
    <xf numFmtId="4" fontId="29" fillId="7" borderId="54" xfId="0" applyNumberFormat="1" applyFont="1" applyFill="1" applyBorder="1" applyAlignment="1">
      <alignment horizontal="center" vertical="center" wrapText="1"/>
    </xf>
    <xf numFmtId="4" fontId="29" fillId="7" borderId="38" xfId="0" applyNumberFormat="1" applyFont="1" applyFill="1" applyBorder="1" applyAlignment="1">
      <alignment horizontal="center" vertical="center" wrapText="1"/>
    </xf>
    <xf numFmtId="4" fontId="29" fillId="7" borderId="15" xfId="1" applyNumberFormat="1" applyFont="1" applyFill="1" applyBorder="1" applyAlignment="1">
      <alignment horizontal="center" vertical="center" wrapText="1"/>
    </xf>
    <xf numFmtId="4" fontId="29" fillId="7" borderId="79" xfId="1" applyNumberFormat="1" applyFont="1" applyFill="1" applyBorder="1" applyAlignment="1">
      <alignment horizontal="center" vertical="center" wrapText="1"/>
    </xf>
    <xf numFmtId="4" fontId="29" fillId="7" borderId="38" xfId="1" applyNumberFormat="1" applyFont="1" applyFill="1" applyBorder="1" applyAlignment="1">
      <alignment horizontal="center" vertical="center" wrapText="1"/>
    </xf>
    <xf numFmtId="4" fontId="29" fillId="7" borderId="56" xfId="1" applyNumberFormat="1" applyFont="1" applyFill="1" applyBorder="1" applyAlignment="1">
      <alignment horizontal="center" vertical="center" wrapText="1"/>
    </xf>
    <xf numFmtId="4" fontId="29" fillId="0" borderId="15" xfId="1" applyNumberFormat="1" applyFont="1" applyFill="1" applyBorder="1" applyAlignment="1">
      <alignment horizontal="center" vertical="center" wrapText="1"/>
    </xf>
    <xf numFmtId="4" fontId="29" fillId="0" borderId="38" xfId="1" applyNumberFormat="1" applyFont="1" applyFill="1" applyBorder="1" applyAlignment="1">
      <alignment horizontal="center" vertical="center" wrapText="1"/>
    </xf>
    <xf numFmtId="0" fontId="8" fillId="7" borderId="59" xfId="0" applyFont="1" applyFill="1" applyBorder="1" applyAlignment="1">
      <alignment horizontal="center" vertical="center"/>
    </xf>
    <xf numFmtId="4" fontId="14" fillId="7" borderId="60" xfId="0" applyNumberFormat="1" applyFont="1" applyFill="1" applyBorder="1" applyAlignment="1">
      <alignment horizontal="center" vertical="center" wrapText="1"/>
    </xf>
    <xf numFmtId="4" fontId="14" fillId="7" borderId="62" xfId="0" applyNumberFormat="1" applyFont="1" applyFill="1" applyBorder="1" applyAlignment="1">
      <alignment horizontal="center" vertical="center" wrapText="1"/>
    </xf>
    <xf numFmtId="4" fontId="14" fillId="7" borderId="63" xfId="0" applyNumberFormat="1" applyFont="1" applyFill="1" applyBorder="1" applyAlignment="1">
      <alignment horizontal="center" vertical="center" wrapText="1"/>
    </xf>
    <xf numFmtId="4" fontId="14" fillId="7" borderId="56" xfId="0" applyNumberFormat="1" applyFont="1" applyFill="1" applyBorder="1" applyAlignment="1">
      <alignment horizontal="center" vertical="center" wrapText="1"/>
    </xf>
    <xf numFmtId="4" fontId="14" fillId="7" borderId="55" xfId="0" applyNumberFormat="1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vertical="center"/>
    </xf>
    <xf numFmtId="165" fontId="15" fillId="0" borderId="29" xfId="2" applyNumberFormat="1" applyFont="1" applyFill="1" applyBorder="1" applyAlignment="1">
      <alignment horizontal="center" vertical="center"/>
    </xf>
    <xf numFmtId="4" fontId="16" fillId="0" borderId="33" xfId="1" applyNumberFormat="1" applyFont="1" applyFill="1" applyBorder="1" applyAlignment="1">
      <alignment horizontal="center"/>
    </xf>
    <xf numFmtId="4" fontId="14" fillId="0" borderId="27" xfId="0" applyNumberFormat="1" applyFont="1" applyFill="1" applyBorder="1" applyAlignment="1">
      <alignment horizontal="center" vertical="center" wrapText="1"/>
    </xf>
    <xf numFmtId="4" fontId="14" fillId="0" borderId="29" xfId="0" applyNumberFormat="1" applyFont="1" applyFill="1" applyBorder="1" applyAlignment="1">
      <alignment horizontal="center" vertical="center" wrapText="1"/>
    </xf>
    <xf numFmtId="4" fontId="14" fillId="0" borderId="31" xfId="0" applyNumberFormat="1" applyFont="1" applyFill="1" applyBorder="1" applyAlignment="1">
      <alignment horizontal="center" vertical="center" wrapText="1"/>
    </xf>
    <xf numFmtId="4" fontId="14" fillId="0" borderId="32" xfId="0" applyNumberFormat="1" applyFont="1" applyFill="1" applyBorder="1" applyAlignment="1">
      <alignment horizontal="center" vertical="center" wrapText="1"/>
    </xf>
    <xf numFmtId="4" fontId="14" fillId="0" borderId="30" xfId="0" applyNumberFormat="1" applyFont="1" applyFill="1" applyBorder="1" applyAlignment="1">
      <alignment horizontal="center" vertical="center" wrapText="1"/>
    </xf>
    <xf numFmtId="4" fontId="14" fillId="0" borderId="13" xfId="0" applyNumberFormat="1" applyFont="1" applyFill="1" applyBorder="1" applyAlignment="1">
      <alignment horizontal="center" vertical="center" wrapText="1"/>
    </xf>
    <xf numFmtId="165" fontId="16" fillId="0" borderId="27" xfId="1" applyNumberFormat="1" applyFont="1" applyFill="1" applyBorder="1" applyAlignment="1">
      <alignment horizontal="center"/>
    </xf>
    <xf numFmtId="165" fontId="16" fillId="0" borderId="26" xfId="1" applyNumberFormat="1" applyFont="1" applyFill="1" applyBorder="1" applyAlignment="1">
      <alignment horizontal="center"/>
    </xf>
    <xf numFmtId="165" fontId="16" fillId="0" borderId="13" xfId="1" applyNumberFormat="1" applyFont="1" applyFill="1" applyBorder="1" applyAlignment="1">
      <alignment horizontal="center"/>
    </xf>
    <xf numFmtId="165" fontId="16" fillId="0" borderId="89" xfId="1" applyNumberFormat="1" applyFont="1" applyFill="1" applyBorder="1" applyAlignment="1">
      <alignment horizontal="center"/>
    </xf>
    <xf numFmtId="165" fontId="16" fillId="0" borderId="19" xfId="1" applyNumberFormat="1" applyFont="1" applyFill="1" applyBorder="1" applyAlignment="1">
      <alignment horizontal="center"/>
    </xf>
    <xf numFmtId="9" fontId="0" fillId="0" borderId="18" xfId="0" applyNumberFormat="1" applyBorder="1" applyAlignment="1">
      <alignment vertical="center"/>
    </xf>
    <xf numFmtId="3" fontId="25" fillId="0" borderId="0" xfId="1" applyNumberFormat="1" applyFont="1" applyBorder="1" applyAlignment="1" applyProtection="1">
      <alignment horizontal="center" vertical="center"/>
      <protection locked="0"/>
    </xf>
    <xf numFmtId="43" fontId="25" fillId="0" borderId="0" xfId="1" applyNumberFormat="1" applyFont="1" applyBorder="1" applyAlignment="1" applyProtection="1">
      <alignment horizontal="center" vertical="center"/>
      <protection locked="0"/>
    </xf>
    <xf numFmtId="0" fontId="25" fillId="2" borderId="9" xfId="0" applyFont="1" applyFill="1" applyBorder="1" applyAlignment="1">
      <alignment vertical="center"/>
    </xf>
    <xf numFmtId="0" fontId="25" fillId="2" borderId="10" xfId="0" applyFont="1" applyFill="1" applyBorder="1" applyAlignment="1">
      <alignment vertical="center"/>
    </xf>
    <xf numFmtId="0" fontId="25" fillId="0" borderId="11" xfId="0" applyFont="1" applyBorder="1" applyAlignment="1" applyProtection="1">
      <alignment horizontal="center" vertical="center"/>
      <protection locked="0"/>
    </xf>
    <xf numFmtId="3" fontId="25" fillId="0" borderId="11" xfId="0" applyNumberFormat="1" applyFont="1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horizontal="center" vertical="center"/>
    </xf>
    <xf numFmtId="3" fontId="25" fillId="0" borderId="93" xfId="0" applyNumberFormat="1" applyFont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1" fillId="7" borderId="52" xfId="0" applyFont="1" applyFill="1" applyBorder="1" applyAlignment="1">
      <alignment horizontal="center" vertical="center"/>
    </xf>
    <xf numFmtId="3" fontId="32" fillId="5" borderId="53" xfId="0" applyNumberFormat="1" applyFont="1" applyFill="1" applyBorder="1" applyAlignment="1">
      <alignment horizontal="center" vertical="center"/>
    </xf>
    <xf numFmtId="165" fontId="33" fillId="7" borderId="44" xfId="2" applyNumberFormat="1" applyFont="1" applyFill="1" applyBorder="1" applyAlignment="1">
      <alignment horizontal="center" vertical="center"/>
    </xf>
    <xf numFmtId="4" fontId="34" fillId="0" borderId="45" xfId="1" applyNumberFormat="1" applyFont="1" applyFill="1" applyBorder="1" applyAlignment="1">
      <alignment horizontal="center"/>
    </xf>
    <xf numFmtId="4" fontId="34" fillId="0" borderId="51" xfId="1" applyNumberFormat="1" applyFont="1" applyFill="1" applyBorder="1" applyAlignment="1">
      <alignment horizontal="center"/>
    </xf>
    <xf numFmtId="165" fontId="34" fillId="0" borderId="44" xfId="1" applyNumberFormat="1" applyFont="1" applyFill="1" applyBorder="1" applyAlignment="1">
      <alignment horizontal="center"/>
    </xf>
    <xf numFmtId="165" fontId="34" fillId="0" borderId="45" xfId="1" applyNumberFormat="1" applyFont="1" applyFill="1" applyBorder="1" applyAlignment="1">
      <alignment horizontal="center"/>
    </xf>
    <xf numFmtId="4" fontId="34" fillId="0" borderId="46" xfId="1" applyNumberFormat="1" applyFont="1" applyFill="1" applyBorder="1" applyAlignment="1">
      <alignment horizontal="center"/>
    </xf>
    <xf numFmtId="165" fontId="34" fillId="0" borderId="57" xfId="1" applyNumberFormat="1" applyFont="1" applyFill="1" applyBorder="1" applyAlignment="1">
      <alignment horizontal="center"/>
    </xf>
    <xf numFmtId="165" fontId="34" fillId="0" borderId="54" xfId="1" applyNumberFormat="1" applyFont="1" applyFill="1" applyBorder="1" applyAlignment="1">
      <alignment horizontal="center"/>
    </xf>
    <xf numFmtId="4" fontId="34" fillId="0" borderId="54" xfId="1" applyNumberFormat="1" applyFont="1" applyFill="1" applyBorder="1" applyAlignment="1">
      <alignment horizontal="center"/>
    </xf>
    <xf numFmtId="4" fontId="34" fillId="0" borderId="44" xfId="1" applyNumberFormat="1" applyFont="1" applyFill="1" applyBorder="1" applyAlignment="1">
      <alignment horizontal="center"/>
    </xf>
    <xf numFmtId="4" fontId="35" fillId="7" borderId="52" xfId="0" applyNumberFormat="1" applyFont="1" applyFill="1" applyBorder="1" applyAlignment="1">
      <alignment horizontal="center" vertical="center" wrapText="1"/>
    </xf>
    <xf numFmtId="4" fontId="35" fillId="7" borderId="44" xfId="0" applyNumberFormat="1" applyFont="1" applyFill="1" applyBorder="1" applyAlignment="1">
      <alignment horizontal="center" vertical="center" wrapText="1"/>
    </xf>
    <xf numFmtId="4" fontId="35" fillId="7" borderId="45" xfId="0" applyNumberFormat="1" applyFont="1" applyFill="1" applyBorder="1" applyAlignment="1">
      <alignment horizontal="center" vertical="center" wrapText="1"/>
    </xf>
    <xf numFmtId="4" fontId="35" fillId="7" borderId="46" xfId="0" applyNumberFormat="1" applyFont="1" applyFill="1" applyBorder="1" applyAlignment="1">
      <alignment horizontal="center" vertical="center" wrapText="1"/>
    </xf>
    <xf numFmtId="4" fontId="35" fillId="7" borderId="54" xfId="0" applyNumberFormat="1" applyFont="1" applyFill="1" applyBorder="1" applyAlignment="1">
      <alignment horizontal="center" vertical="center" wrapText="1"/>
    </xf>
    <xf numFmtId="4" fontId="35" fillId="7" borderId="0" xfId="0" applyNumberFormat="1" applyFont="1" applyFill="1" applyBorder="1" applyAlignment="1">
      <alignment horizontal="center" vertical="center" wrapText="1"/>
    </xf>
    <xf numFmtId="4" fontId="35" fillId="7" borderId="38" xfId="0" applyNumberFormat="1" applyFont="1" applyFill="1" applyBorder="1" applyAlignment="1">
      <alignment horizontal="center" vertical="center" wrapText="1"/>
    </xf>
    <xf numFmtId="4" fontId="35" fillId="7" borderId="60" xfId="1" applyNumberFormat="1" applyFont="1" applyFill="1" applyBorder="1" applyAlignment="1">
      <alignment horizontal="center" vertical="center" wrapText="1"/>
    </xf>
    <xf numFmtId="4" fontId="35" fillId="7" borderId="79" xfId="0" applyNumberFormat="1" applyFont="1" applyFill="1" applyBorder="1" applyAlignment="1">
      <alignment horizontal="center" vertical="center" wrapText="1"/>
    </xf>
    <xf numFmtId="4" fontId="35" fillId="7" borderId="59" xfId="1" applyNumberFormat="1" applyFont="1" applyFill="1" applyBorder="1" applyAlignment="1">
      <alignment horizontal="center" vertical="center" wrapText="1"/>
    </xf>
    <xf numFmtId="4" fontId="35" fillId="7" borderId="63" xfId="1" applyNumberFormat="1" applyFont="1" applyFill="1" applyBorder="1" applyAlignment="1">
      <alignment horizontal="center" vertical="center" wrapText="1"/>
    </xf>
    <xf numFmtId="4" fontId="35" fillId="7" borderId="56" xfId="1" applyNumberFormat="1" applyFont="1" applyFill="1" applyBorder="1" applyAlignment="1">
      <alignment horizontal="center" vertical="center" wrapText="1"/>
    </xf>
    <xf numFmtId="4" fontId="35" fillId="0" borderId="15" xfId="1" applyNumberFormat="1" applyFont="1" applyFill="1" applyBorder="1" applyAlignment="1">
      <alignment horizontal="center" vertical="center" wrapText="1"/>
    </xf>
    <xf numFmtId="4" fontId="35" fillId="0" borderId="38" xfId="1" applyNumberFormat="1" applyFont="1" applyFill="1" applyBorder="1" applyAlignment="1">
      <alignment horizontal="center" vertical="center" wrapText="1"/>
    </xf>
    <xf numFmtId="3" fontId="33" fillId="7" borderId="47" xfId="0" applyNumberFormat="1" applyFont="1" applyFill="1" applyBorder="1" applyAlignment="1">
      <alignment horizontal="center" vertical="center"/>
    </xf>
    <xf numFmtId="4" fontId="35" fillId="7" borderId="79" xfId="1" applyNumberFormat="1" applyFont="1" applyFill="1" applyBorder="1" applyAlignment="1">
      <alignment horizontal="center" vertical="center" wrapText="1"/>
    </xf>
    <xf numFmtId="4" fontId="35" fillId="7" borderId="42" xfId="1" applyNumberFormat="1" applyFont="1" applyFill="1" applyBorder="1" applyAlignment="1">
      <alignment horizontal="center" vertical="center" wrapText="1"/>
    </xf>
    <xf numFmtId="4" fontId="35" fillId="12" borderId="44" xfId="0" applyNumberFormat="1" applyFont="1" applyFill="1" applyBorder="1" applyAlignment="1">
      <alignment horizontal="center" vertical="center" wrapText="1"/>
    </xf>
    <xf numFmtId="4" fontId="35" fillId="12" borderId="45" xfId="0" applyNumberFormat="1" applyFont="1" applyFill="1" applyBorder="1" applyAlignment="1">
      <alignment horizontal="center" vertical="center" wrapText="1"/>
    </xf>
    <xf numFmtId="4" fontId="35" fillId="12" borderId="46" xfId="0" applyNumberFormat="1" applyFont="1" applyFill="1" applyBorder="1" applyAlignment="1">
      <alignment horizontal="center" vertical="center" wrapText="1"/>
    </xf>
    <xf numFmtId="4" fontId="35" fillId="7" borderId="0" xfId="1" applyNumberFormat="1" applyFont="1" applyFill="1" applyBorder="1" applyAlignment="1">
      <alignment horizontal="center" vertical="center" wrapText="1"/>
    </xf>
    <xf numFmtId="4" fontId="35" fillId="7" borderId="15" xfId="1" applyNumberFormat="1" applyFont="1" applyFill="1" applyBorder="1" applyAlignment="1">
      <alignment horizontal="center" vertical="center" wrapText="1"/>
    </xf>
    <xf numFmtId="4" fontId="35" fillId="7" borderId="38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6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0" fillId="0" borderId="0" xfId="1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4" fontId="35" fillId="7" borderId="62" xfId="1" applyNumberFormat="1" applyFont="1" applyFill="1" applyBorder="1" applyAlignment="1">
      <alignment horizontal="center" vertical="center" wrapText="1"/>
    </xf>
    <xf numFmtId="165" fontId="15" fillId="7" borderId="46" xfId="2" applyNumberFormat="1" applyFont="1" applyFill="1" applyBorder="1" applyAlignment="1">
      <alignment horizontal="center" vertical="center"/>
    </xf>
    <xf numFmtId="4" fontId="14" fillId="7" borderId="50" xfId="0" applyNumberFormat="1" applyFont="1" applyFill="1" applyBorder="1" applyAlignment="1">
      <alignment horizontal="center" vertical="center" wrapText="1"/>
    </xf>
    <xf numFmtId="4" fontId="14" fillId="7" borderId="57" xfId="0" applyNumberFormat="1" applyFont="1" applyFill="1" applyBorder="1" applyAlignment="1">
      <alignment horizontal="center" vertical="center" wrapText="1"/>
    </xf>
    <xf numFmtId="4" fontId="14" fillId="0" borderId="14" xfId="1" applyNumberFormat="1" applyFont="1" applyFill="1" applyBorder="1" applyAlignment="1">
      <alignment horizontal="center" vertical="center" wrapText="1"/>
    </xf>
    <xf numFmtId="164" fontId="14" fillId="4" borderId="79" xfId="0" applyNumberFormat="1" applyFont="1" applyFill="1" applyBorder="1" applyAlignment="1">
      <alignment horizontal="center" wrapText="1"/>
    </xf>
    <xf numFmtId="43" fontId="36" fillId="0" borderId="0" xfId="1" applyNumberFormat="1" applyFont="1"/>
    <xf numFmtId="0" fontId="38" fillId="7" borderId="50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/>
    </xf>
    <xf numFmtId="3" fontId="38" fillId="5" borderId="53" xfId="0" applyNumberFormat="1" applyFont="1" applyFill="1" applyBorder="1" applyAlignment="1">
      <alignment horizontal="center" vertical="center"/>
    </xf>
    <xf numFmtId="4" fontId="40" fillId="0" borderId="45" xfId="1" applyNumberFormat="1" applyFont="1" applyFill="1" applyBorder="1" applyAlignment="1">
      <alignment horizontal="center"/>
    </xf>
    <xf numFmtId="165" fontId="40" fillId="0" borderId="44" xfId="1" applyNumberFormat="1" applyFont="1" applyFill="1" applyBorder="1" applyAlignment="1">
      <alignment horizontal="center"/>
    </xf>
    <xf numFmtId="165" fontId="40" fillId="0" borderId="45" xfId="1" applyNumberFormat="1" applyFont="1" applyFill="1" applyBorder="1" applyAlignment="1">
      <alignment horizontal="center"/>
    </xf>
    <xf numFmtId="4" fontId="40" fillId="0" borderId="46" xfId="1" applyNumberFormat="1" applyFont="1" applyFill="1" applyBorder="1" applyAlignment="1">
      <alignment horizontal="center"/>
    </xf>
    <xf numFmtId="165" fontId="40" fillId="0" borderId="57" xfId="1" applyNumberFormat="1" applyFont="1" applyFill="1" applyBorder="1" applyAlignment="1">
      <alignment horizontal="center"/>
    </xf>
    <xf numFmtId="165" fontId="40" fillId="0" borderId="54" xfId="1" applyNumberFormat="1" applyFont="1" applyFill="1" applyBorder="1" applyAlignment="1">
      <alignment horizontal="center"/>
    </xf>
    <xf numFmtId="4" fontId="40" fillId="0" borderId="54" xfId="1" applyNumberFormat="1" applyFont="1" applyFill="1" applyBorder="1" applyAlignment="1">
      <alignment horizontal="center"/>
    </xf>
    <xf numFmtId="4" fontId="40" fillId="0" borderId="44" xfId="1" applyNumberFormat="1" applyFont="1" applyFill="1" applyBorder="1" applyAlignment="1">
      <alignment horizontal="center"/>
    </xf>
    <xf numFmtId="4" fontId="41" fillId="7" borderId="52" xfId="0" applyNumberFormat="1" applyFont="1" applyFill="1" applyBorder="1" applyAlignment="1">
      <alignment horizontal="center" vertical="center" wrapText="1"/>
    </xf>
    <xf numFmtId="4" fontId="41" fillId="7" borderId="44" xfId="0" applyNumberFormat="1" applyFont="1" applyFill="1" applyBorder="1" applyAlignment="1">
      <alignment horizontal="center" vertical="center" wrapText="1"/>
    </xf>
    <xf numFmtId="4" fontId="41" fillId="7" borderId="45" xfId="0" applyNumberFormat="1" applyFont="1" applyFill="1" applyBorder="1" applyAlignment="1">
      <alignment horizontal="center" vertical="center" wrapText="1"/>
    </xf>
    <xf numFmtId="4" fontId="41" fillId="7" borderId="46" xfId="0" applyNumberFormat="1" applyFont="1" applyFill="1" applyBorder="1" applyAlignment="1">
      <alignment horizontal="center" vertical="center" wrapText="1"/>
    </xf>
    <xf numFmtId="4" fontId="41" fillId="7" borderId="54" xfId="0" applyNumberFormat="1" applyFont="1" applyFill="1" applyBorder="1" applyAlignment="1">
      <alignment horizontal="center" vertical="center" wrapText="1"/>
    </xf>
    <xf numFmtId="4" fontId="41" fillId="7" borderId="0" xfId="0" applyNumberFormat="1" applyFont="1" applyFill="1" applyBorder="1" applyAlignment="1">
      <alignment horizontal="center" vertical="center" wrapText="1"/>
    </xf>
    <xf numFmtId="4" fontId="41" fillId="7" borderId="38" xfId="0" applyNumberFormat="1" applyFont="1" applyFill="1" applyBorder="1" applyAlignment="1">
      <alignment horizontal="center" vertical="center" wrapText="1"/>
    </xf>
    <xf numFmtId="4" fontId="41" fillId="7" borderId="15" xfId="1" applyNumberFormat="1" applyFont="1" applyFill="1" applyBorder="1" applyAlignment="1">
      <alignment horizontal="center" vertical="center" wrapText="1"/>
    </xf>
    <xf numFmtId="4" fontId="41" fillId="7" borderId="79" xfId="1" applyNumberFormat="1" applyFont="1" applyFill="1" applyBorder="1" applyAlignment="1">
      <alignment horizontal="center" vertical="center" wrapText="1"/>
    </xf>
    <xf numFmtId="4" fontId="41" fillId="7" borderId="0" xfId="1" applyNumberFormat="1" applyFont="1" applyFill="1" applyBorder="1" applyAlignment="1">
      <alignment horizontal="center" vertical="center" wrapText="1"/>
    </xf>
    <xf numFmtId="4" fontId="41" fillId="7" borderId="38" xfId="1" applyNumberFormat="1" applyFont="1" applyFill="1" applyBorder="1" applyAlignment="1">
      <alignment horizontal="center" vertical="center" wrapText="1"/>
    </xf>
    <xf numFmtId="4" fontId="41" fillId="7" borderId="56" xfId="1" applyNumberFormat="1" applyFont="1" applyFill="1" applyBorder="1" applyAlignment="1">
      <alignment horizontal="center" vertical="center" wrapText="1"/>
    </xf>
    <xf numFmtId="4" fontId="41" fillId="0" borderId="15" xfId="1" applyNumberFormat="1" applyFont="1" applyFill="1" applyBorder="1" applyAlignment="1">
      <alignment horizontal="center" vertical="center" wrapText="1"/>
    </xf>
    <xf numFmtId="4" fontId="41" fillId="0" borderId="38" xfId="1" applyNumberFormat="1" applyFont="1" applyFill="1" applyBorder="1" applyAlignment="1">
      <alignment horizontal="center" vertical="center" wrapText="1"/>
    </xf>
    <xf numFmtId="3" fontId="39" fillId="7" borderId="47" xfId="0" applyNumberFormat="1" applyFont="1" applyFill="1" applyBorder="1" applyAlignment="1">
      <alignment horizontal="center" vertical="center"/>
    </xf>
    <xf numFmtId="0" fontId="42" fillId="2" borderId="6" xfId="0" applyFont="1" applyFill="1" applyBorder="1" applyAlignment="1">
      <alignment vertical="center"/>
    </xf>
    <xf numFmtId="0" fontId="42" fillId="2" borderId="7" xfId="0" applyFont="1" applyFill="1" applyBorder="1" applyAlignment="1">
      <alignment vertical="center"/>
    </xf>
    <xf numFmtId="0" fontId="42" fillId="0" borderId="5" xfId="0" applyFont="1" applyBorder="1" applyAlignment="1" applyProtection="1">
      <alignment horizontal="center" vertical="center"/>
      <protection locked="0"/>
    </xf>
    <xf numFmtId="3" fontId="42" fillId="0" borderId="5" xfId="0" applyNumberFormat="1" applyFont="1" applyBorder="1" applyAlignment="1" applyProtection="1">
      <alignment horizontal="center" vertical="center"/>
      <protection locked="0"/>
    </xf>
    <xf numFmtId="0" fontId="43" fillId="0" borderId="5" xfId="0" applyFont="1" applyBorder="1" applyAlignment="1">
      <alignment horizontal="center" vertical="center"/>
    </xf>
    <xf numFmtId="3" fontId="42" fillId="0" borderId="8" xfId="0" applyNumberFormat="1" applyFont="1" applyBorder="1" applyAlignment="1" applyProtection="1">
      <alignment horizontal="center" vertical="center"/>
      <protection locked="0"/>
    </xf>
    <xf numFmtId="3" fontId="42" fillId="0" borderId="0" xfId="1" applyNumberFormat="1" applyFont="1" applyBorder="1" applyAlignment="1" applyProtection="1">
      <alignment horizontal="center" vertical="center"/>
      <protection locked="0"/>
    </xf>
    <xf numFmtId="43" fontId="42" fillId="0" borderId="0" xfId="1" applyNumberFormat="1" applyFont="1" applyBorder="1" applyAlignment="1" applyProtection="1">
      <alignment horizontal="center" vertical="center"/>
      <protection locked="0"/>
    </xf>
    <xf numFmtId="164" fontId="42" fillId="0" borderId="5" xfId="0" applyNumberFormat="1" applyFont="1" applyFill="1" applyBorder="1" applyAlignment="1" applyProtection="1">
      <alignment horizontal="center" vertical="center"/>
      <protection locked="0"/>
    </xf>
    <xf numFmtId="0" fontId="42" fillId="0" borderId="50" xfId="0" applyFont="1" applyBorder="1" applyAlignment="1">
      <alignment horizontal="center" vertical="center"/>
    </xf>
    <xf numFmtId="0" fontId="44" fillId="7" borderId="51" xfId="0" applyFont="1" applyFill="1" applyBorder="1" applyAlignment="1">
      <alignment horizontal="center" vertical="center"/>
    </xf>
    <xf numFmtId="0" fontId="44" fillId="7" borderId="52" xfId="0" applyFont="1" applyFill="1" applyBorder="1" applyAlignment="1">
      <alignment horizontal="center" vertical="center"/>
    </xf>
    <xf numFmtId="0" fontId="42" fillId="7" borderId="52" xfId="0" applyFont="1" applyFill="1" applyBorder="1" applyAlignment="1">
      <alignment horizontal="center" vertical="center"/>
    </xf>
    <xf numFmtId="3" fontId="44" fillId="5" borderId="53" xfId="0" applyNumberFormat="1" applyFont="1" applyFill="1" applyBorder="1" applyAlignment="1">
      <alignment horizontal="center" vertical="center"/>
    </xf>
    <xf numFmtId="165" fontId="45" fillId="7" borderId="44" xfId="2" applyNumberFormat="1" applyFont="1" applyFill="1" applyBorder="1" applyAlignment="1">
      <alignment horizontal="center" vertical="center"/>
    </xf>
    <xf numFmtId="4" fontId="46" fillId="0" borderId="45" xfId="1" applyNumberFormat="1" applyFont="1" applyFill="1" applyBorder="1" applyAlignment="1">
      <alignment horizontal="center"/>
    </xf>
    <xf numFmtId="4" fontId="46" fillId="0" borderId="51" xfId="1" applyNumberFormat="1" applyFont="1" applyFill="1" applyBorder="1" applyAlignment="1">
      <alignment horizontal="center"/>
    </xf>
    <xf numFmtId="165" fontId="46" fillId="0" borderId="44" xfId="1" applyNumberFormat="1" applyFont="1" applyFill="1" applyBorder="1" applyAlignment="1">
      <alignment horizontal="center"/>
    </xf>
    <xf numFmtId="165" fontId="46" fillId="0" borderId="45" xfId="1" applyNumberFormat="1" applyFont="1" applyFill="1" applyBorder="1" applyAlignment="1">
      <alignment horizontal="center"/>
    </xf>
    <xf numFmtId="4" fontId="46" fillId="0" borderId="46" xfId="1" applyNumberFormat="1" applyFont="1" applyFill="1" applyBorder="1" applyAlignment="1">
      <alignment horizontal="center"/>
    </xf>
    <xf numFmtId="165" fontId="46" fillId="0" borderId="57" xfId="1" applyNumberFormat="1" applyFont="1" applyFill="1" applyBorder="1" applyAlignment="1">
      <alignment horizontal="center"/>
    </xf>
    <xf numFmtId="165" fontId="46" fillId="0" borderId="54" xfId="1" applyNumberFormat="1" applyFont="1" applyFill="1" applyBorder="1" applyAlignment="1">
      <alignment horizontal="center"/>
    </xf>
    <xf numFmtId="4" fontId="46" fillId="0" borderId="54" xfId="1" applyNumberFormat="1" applyFont="1" applyFill="1" applyBorder="1" applyAlignment="1">
      <alignment horizontal="center"/>
    </xf>
    <xf numFmtId="4" fontId="46" fillId="0" borderId="44" xfId="1" applyNumberFormat="1" applyFont="1" applyFill="1" applyBorder="1" applyAlignment="1">
      <alignment horizontal="center"/>
    </xf>
    <xf numFmtId="4" fontId="47" fillId="7" borderId="52" xfId="0" applyNumberFormat="1" applyFont="1" applyFill="1" applyBorder="1" applyAlignment="1">
      <alignment horizontal="center" vertical="center" wrapText="1"/>
    </xf>
    <xf numFmtId="4" fontId="47" fillId="7" borderId="44" xfId="0" applyNumberFormat="1" applyFont="1" applyFill="1" applyBorder="1" applyAlignment="1">
      <alignment horizontal="center" vertical="center" wrapText="1"/>
    </xf>
    <xf numFmtId="4" fontId="47" fillId="7" borderId="45" xfId="0" applyNumberFormat="1" applyFont="1" applyFill="1" applyBorder="1" applyAlignment="1">
      <alignment horizontal="center" vertical="center" wrapText="1"/>
    </xf>
    <xf numFmtId="4" fontId="47" fillId="7" borderId="46" xfId="0" applyNumberFormat="1" applyFont="1" applyFill="1" applyBorder="1" applyAlignment="1">
      <alignment horizontal="center" vertical="center" wrapText="1"/>
    </xf>
    <xf numFmtId="4" fontId="47" fillId="7" borderId="54" xfId="0" applyNumberFormat="1" applyFont="1" applyFill="1" applyBorder="1" applyAlignment="1">
      <alignment horizontal="center" vertical="center" wrapText="1"/>
    </xf>
    <xf numFmtId="4" fontId="47" fillId="7" borderId="0" xfId="0" applyNumberFormat="1" applyFont="1" applyFill="1" applyBorder="1" applyAlignment="1">
      <alignment horizontal="center" vertical="center" wrapText="1"/>
    </xf>
    <xf numFmtId="4" fontId="47" fillId="7" borderId="38" xfId="0" applyNumberFormat="1" applyFont="1" applyFill="1" applyBorder="1" applyAlignment="1">
      <alignment horizontal="center" vertical="center" wrapText="1"/>
    </xf>
    <xf numFmtId="4" fontId="47" fillId="7" borderId="15" xfId="1" applyNumberFormat="1" applyFont="1" applyFill="1" applyBorder="1" applyAlignment="1">
      <alignment horizontal="center" vertical="center" wrapText="1"/>
    </xf>
    <xf numFmtId="4" fontId="47" fillId="7" borderId="79" xfId="1" applyNumberFormat="1" applyFont="1" applyFill="1" applyBorder="1" applyAlignment="1">
      <alignment horizontal="center" vertical="center" wrapText="1"/>
    </xf>
    <xf numFmtId="4" fontId="47" fillId="7" borderId="0" xfId="1" applyNumberFormat="1" applyFont="1" applyFill="1" applyBorder="1" applyAlignment="1">
      <alignment horizontal="center" vertical="center" wrapText="1"/>
    </xf>
    <xf numFmtId="4" fontId="47" fillId="7" borderId="38" xfId="1" applyNumberFormat="1" applyFont="1" applyFill="1" applyBorder="1" applyAlignment="1">
      <alignment horizontal="center" vertical="center" wrapText="1"/>
    </xf>
    <xf numFmtId="4" fontId="47" fillId="7" borderId="56" xfId="1" applyNumberFormat="1" applyFont="1" applyFill="1" applyBorder="1" applyAlignment="1">
      <alignment horizontal="center" vertical="center" wrapText="1"/>
    </xf>
    <xf numFmtId="4" fontId="47" fillId="0" borderId="15" xfId="1" applyNumberFormat="1" applyFont="1" applyFill="1" applyBorder="1" applyAlignment="1">
      <alignment horizontal="center" vertical="center" wrapText="1"/>
    </xf>
    <xf numFmtId="4" fontId="47" fillId="0" borderId="38" xfId="1" applyNumberFormat="1" applyFont="1" applyFill="1" applyBorder="1" applyAlignment="1">
      <alignment horizontal="center" vertical="center" wrapText="1"/>
    </xf>
    <xf numFmtId="3" fontId="45" fillId="7" borderId="47" xfId="0" applyNumberFormat="1" applyFont="1" applyFill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165" fontId="45" fillId="7" borderId="37" xfId="2" applyNumberFormat="1" applyFont="1" applyFill="1" applyBorder="1" applyAlignment="1">
      <alignment horizontal="center" vertical="center"/>
    </xf>
    <xf numFmtId="4" fontId="46" fillId="0" borderId="39" xfId="1" applyNumberFormat="1" applyFont="1" applyFill="1" applyBorder="1" applyAlignment="1">
      <alignment horizontal="center"/>
    </xf>
    <xf numFmtId="4" fontId="46" fillId="0" borderId="34" xfId="1" applyNumberFormat="1" applyFont="1" applyFill="1" applyBorder="1" applyAlignment="1">
      <alignment horizontal="center"/>
    </xf>
    <xf numFmtId="165" fontId="46" fillId="0" borderId="37" xfId="1" applyNumberFormat="1" applyFont="1" applyFill="1" applyBorder="1" applyAlignment="1">
      <alignment horizontal="center"/>
    </xf>
    <xf numFmtId="165" fontId="46" fillId="0" borderId="39" xfId="1" applyNumberFormat="1" applyFont="1" applyFill="1" applyBorder="1" applyAlignment="1">
      <alignment horizontal="center"/>
    </xf>
    <xf numFmtId="4" fontId="46" fillId="0" borderId="40" xfId="1" applyNumberFormat="1" applyFont="1" applyFill="1" applyBorder="1" applyAlignment="1">
      <alignment horizontal="center"/>
    </xf>
    <xf numFmtId="165" fontId="46" fillId="0" borderId="78" xfId="1" applyNumberFormat="1" applyFont="1" applyFill="1" applyBorder="1" applyAlignment="1">
      <alignment horizontal="center"/>
    </xf>
    <xf numFmtId="165" fontId="46" fillId="0" borderId="43" xfId="1" applyNumberFormat="1" applyFont="1" applyFill="1" applyBorder="1" applyAlignment="1">
      <alignment horizontal="center"/>
    </xf>
    <xf numFmtId="4" fontId="46" fillId="0" borderId="43" xfId="1" applyNumberFormat="1" applyFont="1" applyFill="1" applyBorder="1" applyAlignment="1">
      <alignment horizontal="center"/>
    </xf>
    <xf numFmtId="4" fontId="46" fillId="0" borderId="37" xfId="1" applyNumberFormat="1" applyFont="1" applyFill="1" applyBorder="1" applyAlignment="1">
      <alignment horizontal="center"/>
    </xf>
    <xf numFmtId="4" fontId="47" fillId="7" borderId="35" xfId="0" applyNumberFormat="1" applyFont="1" applyFill="1" applyBorder="1" applyAlignment="1">
      <alignment horizontal="center" vertical="center" wrapText="1"/>
    </xf>
    <xf numFmtId="4" fontId="47" fillId="7" borderId="37" xfId="0" applyNumberFormat="1" applyFont="1" applyFill="1" applyBorder="1" applyAlignment="1">
      <alignment horizontal="center" vertical="center" wrapText="1"/>
    </xf>
    <xf numFmtId="4" fontId="47" fillId="7" borderId="39" xfId="0" applyNumberFormat="1" applyFont="1" applyFill="1" applyBorder="1" applyAlignment="1">
      <alignment horizontal="center" vertical="center" wrapText="1"/>
    </xf>
    <xf numFmtId="4" fontId="47" fillId="7" borderId="40" xfId="0" applyNumberFormat="1" applyFont="1" applyFill="1" applyBorder="1" applyAlignment="1">
      <alignment horizontal="center" vertical="center" wrapText="1"/>
    </xf>
    <xf numFmtId="4" fontId="47" fillId="7" borderId="43" xfId="0" applyNumberFormat="1" applyFont="1" applyFill="1" applyBorder="1" applyAlignment="1">
      <alignment horizontal="center" vertical="center" wrapText="1"/>
    </xf>
    <xf numFmtId="4" fontId="47" fillId="7" borderId="42" xfId="1" applyNumberFormat="1" applyFont="1" applyFill="1" applyBorder="1" applyAlignment="1">
      <alignment horizontal="center" vertical="center" wrapText="1"/>
    </xf>
    <xf numFmtId="0" fontId="26" fillId="7" borderId="68" xfId="0" applyFont="1" applyFill="1" applyBorder="1" applyAlignment="1">
      <alignment horizontal="center" vertical="center"/>
    </xf>
    <xf numFmtId="0" fontId="26" fillId="7" borderId="69" xfId="0" applyFont="1" applyFill="1" applyBorder="1" applyAlignment="1">
      <alignment horizontal="center" vertical="center"/>
    </xf>
    <xf numFmtId="0" fontId="26" fillId="7" borderId="70" xfId="0" applyFont="1" applyFill="1" applyBorder="1" applyAlignment="1">
      <alignment horizontal="center" vertical="center"/>
    </xf>
    <xf numFmtId="0" fontId="25" fillId="7" borderId="70" xfId="0" applyFont="1" applyFill="1" applyBorder="1" applyAlignment="1">
      <alignment horizontal="center" vertical="center"/>
    </xf>
    <xf numFmtId="3" fontId="38" fillId="5" borderId="71" xfId="0" applyNumberFormat="1" applyFont="1" applyFill="1" applyBorder="1" applyAlignment="1">
      <alignment horizontal="center" vertical="center"/>
    </xf>
    <xf numFmtId="165" fontId="27" fillId="7" borderId="72" xfId="2" applyNumberFormat="1" applyFont="1" applyFill="1" applyBorder="1" applyAlignment="1">
      <alignment horizontal="center" vertical="center"/>
    </xf>
    <xf numFmtId="4" fontId="28" fillId="0" borderId="75" xfId="1" applyNumberFormat="1" applyFont="1" applyFill="1" applyBorder="1" applyAlignment="1">
      <alignment horizontal="center"/>
    </xf>
    <xf numFmtId="165" fontId="28" fillId="0" borderId="72" xfId="1" applyNumberFormat="1" applyFont="1" applyFill="1" applyBorder="1" applyAlignment="1">
      <alignment horizontal="center"/>
    </xf>
    <xf numFmtId="165" fontId="28" fillId="0" borderId="75" xfId="1" applyNumberFormat="1" applyFont="1" applyFill="1" applyBorder="1" applyAlignment="1">
      <alignment horizontal="center"/>
    </xf>
    <xf numFmtId="4" fontId="28" fillId="0" borderId="73" xfId="1" applyNumberFormat="1" applyFont="1" applyFill="1" applyBorder="1" applyAlignment="1">
      <alignment horizontal="center"/>
    </xf>
    <xf numFmtId="165" fontId="28" fillId="0" borderId="76" xfId="1" applyNumberFormat="1" applyFont="1" applyFill="1" applyBorder="1" applyAlignment="1">
      <alignment horizontal="center"/>
    </xf>
    <xf numFmtId="165" fontId="28" fillId="0" borderId="77" xfId="1" applyNumberFormat="1" applyFont="1" applyFill="1" applyBorder="1" applyAlignment="1">
      <alignment horizontal="center"/>
    </xf>
    <xf numFmtId="4" fontId="28" fillId="0" borderId="77" xfId="1" applyNumberFormat="1" applyFont="1" applyFill="1" applyBorder="1" applyAlignment="1">
      <alignment horizontal="center"/>
    </xf>
    <xf numFmtId="4" fontId="28" fillId="0" borderId="72" xfId="1" applyNumberFormat="1" applyFont="1" applyFill="1" applyBorder="1" applyAlignment="1">
      <alignment horizontal="center"/>
    </xf>
    <xf numFmtId="4" fontId="29" fillId="7" borderId="70" xfId="0" applyNumberFormat="1" applyFont="1" applyFill="1" applyBorder="1" applyAlignment="1">
      <alignment horizontal="center" vertical="center" wrapText="1"/>
    </xf>
    <xf numFmtId="4" fontId="29" fillId="7" borderId="72" xfId="0" applyNumberFormat="1" applyFont="1" applyFill="1" applyBorder="1" applyAlignment="1">
      <alignment horizontal="center" vertical="center" wrapText="1"/>
    </xf>
    <xf numFmtId="4" fontId="29" fillId="7" borderId="75" xfId="0" applyNumberFormat="1" applyFont="1" applyFill="1" applyBorder="1" applyAlignment="1">
      <alignment horizontal="center" vertical="center" wrapText="1"/>
    </xf>
    <xf numFmtId="4" fontId="29" fillId="7" borderId="73" xfId="0" applyNumberFormat="1" applyFont="1" applyFill="1" applyBorder="1" applyAlignment="1">
      <alignment horizontal="center" vertical="center" wrapText="1"/>
    </xf>
    <xf numFmtId="4" fontId="29" fillId="7" borderId="77" xfId="0" applyNumberFormat="1" applyFont="1" applyFill="1" applyBorder="1" applyAlignment="1">
      <alignment horizontal="center" vertical="center" wrapText="1"/>
    </xf>
    <xf numFmtId="4" fontId="29" fillId="7" borderId="84" xfId="0" applyNumberFormat="1" applyFont="1" applyFill="1" applyBorder="1" applyAlignment="1">
      <alignment horizontal="center" vertical="center" wrapText="1"/>
    </xf>
    <xf numFmtId="4" fontId="29" fillId="7" borderId="74" xfId="0" applyNumberFormat="1" applyFont="1" applyFill="1" applyBorder="1" applyAlignment="1">
      <alignment horizontal="center" vertical="center" wrapText="1"/>
    </xf>
    <xf numFmtId="4" fontId="29" fillId="7" borderId="23" xfId="1" applyNumberFormat="1" applyFont="1" applyFill="1" applyBorder="1" applyAlignment="1">
      <alignment horizontal="center" vertical="center" wrapText="1"/>
    </xf>
    <xf numFmtId="4" fontId="29" fillId="7" borderId="80" xfId="1" applyNumberFormat="1" applyFont="1" applyFill="1" applyBorder="1" applyAlignment="1">
      <alignment horizontal="center" vertical="center" wrapText="1"/>
    </xf>
    <xf numFmtId="4" fontId="29" fillId="7" borderId="84" xfId="1" applyNumberFormat="1" applyFont="1" applyFill="1" applyBorder="1" applyAlignment="1">
      <alignment horizontal="center" vertical="center" wrapText="1"/>
    </xf>
    <xf numFmtId="4" fontId="29" fillId="7" borderId="74" xfId="1" applyNumberFormat="1" applyFont="1" applyFill="1" applyBorder="1" applyAlignment="1">
      <alignment horizontal="center" vertical="center" wrapText="1"/>
    </xf>
    <xf numFmtId="4" fontId="29" fillId="7" borderId="73" xfId="1" applyNumberFormat="1" applyFont="1" applyFill="1" applyBorder="1" applyAlignment="1">
      <alignment horizontal="center" vertical="center" wrapText="1"/>
    </xf>
    <xf numFmtId="4" fontId="29" fillId="0" borderId="23" xfId="1" applyNumberFormat="1" applyFont="1" applyFill="1" applyBorder="1" applyAlignment="1">
      <alignment horizontal="center" vertical="center" wrapText="1"/>
    </xf>
    <xf numFmtId="4" fontId="29" fillId="0" borderId="74" xfId="1" applyNumberFormat="1" applyFont="1" applyFill="1" applyBorder="1" applyAlignment="1">
      <alignment horizontal="center" vertical="center" wrapText="1"/>
    </xf>
    <xf numFmtId="3" fontId="27" fillId="7" borderId="80" xfId="0" applyNumberFormat="1" applyFont="1" applyFill="1" applyBorder="1" applyAlignment="1">
      <alignment horizontal="center" vertical="center"/>
    </xf>
    <xf numFmtId="9" fontId="0" fillId="0" borderId="22" xfId="0" applyNumberFormat="1" applyBorder="1" applyAlignment="1">
      <alignment vertical="center"/>
    </xf>
    <xf numFmtId="3" fontId="15" fillId="7" borderId="22" xfId="0" applyNumberFormat="1" applyFont="1" applyFill="1" applyBorder="1" applyAlignment="1">
      <alignment vertical="center"/>
    </xf>
    <xf numFmtId="165" fontId="48" fillId="0" borderId="86" xfId="1" applyNumberFormat="1" applyFont="1" applyFill="1" applyBorder="1" applyAlignment="1">
      <alignment horizontal="center"/>
    </xf>
    <xf numFmtId="4" fontId="46" fillId="0" borderId="87" xfId="1" applyNumberFormat="1" applyFont="1" applyFill="1" applyBorder="1" applyAlignment="1">
      <alignment horizontal="center"/>
    </xf>
    <xf numFmtId="0" fontId="42" fillId="0" borderId="12" xfId="0" applyFont="1" applyFill="1" applyBorder="1" applyAlignment="1">
      <alignment horizontal="center" vertical="center"/>
    </xf>
    <xf numFmtId="165" fontId="48" fillId="0" borderId="114" xfId="1" applyNumberFormat="1" applyFont="1" applyFill="1" applyBorder="1" applyAlignment="1">
      <alignment horizontal="center"/>
    </xf>
    <xf numFmtId="4" fontId="46" fillId="0" borderId="115" xfId="1" applyNumberFormat="1" applyFont="1" applyFill="1" applyBorder="1" applyAlignment="1">
      <alignment horizontal="center"/>
    </xf>
    <xf numFmtId="9" fontId="6" fillId="0" borderId="0" xfId="2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0" fillId="0" borderId="0" xfId="1" applyFont="1" applyBorder="1" applyAlignment="1">
      <alignment vertical="center"/>
    </xf>
    <xf numFmtId="0" fontId="7" fillId="8" borderId="60" xfId="0" applyFont="1" applyFill="1" applyBorder="1" applyAlignment="1">
      <alignment vertical="center"/>
    </xf>
    <xf numFmtId="43" fontId="0" fillId="0" borderId="0" xfId="1" applyFont="1" applyBorder="1"/>
    <xf numFmtId="166" fontId="15" fillId="8" borderId="63" xfId="1" applyNumberFormat="1" applyFont="1" applyFill="1" applyBorder="1" applyAlignment="1">
      <alignment horizontal="center" vertical="center"/>
    </xf>
    <xf numFmtId="3" fontId="15" fillId="14" borderId="66" xfId="0" applyNumberFormat="1" applyFont="1" applyFill="1" applyBorder="1" applyAlignment="1">
      <alignment horizontal="center" vertical="center"/>
    </xf>
    <xf numFmtId="4" fontId="0" fillId="0" borderId="0" xfId="0" applyNumberFormat="1"/>
    <xf numFmtId="0" fontId="0" fillId="0" borderId="116" xfId="0" applyBorder="1" applyAlignment="1">
      <alignment vertical="center"/>
    </xf>
    <xf numFmtId="0" fontId="3" fillId="0" borderId="117" xfId="0" applyFont="1" applyBorder="1" applyAlignment="1">
      <alignment horizontal="center" vertical="center"/>
    </xf>
    <xf numFmtId="0" fontId="3" fillId="15" borderId="119" xfId="0" applyFont="1" applyFill="1" applyBorder="1" applyAlignment="1">
      <alignment vertical="center"/>
    </xf>
    <xf numFmtId="0" fontId="3" fillId="15" borderId="120" xfId="0" applyFont="1" applyFill="1" applyBorder="1" applyAlignment="1">
      <alignment vertical="center"/>
    </xf>
    <xf numFmtId="0" fontId="3" fillId="15" borderId="120" xfId="0" applyFont="1" applyFill="1" applyBorder="1" applyAlignment="1">
      <alignment vertical="center" wrapText="1"/>
    </xf>
    <xf numFmtId="0" fontId="49" fillId="16" borderId="121" xfId="0" applyFont="1" applyFill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123" xfId="0" applyFont="1" applyBorder="1" applyAlignment="1">
      <alignment horizontal="center" vertical="center"/>
    </xf>
    <xf numFmtId="0" fontId="49" fillId="17" borderId="123" xfId="0" applyFont="1" applyFill="1" applyBorder="1" applyAlignment="1">
      <alignment horizontal="center" vertical="center" wrapText="1"/>
    </xf>
    <xf numFmtId="0" fontId="49" fillId="17" borderId="125" xfId="0" applyFont="1" applyFill="1" applyBorder="1" applyAlignment="1">
      <alignment horizontal="center" vertical="center"/>
    </xf>
    <xf numFmtId="3" fontId="49" fillId="18" borderId="125" xfId="0" applyNumberFormat="1" applyFont="1" applyFill="1" applyBorder="1" applyAlignment="1">
      <alignment horizontal="center" vertical="center"/>
    </xf>
    <xf numFmtId="0" fontId="3" fillId="0" borderId="122" xfId="0" applyFont="1" applyBorder="1" applyAlignment="1">
      <alignment vertical="center" wrapText="1"/>
    </xf>
    <xf numFmtId="0" fontId="49" fillId="17" borderId="123" xfId="0" applyFont="1" applyFill="1" applyBorder="1" applyAlignment="1">
      <alignment horizontal="center" vertical="center"/>
    </xf>
    <xf numFmtId="0" fontId="3" fillId="19" borderId="126" xfId="0" applyFont="1" applyFill="1" applyBorder="1" applyAlignment="1">
      <alignment horizontal="center" vertical="center"/>
    </xf>
    <xf numFmtId="0" fontId="3" fillId="19" borderId="84" xfId="0" applyFont="1" applyFill="1" applyBorder="1" applyAlignment="1">
      <alignment horizontal="center" vertical="center"/>
    </xf>
    <xf numFmtId="0" fontId="49" fillId="17" borderId="84" xfId="0" applyFont="1" applyFill="1" applyBorder="1" applyAlignment="1">
      <alignment horizontal="center" vertical="center"/>
    </xf>
    <xf numFmtId="0" fontId="49" fillId="17" borderId="84" xfId="0" applyFont="1" applyFill="1" applyBorder="1" applyAlignment="1">
      <alignment horizontal="center" vertical="center" wrapText="1"/>
    </xf>
    <xf numFmtId="0" fontId="49" fillId="17" borderId="23" xfId="0" applyFont="1" applyFill="1" applyBorder="1" applyAlignment="1">
      <alignment horizontal="center" vertical="center"/>
    </xf>
    <xf numFmtId="3" fontId="49" fillId="18" borderId="23" xfId="0" applyNumberFormat="1" applyFont="1" applyFill="1" applyBorder="1" applyAlignment="1">
      <alignment horizontal="center" vertical="center"/>
    </xf>
    <xf numFmtId="2" fontId="0" fillId="21" borderId="5" xfId="0" applyNumberFormat="1" applyFill="1" applyBorder="1" applyAlignment="1">
      <alignment horizontal="center"/>
    </xf>
    <xf numFmtId="43" fontId="0" fillId="21" borderId="5" xfId="1" applyFont="1" applyFill="1" applyBorder="1" applyAlignment="1">
      <alignment horizontal="center"/>
    </xf>
    <xf numFmtId="43" fontId="0" fillId="21" borderId="5" xfId="1" applyFont="1" applyFill="1" applyBorder="1"/>
    <xf numFmtId="167" fontId="50" fillId="21" borderId="5" xfId="1" applyNumberFormat="1" applyFont="1" applyFill="1" applyBorder="1" applyAlignment="1">
      <alignment horizontal="center"/>
    </xf>
    <xf numFmtId="167" fontId="50" fillId="21" borderId="5" xfId="1" applyNumberFormat="1" applyFont="1" applyFill="1" applyBorder="1"/>
    <xf numFmtId="168" fontId="3" fillId="21" borderId="5" xfId="0" applyNumberFormat="1" applyFont="1" applyFill="1" applyBorder="1"/>
    <xf numFmtId="43" fontId="0" fillId="21" borderId="5" xfId="1" applyFont="1" applyFill="1" applyBorder="1" applyAlignment="1"/>
    <xf numFmtId="43" fontId="0" fillId="21" borderId="5" xfId="0" applyNumberFormat="1" applyFill="1" applyBorder="1"/>
    <xf numFmtId="167" fontId="50" fillId="21" borderId="5" xfId="1" applyNumberFormat="1" applyFont="1" applyFill="1" applyBorder="1" applyAlignment="1"/>
    <xf numFmtId="43" fontId="50" fillId="21" borderId="5" xfId="1" applyNumberFormat="1" applyFont="1" applyFill="1" applyBorder="1" applyAlignment="1"/>
    <xf numFmtId="43" fontId="50" fillId="21" borderId="5" xfId="1" applyNumberFormat="1" applyFont="1" applyFill="1" applyBorder="1"/>
    <xf numFmtId="167" fontId="0" fillId="21" borderId="5" xfId="1" applyNumberFormat="1" applyFont="1" applyFill="1" applyBorder="1"/>
    <xf numFmtId="43" fontId="3" fillId="21" borderId="5" xfId="1" applyNumberFormat="1" applyFont="1" applyFill="1" applyBorder="1"/>
    <xf numFmtId="0" fontId="8" fillId="0" borderId="52" xfId="0" applyFont="1" applyFill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43" fontId="0" fillId="0" borderId="97" xfId="1" applyNumberFormat="1" applyFont="1" applyBorder="1" applyAlignment="1">
      <alignment horizontal="center"/>
    </xf>
    <xf numFmtId="0" fontId="0" fillId="0" borderId="130" xfId="0" applyFont="1" applyBorder="1"/>
    <xf numFmtId="170" fontId="0" fillId="0" borderId="131" xfId="0" applyNumberFormat="1" applyFont="1" applyBorder="1" applyAlignment="1">
      <alignment horizontal="center"/>
    </xf>
    <xf numFmtId="170" fontId="0" fillId="13" borderId="97" xfId="1" applyNumberFormat="1" applyFont="1" applyFill="1" applyBorder="1" applyAlignment="1">
      <alignment horizontal="center"/>
    </xf>
    <xf numFmtId="43" fontId="0" fillId="0" borderId="0" xfId="1" applyNumberFormat="1" applyFont="1" applyFill="1" applyBorder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0" applyFont="1" applyBorder="1"/>
    <xf numFmtId="170" fontId="0" fillId="0" borderId="0" xfId="0" applyNumberFormat="1" applyFont="1" applyBorder="1" applyAlignment="1">
      <alignment horizontal="center"/>
    </xf>
    <xf numFmtId="4" fontId="14" fillId="7" borderId="44" xfId="2" applyNumberFormat="1" applyFont="1" applyFill="1" applyBorder="1" applyAlignment="1">
      <alignment horizontal="center" vertical="center" wrapText="1"/>
    </xf>
    <xf numFmtId="0" fontId="8" fillId="7" borderId="132" xfId="0" applyFont="1" applyFill="1" applyBorder="1" applyAlignment="1">
      <alignment horizontal="center" vertical="center"/>
    </xf>
    <xf numFmtId="9" fontId="0" fillId="0" borderId="0" xfId="2" applyFont="1"/>
    <xf numFmtId="3" fontId="51" fillId="0" borderId="0" xfId="1" applyNumberFormat="1" applyFont="1" applyBorder="1" applyAlignment="1" applyProtection="1">
      <alignment horizontal="center" vertical="center"/>
      <protection locked="0"/>
    </xf>
    <xf numFmtId="43" fontId="51" fillId="0" borderId="0" xfId="1" applyNumberFormat="1" applyFont="1" applyBorder="1" applyAlignment="1" applyProtection="1">
      <alignment horizontal="center" vertical="center"/>
      <protection locked="0"/>
    </xf>
    <xf numFmtId="0" fontId="51" fillId="2" borderId="9" xfId="0" applyFont="1" applyFill="1" applyBorder="1" applyAlignment="1">
      <alignment vertical="center"/>
    </xf>
    <xf numFmtId="0" fontId="51" fillId="2" borderId="10" xfId="0" applyFont="1" applyFill="1" applyBorder="1" applyAlignment="1">
      <alignment vertical="center"/>
    </xf>
    <xf numFmtId="0" fontId="51" fillId="0" borderId="11" xfId="0" applyFont="1" applyBorder="1" applyAlignment="1" applyProtection="1">
      <alignment horizontal="center" vertical="center"/>
      <protection locked="0"/>
    </xf>
    <xf numFmtId="3" fontId="51" fillId="0" borderId="11" xfId="0" applyNumberFormat="1" applyFont="1" applyBorder="1" applyAlignment="1" applyProtection="1">
      <alignment horizontal="center" vertical="center"/>
      <protection locked="0"/>
    </xf>
    <xf numFmtId="3" fontId="51" fillId="0" borderId="93" xfId="0" applyNumberFormat="1" applyFont="1" applyBorder="1" applyAlignment="1" applyProtection="1">
      <alignment horizontal="center" vertical="center"/>
      <protection locked="0"/>
    </xf>
    <xf numFmtId="0" fontId="25" fillId="0" borderId="51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7" fillId="0" borderId="137" xfId="0" applyFont="1" applyBorder="1" applyAlignment="1">
      <alignment horizontal="center" vertical="center"/>
    </xf>
    <xf numFmtId="0" fontId="7" fillId="0" borderId="138" xfId="0" applyFont="1" applyBorder="1" applyAlignment="1">
      <alignment horizontal="center" vertical="center"/>
    </xf>
    <xf numFmtId="0" fontId="7" fillId="0" borderId="133" xfId="0" applyFont="1" applyFill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7" fillId="7" borderId="24" xfId="0" applyFont="1" applyFill="1" applyBorder="1" applyAlignment="1"/>
    <xf numFmtId="0" fontId="8" fillId="7" borderId="139" xfId="0" applyFont="1" applyFill="1" applyBorder="1" applyAlignment="1">
      <alignment horizontal="center" vertical="center"/>
    </xf>
    <xf numFmtId="0" fontId="8" fillId="7" borderId="140" xfId="0" applyFont="1" applyFill="1" applyBorder="1" applyAlignment="1">
      <alignment horizontal="center" vertical="center"/>
    </xf>
    <xf numFmtId="0" fontId="7" fillId="10" borderId="141" xfId="0" applyFont="1" applyFill="1" applyBorder="1" applyAlignment="1">
      <alignment vertical="center"/>
    </xf>
    <xf numFmtId="0" fontId="7" fillId="10" borderId="142" xfId="0" applyFont="1" applyFill="1" applyBorder="1" applyAlignment="1">
      <alignment vertical="center"/>
    </xf>
    <xf numFmtId="0" fontId="7" fillId="10" borderId="143" xfId="0" applyFont="1" applyFill="1" applyBorder="1" applyAlignment="1">
      <alignment vertical="center"/>
    </xf>
    <xf numFmtId="0" fontId="7" fillId="0" borderId="144" xfId="0" applyFont="1" applyBorder="1" applyAlignment="1">
      <alignment horizontal="center" vertical="center"/>
    </xf>
    <xf numFmtId="0" fontId="8" fillId="7" borderId="146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vertical="center"/>
    </xf>
    <xf numFmtId="3" fontId="8" fillId="6" borderId="147" xfId="0" applyNumberFormat="1" applyFont="1" applyFill="1" applyBorder="1" applyAlignment="1">
      <alignment horizontal="center" vertical="center"/>
    </xf>
    <xf numFmtId="0" fontId="7" fillId="10" borderId="148" xfId="0" applyFont="1" applyFill="1" applyBorder="1" applyAlignment="1">
      <alignment vertical="center"/>
    </xf>
    <xf numFmtId="0" fontId="51" fillId="0" borderId="52" xfId="0" applyNumberFormat="1" applyFont="1" applyBorder="1" applyAlignment="1">
      <alignment horizontal="center" vertical="center"/>
    </xf>
    <xf numFmtId="0" fontId="51" fillId="0" borderId="50" xfId="0" applyFont="1" applyBorder="1" applyAlignment="1">
      <alignment horizontal="center" vertical="center"/>
    </xf>
    <xf numFmtId="0" fontId="52" fillId="7" borderId="50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52" fillId="7" borderId="52" xfId="0" applyFont="1" applyFill="1" applyBorder="1" applyAlignment="1">
      <alignment horizontal="center" vertical="center"/>
    </xf>
    <xf numFmtId="0" fontId="51" fillId="7" borderId="52" xfId="0" applyFont="1" applyFill="1" applyBorder="1" applyAlignment="1">
      <alignment horizontal="center" vertical="center"/>
    </xf>
    <xf numFmtId="3" fontId="52" fillId="5" borderId="53" xfId="0" applyNumberFormat="1" applyFont="1" applyFill="1" applyBorder="1" applyAlignment="1">
      <alignment horizontal="center" vertical="center"/>
    </xf>
    <xf numFmtId="165" fontId="53" fillId="7" borderId="44" xfId="2" applyNumberFormat="1" applyFont="1" applyFill="1" applyBorder="1" applyAlignment="1">
      <alignment horizontal="center" vertical="center"/>
    </xf>
    <xf numFmtId="4" fontId="54" fillId="0" borderId="45" xfId="1" applyNumberFormat="1" applyFont="1" applyFill="1" applyBorder="1" applyAlignment="1">
      <alignment horizontal="center"/>
    </xf>
    <xf numFmtId="4" fontId="54" fillId="0" borderId="51" xfId="1" applyNumberFormat="1" applyFont="1" applyFill="1" applyBorder="1" applyAlignment="1">
      <alignment horizontal="center"/>
    </xf>
    <xf numFmtId="165" fontId="54" fillId="0" borderId="44" xfId="1" applyNumberFormat="1" applyFont="1" applyFill="1" applyBorder="1" applyAlignment="1">
      <alignment horizontal="center"/>
    </xf>
    <xf numFmtId="165" fontId="54" fillId="0" borderId="45" xfId="1" applyNumberFormat="1" applyFont="1" applyFill="1" applyBorder="1" applyAlignment="1">
      <alignment horizontal="center"/>
    </xf>
    <xf numFmtId="4" fontId="54" fillId="0" borderId="46" xfId="1" applyNumberFormat="1" applyFont="1" applyFill="1" applyBorder="1" applyAlignment="1">
      <alignment horizontal="center"/>
    </xf>
    <xf numFmtId="165" fontId="54" fillId="0" borderId="57" xfId="1" applyNumberFormat="1" applyFont="1" applyFill="1" applyBorder="1" applyAlignment="1">
      <alignment horizontal="center"/>
    </xf>
    <xf numFmtId="165" fontId="54" fillId="0" borderId="54" xfId="1" applyNumberFormat="1" applyFont="1" applyFill="1" applyBorder="1" applyAlignment="1">
      <alignment horizontal="center"/>
    </xf>
    <xf numFmtId="4" fontId="54" fillId="0" borderId="54" xfId="1" applyNumberFormat="1" applyFont="1" applyFill="1" applyBorder="1" applyAlignment="1">
      <alignment horizontal="center"/>
    </xf>
    <xf numFmtId="4" fontId="54" fillId="0" borderId="44" xfId="1" applyNumberFormat="1" applyFont="1" applyFill="1" applyBorder="1" applyAlignment="1">
      <alignment horizontal="center"/>
    </xf>
    <xf numFmtId="4" fontId="55" fillId="7" borderId="52" xfId="0" applyNumberFormat="1" applyFont="1" applyFill="1" applyBorder="1" applyAlignment="1">
      <alignment horizontal="center" vertical="center" wrapText="1"/>
    </xf>
    <xf numFmtId="4" fontId="55" fillId="7" borderId="44" xfId="0" applyNumberFormat="1" applyFont="1" applyFill="1" applyBorder="1" applyAlignment="1">
      <alignment horizontal="center" vertical="center" wrapText="1"/>
    </xf>
    <xf numFmtId="4" fontId="55" fillId="7" borderId="45" xfId="0" applyNumberFormat="1" applyFont="1" applyFill="1" applyBorder="1" applyAlignment="1">
      <alignment horizontal="center" vertical="center" wrapText="1"/>
    </xf>
    <xf numFmtId="4" fontId="55" fillId="7" borderId="46" xfId="0" applyNumberFormat="1" applyFont="1" applyFill="1" applyBorder="1" applyAlignment="1">
      <alignment horizontal="center" vertical="center" wrapText="1"/>
    </xf>
    <xf numFmtId="4" fontId="55" fillId="7" borderId="54" xfId="0" applyNumberFormat="1" applyFont="1" applyFill="1" applyBorder="1" applyAlignment="1">
      <alignment horizontal="center" vertical="center" wrapText="1"/>
    </xf>
    <xf numFmtId="4" fontId="55" fillId="7" borderId="0" xfId="0" applyNumberFormat="1" applyFont="1" applyFill="1" applyBorder="1" applyAlignment="1">
      <alignment horizontal="center" vertical="center" wrapText="1"/>
    </xf>
    <xf numFmtId="4" fontId="55" fillId="7" borderId="38" xfId="0" applyNumberFormat="1" applyFont="1" applyFill="1" applyBorder="1" applyAlignment="1">
      <alignment horizontal="center" vertical="center" wrapText="1"/>
    </xf>
    <xf numFmtId="4" fontId="55" fillId="7" borderId="15" xfId="1" applyNumberFormat="1" applyFont="1" applyFill="1" applyBorder="1" applyAlignment="1">
      <alignment horizontal="center" vertical="center" wrapText="1"/>
    </xf>
    <xf numFmtId="4" fontId="55" fillId="7" borderId="79" xfId="1" applyNumberFormat="1" applyFont="1" applyFill="1" applyBorder="1" applyAlignment="1">
      <alignment horizontal="center" vertical="center" wrapText="1"/>
    </xf>
    <xf numFmtId="4" fontId="55" fillId="7" borderId="0" xfId="1" applyNumberFormat="1" applyFont="1" applyFill="1" applyBorder="1" applyAlignment="1">
      <alignment horizontal="center" vertical="center" wrapText="1"/>
    </xf>
    <xf numFmtId="4" fontId="55" fillId="7" borderId="38" xfId="1" applyNumberFormat="1" applyFont="1" applyFill="1" applyBorder="1" applyAlignment="1">
      <alignment horizontal="center" vertical="center" wrapText="1"/>
    </xf>
    <xf numFmtId="4" fontId="55" fillId="7" borderId="56" xfId="1" applyNumberFormat="1" applyFont="1" applyFill="1" applyBorder="1" applyAlignment="1">
      <alignment horizontal="center" vertical="center" wrapText="1"/>
    </xf>
    <xf numFmtId="4" fontId="55" fillId="0" borderId="15" xfId="1" applyNumberFormat="1" applyFont="1" applyFill="1" applyBorder="1" applyAlignment="1">
      <alignment horizontal="center" vertical="center" wrapText="1"/>
    </xf>
    <xf numFmtId="4" fontId="55" fillId="0" borderId="38" xfId="1" applyNumberFormat="1" applyFont="1" applyFill="1" applyBorder="1" applyAlignment="1">
      <alignment horizontal="center" vertical="center" wrapText="1"/>
    </xf>
    <xf numFmtId="3" fontId="53" fillId="7" borderId="47" xfId="0" applyNumberFormat="1" applyFont="1" applyFill="1" applyBorder="1" applyAlignment="1">
      <alignment horizontal="center" vertical="center"/>
    </xf>
    <xf numFmtId="0" fontId="51" fillId="0" borderId="35" xfId="0" applyNumberFormat="1" applyFont="1" applyBorder="1" applyAlignment="1">
      <alignment horizontal="center" vertical="center"/>
    </xf>
    <xf numFmtId="0" fontId="51" fillId="0" borderId="146" xfId="0" applyNumberFormat="1" applyFont="1" applyBorder="1" applyAlignment="1">
      <alignment horizontal="center" vertical="center"/>
    </xf>
    <xf numFmtId="0" fontId="51" fillId="0" borderId="139" xfId="0" applyFont="1" applyBorder="1" applyAlignment="1">
      <alignment horizontal="center" vertical="center"/>
    </xf>
    <xf numFmtId="0" fontId="52" fillId="7" borderId="139" xfId="0" applyFont="1" applyFill="1" applyBorder="1" applyAlignment="1">
      <alignment horizontal="center" vertical="center"/>
    </xf>
    <xf numFmtId="0" fontId="52" fillId="7" borderId="140" xfId="0" applyFont="1" applyFill="1" applyBorder="1" applyAlignment="1">
      <alignment horizontal="center" vertical="center"/>
    </xf>
    <xf numFmtId="0" fontId="52" fillId="7" borderId="146" xfId="0" applyFont="1" applyFill="1" applyBorder="1" applyAlignment="1">
      <alignment horizontal="center" vertical="center"/>
    </xf>
    <xf numFmtId="0" fontId="51" fillId="7" borderId="146" xfId="0" applyFont="1" applyFill="1" applyBorder="1" applyAlignment="1">
      <alignment horizontal="center" vertical="center"/>
    </xf>
    <xf numFmtId="165" fontId="53" fillId="7" borderId="37" xfId="2" applyNumberFormat="1" applyFont="1" applyFill="1" applyBorder="1" applyAlignment="1">
      <alignment horizontal="center" vertical="center"/>
    </xf>
    <xf numFmtId="4" fontId="54" fillId="0" borderId="39" xfId="1" applyNumberFormat="1" applyFont="1" applyFill="1" applyBorder="1" applyAlignment="1">
      <alignment horizontal="center"/>
    </xf>
    <xf numFmtId="4" fontId="54" fillId="0" borderId="34" xfId="1" applyNumberFormat="1" applyFont="1" applyFill="1" applyBorder="1" applyAlignment="1">
      <alignment horizontal="center"/>
    </xf>
    <xf numFmtId="165" fontId="54" fillId="0" borderId="37" xfId="1" applyNumberFormat="1" applyFont="1" applyFill="1" applyBorder="1" applyAlignment="1">
      <alignment horizontal="center"/>
    </xf>
    <xf numFmtId="165" fontId="54" fillId="0" borderId="39" xfId="1" applyNumberFormat="1" applyFont="1" applyFill="1" applyBorder="1" applyAlignment="1">
      <alignment horizontal="center"/>
    </xf>
    <xf numFmtId="4" fontId="54" fillId="0" borderId="40" xfId="1" applyNumberFormat="1" applyFont="1" applyFill="1" applyBorder="1" applyAlignment="1">
      <alignment horizontal="center"/>
    </xf>
    <xf numFmtId="165" fontId="54" fillId="0" borderId="78" xfId="1" applyNumberFormat="1" applyFont="1" applyFill="1" applyBorder="1" applyAlignment="1">
      <alignment horizontal="center"/>
    </xf>
    <xf numFmtId="165" fontId="54" fillId="0" borderId="43" xfId="1" applyNumberFormat="1" applyFont="1" applyFill="1" applyBorder="1" applyAlignment="1">
      <alignment horizontal="center"/>
    </xf>
    <xf numFmtId="4" fontId="54" fillId="0" borderId="43" xfId="1" applyNumberFormat="1" applyFont="1" applyFill="1" applyBorder="1" applyAlignment="1">
      <alignment horizontal="center"/>
    </xf>
    <xf numFmtId="4" fontId="54" fillId="0" borderId="37" xfId="1" applyNumberFormat="1" applyFont="1" applyFill="1" applyBorder="1" applyAlignment="1">
      <alignment horizontal="center"/>
    </xf>
    <xf numFmtId="4" fontId="55" fillId="7" borderId="35" xfId="0" applyNumberFormat="1" applyFont="1" applyFill="1" applyBorder="1" applyAlignment="1">
      <alignment horizontal="center" vertical="center" wrapText="1"/>
    </xf>
    <xf numFmtId="4" fontId="55" fillId="7" borderId="37" xfId="0" applyNumberFormat="1" applyFont="1" applyFill="1" applyBorder="1" applyAlignment="1">
      <alignment horizontal="center" vertical="center" wrapText="1"/>
    </xf>
    <xf numFmtId="4" fontId="55" fillId="7" borderId="39" xfId="0" applyNumberFormat="1" applyFont="1" applyFill="1" applyBorder="1" applyAlignment="1">
      <alignment horizontal="center" vertical="center" wrapText="1"/>
    </xf>
    <xf numFmtId="4" fontId="55" fillId="7" borderId="40" xfId="0" applyNumberFormat="1" applyFont="1" applyFill="1" applyBorder="1" applyAlignment="1">
      <alignment horizontal="center" vertical="center" wrapText="1"/>
    </xf>
    <xf numFmtId="4" fontId="55" fillId="7" borderId="43" xfId="0" applyNumberFormat="1" applyFont="1" applyFill="1" applyBorder="1" applyAlignment="1">
      <alignment horizontal="center" vertical="center" wrapText="1"/>
    </xf>
    <xf numFmtId="4" fontId="55" fillId="7" borderId="42" xfId="1" applyNumberFormat="1" applyFont="1" applyFill="1" applyBorder="1" applyAlignment="1">
      <alignment horizontal="center" vertical="center" wrapText="1"/>
    </xf>
    <xf numFmtId="3" fontId="52" fillId="5" borderId="145" xfId="0" applyNumberFormat="1" applyFont="1" applyFill="1" applyBorder="1" applyAlignment="1">
      <alignment horizontal="center" vertical="center"/>
    </xf>
    <xf numFmtId="165" fontId="53" fillId="7" borderId="149" xfId="2" applyNumberFormat="1" applyFont="1" applyFill="1" applyBorder="1" applyAlignment="1">
      <alignment horizontal="center" vertical="center"/>
    </xf>
    <xf numFmtId="4" fontId="54" fillId="0" borderId="150" xfId="1" applyNumberFormat="1" applyFont="1" applyFill="1" applyBorder="1" applyAlignment="1">
      <alignment horizontal="center"/>
    </xf>
    <xf numFmtId="165" fontId="54" fillId="0" borderId="149" xfId="1" applyNumberFormat="1" applyFont="1" applyFill="1" applyBorder="1" applyAlignment="1">
      <alignment horizontal="center"/>
    </xf>
    <xf numFmtId="165" fontId="54" fillId="0" borderId="150" xfId="1" applyNumberFormat="1" applyFont="1" applyFill="1" applyBorder="1" applyAlignment="1">
      <alignment horizontal="center"/>
    </xf>
    <xf numFmtId="4" fontId="54" fillId="0" borderId="151" xfId="1" applyNumberFormat="1" applyFont="1" applyFill="1" applyBorder="1" applyAlignment="1">
      <alignment horizontal="center"/>
    </xf>
    <xf numFmtId="165" fontId="54" fillId="0" borderId="152" xfId="1" applyNumberFormat="1" applyFont="1" applyFill="1" applyBorder="1" applyAlignment="1">
      <alignment horizontal="center"/>
    </xf>
    <xf numFmtId="165" fontId="54" fillId="0" borderId="153" xfId="1" applyNumberFormat="1" applyFont="1" applyFill="1" applyBorder="1" applyAlignment="1">
      <alignment horizontal="center"/>
    </xf>
    <xf numFmtId="4" fontId="54" fillId="0" borderId="153" xfId="1" applyNumberFormat="1" applyFont="1" applyFill="1" applyBorder="1" applyAlignment="1">
      <alignment horizontal="center"/>
    </xf>
    <xf numFmtId="4" fontId="54" fillId="0" borderId="149" xfId="1" applyNumberFormat="1" applyFont="1" applyFill="1" applyBorder="1" applyAlignment="1">
      <alignment horizontal="center"/>
    </xf>
    <xf numFmtId="4" fontId="55" fillId="7" borderId="146" xfId="0" applyNumberFormat="1" applyFont="1" applyFill="1" applyBorder="1" applyAlignment="1">
      <alignment horizontal="center" vertical="center" wrapText="1"/>
    </xf>
    <xf numFmtId="4" fontId="55" fillId="7" borderId="149" xfId="0" applyNumberFormat="1" applyFont="1" applyFill="1" applyBorder="1" applyAlignment="1">
      <alignment horizontal="center" vertical="center" wrapText="1"/>
    </xf>
    <xf numFmtId="4" fontId="55" fillId="7" borderId="150" xfId="0" applyNumberFormat="1" applyFont="1" applyFill="1" applyBorder="1" applyAlignment="1">
      <alignment horizontal="center" vertical="center" wrapText="1"/>
    </xf>
    <xf numFmtId="4" fontId="55" fillId="7" borderId="151" xfId="0" applyNumberFormat="1" applyFont="1" applyFill="1" applyBorder="1" applyAlignment="1">
      <alignment horizontal="center" vertical="center" wrapText="1"/>
    </xf>
    <xf numFmtId="4" fontId="55" fillId="7" borderId="153" xfId="0" applyNumberFormat="1" applyFont="1" applyFill="1" applyBorder="1" applyAlignment="1">
      <alignment horizontal="center" vertical="center" wrapText="1"/>
    </xf>
    <xf numFmtId="4" fontId="55" fillId="7" borderId="154" xfId="0" applyNumberFormat="1" applyFont="1" applyFill="1" applyBorder="1" applyAlignment="1">
      <alignment horizontal="center" vertical="center" wrapText="1"/>
    </xf>
    <xf numFmtId="4" fontId="55" fillId="7" borderId="155" xfId="0" applyNumberFormat="1" applyFont="1" applyFill="1" applyBorder="1" applyAlignment="1">
      <alignment horizontal="center" vertical="center" wrapText="1"/>
    </xf>
    <xf numFmtId="4" fontId="55" fillId="7" borderId="156" xfId="1" applyNumberFormat="1" applyFont="1" applyFill="1" applyBorder="1" applyAlignment="1">
      <alignment horizontal="center" vertical="center" wrapText="1"/>
    </xf>
    <xf numFmtId="4" fontId="55" fillId="7" borderId="157" xfId="1" applyNumberFormat="1" applyFont="1" applyFill="1" applyBorder="1" applyAlignment="1">
      <alignment horizontal="center" vertical="center" wrapText="1"/>
    </xf>
    <xf numFmtId="4" fontId="55" fillId="7" borderId="154" xfId="1" applyNumberFormat="1" applyFont="1" applyFill="1" applyBorder="1" applyAlignment="1">
      <alignment horizontal="center" vertical="center" wrapText="1"/>
    </xf>
    <xf numFmtId="4" fontId="55" fillId="7" borderId="155" xfId="1" applyNumberFormat="1" applyFont="1" applyFill="1" applyBorder="1" applyAlignment="1">
      <alignment horizontal="center" vertical="center" wrapText="1"/>
    </xf>
    <xf numFmtId="4" fontId="55" fillId="7" borderId="151" xfId="1" applyNumberFormat="1" applyFont="1" applyFill="1" applyBorder="1" applyAlignment="1">
      <alignment horizontal="center" vertical="center" wrapText="1"/>
    </xf>
    <xf numFmtId="165" fontId="16" fillId="0" borderId="154" xfId="1" applyNumberFormat="1" applyFont="1" applyFill="1" applyBorder="1" applyAlignment="1">
      <alignment horizontal="center"/>
    </xf>
    <xf numFmtId="165" fontId="16" fillId="0" borderId="155" xfId="1" applyNumberFormat="1" applyFont="1" applyFill="1" applyBorder="1" applyAlignment="1">
      <alignment horizontal="center"/>
    </xf>
    <xf numFmtId="165" fontId="16" fillId="0" borderId="158" xfId="1" applyNumberFormat="1" applyFont="1" applyFill="1" applyBorder="1" applyAlignment="1">
      <alignment horizontal="center"/>
    </xf>
    <xf numFmtId="165" fontId="16" fillId="0" borderId="159" xfId="1" applyNumberFormat="1" applyFont="1" applyFill="1" applyBorder="1" applyAlignment="1">
      <alignment horizontal="center"/>
    </xf>
    <xf numFmtId="165" fontId="16" fillId="0" borderId="156" xfId="1" applyNumberFormat="1" applyFont="1" applyFill="1" applyBorder="1" applyAlignment="1">
      <alignment horizontal="center"/>
    </xf>
    <xf numFmtId="4" fontId="55" fillId="0" borderId="156" xfId="1" applyNumberFormat="1" applyFont="1" applyFill="1" applyBorder="1" applyAlignment="1">
      <alignment horizontal="center" vertical="center" wrapText="1"/>
    </xf>
    <xf numFmtId="4" fontId="55" fillId="0" borderId="155" xfId="1" applyNumberFormat="1" applyFont="1" applyFill="1" applyBorder="1" applyAlignment="1">
      <alignment horizontal="center" vertical="center" wrapText="1"/>
    </xf>
    <xf numFmtId="164" fontId="14" fillId="4" borderId="158" xfId="0" applyNumberFormat="1" applyFont="1" applyFill="1" applyBorder="1" applyAlignment="1">
      <alignment horizontal="center" wrapText="1"/>
    </xf>
    <xf numFmtId="9" fontId="0" fillId="0" borderId="160" xfId="0" applyNumberFormat="1" applyBorder="1" applyAlignment="1">
      <alignment vertical="center"/>
    </xf>
    <xf numFmtId="3" fontId="15" fillId="0" borderId="48" xfId="0" applyNumberFormat="1" applyFont="1" applyFill="1" applyBorder="1" applyAlignment="1">
      <alignment vertical="center"/>
    </xf>
    <xf numFmtId="3" fontId="15" fillId="0" borderId="67" xfId="0" applyNumberFormat="1" applyFont="1" applyFill="1" applyBorder="1" applyAlignment="1">
      <alignment vertical="center"/>
    </xf>
    <xf numFmtId="3" fontId="15" fillId="0" borderId="160" xfId="0" applyNumberFormat="1" applyFont="1" applyFill="1" applyBorder="1" applyAlignment="1">
      <alignment vertical="center"/>
    </xf>
    <xf numFmtId="0" fontId="51" fillId="7" borderId="145" xfId="0" applyFont="1" applyFill="1" applyBorder="1" applyAlignment="1">
      <alignment horizontal="center" vertical="center"/>
    </xf>
    <xf numFmtId="43" fontId="3" fillId="0" borderId="0" xfId="0" applyNumberFormat="1" applyFont="1"/>
    <xf numFmtId="0" fontId="7" fillId="22" borderId="6" xfId="0" applyFont="1" applyFill="1" applyBorder="1" applyAlignment="1">
      <alignment horizontal="left" vertical="center"/>
    </xf>
    <xf numFmtId="0" fontId="7" fillId="22" borderId="6" xfId="0" applyFont="1" applyFill="1" applyBorder="1" applyAlignment="1">
      <alignment vertical="center"/>
    </xf>
    <xf numFmtId="0" fontId="7" fillId="22" borderId="9" xfId="0" applyFont="1" applyFill="1" applyBorder="1" applyAlignment="1">
      <alignment vertical="center"/>
    </xf>
    <xf numFmtId="0" fontId="24" fillId="22" borderId="9" xfId="0" applyFont="1" applyFill="1" applyBorder="1" applyAlignment="1">
      <alignment vertical="center"/>
    </xf>
    <xf numFmtId="43" fontId="3" fillId="13" borderId="111" xfId="1" applyNumberFormat="1" applyFont="1" applyFill="1" applyBorder="1"/>
    <xf numFmtId="43" fontId="56" fillId="0" borderId="0" xfId="0" applyNumberFormat="1" applyFont="1" applyAlignment="1">
      <alignment horizontal="center"/>
    </xf>
    <xf numFmtId="43" fontId="56" fillId="0" borderId="0" xfId="0" applyNumberFormat="1" applyFont="1"/>
    <xf numFmtId="167" fontId="56" fillId="0" borderId="0" xfId="0" applyNumberFormat="1" applyFont="1" applyAlignment="1">
      <alignment horizontal="center"/>
    </xf>
    <xf numFmtId="167" fontId="56" fillId="0" borderId="0" xfId="0" applyNumberFormat="1" applyFont="1"/>
    <xf numFmtId="43" fontId="0" fillId="0" borderId="0" xfId="1" applyFont="1" applyFill="1"/>
    <xf numFmtId="2" fontId="0" fillId="0" borderId="0" xfId="1" applyNumberFormat="1" applyFont="1"/>
    <xf numFmtId="43" fontId="0" fillId="0" borderId="0" xfId="0" applyNumberFormat="1" applyFill="1"/>
    <xf numFmtId="2" fontId="0" fillId="0" borderId="0" xfId="0" applyNumberFormat="1" applyAlignment="1"/>
    <xf numFmtId="0" fontId="57" fillId="0" borderId="50" xfId="0" applyFont="1" applyBorder="1" applyAlignment="1">
      <alignment horizontal="center" vertical="center"/>
    </xf>
    <xf numFmtId="0" fontId="58" fillId="7" borderId="50" xfId="0" applyFont="1" applyFill="1" applyBorder="1" applyAlignment="1">
      <alignment horizontal="center" vertical="center"/>
    </xf>
    <xf numFmtId="0" fontId="58" fillId="7" borderId="51" xfId="0" applyFont="1" applyFill="1" applyBorder="1" applyAlignment="1">
      <alignment horizontal="center" vertical="center"/>
    </xf>
    <xf numFmtId="0" fontId="58" fillId="7" borderId="52" xfId="0" applyFont="1" applyFill="1" applyBorder="1" applyAlignment="1">
      <alignment horizontal="center" vertical="center"/>
    </xf>
    <xf numFmtId="0" fontId="57" fillId="7" borderId="52" xfId="0" applyFont="1" applyFill="1" applyBorder="1" applyAlignment="1">
      <alignment horizontal="center" vertical="center"/>
    </xf>
    <xf numFmtId="3" fontId="58" fillId="5" borderId="53" xfId="0" applyNumberFormat="1" applyFont="1" applyFill="1" applyBorder="1" applyAlignment="1">
      <alignment horizontal="center" vertical="center"/>
    </xf>
    <xf numFmtId="165" fontId="59" fillId="7" borderId="44" xfId="2" applyNumberFormat="1" applyFont="1" applyFill="1" applyBorder="1" applyAlignment="1">
      <alignment horizontal="center" vertical="center"/>
    </xf>
    <xf numFmtId="4" fontId="60" fillId="0" borderId="45" xfId="1" applyNumberFormat="1" applyFont="1" applyFill="1" applyBorder="1" applyAlignment="1">
      <alignment horizontal="center"/>
    </xf>
    <xf numFmtId="4" fontId="60" fillId="0" borderId="51" xfId="1" applyNumberFormat="1" applyFont="1" applyFill="1" applyBorder="1" applyAlignment="1">
      <alignment horizontal="center"/>
    </xf>
    <xf numFmtId="165" fontId="60" fillId="0" borderId="44" xfId="1" applyNumberFormat="1" applyFont="1" applyFill="1" applyBorder="1" applyAlignment="1">
      <alignment horizontal="center"/>
    </xf>
    <xf numFmtId="165" fontId="60" fillId="0" borderId="45" xfId="1" applyNumberFormat="1" applyFont="1" applyFill="1" applyBorder="1" applyAlignment="1">
      <alignment horizontal="center"/>
    </xf>
    <xf numFmtId="4" fontId="60" fillId="0" borderId="46" xfId="1" applyNumberFormat="1" applyFont="1" applyFill="1" applyBorder="1" applyAlignment="1">
      <alignment horizontal="center"/>
    </xf>
    <xf numFmtId="165" fontId="60" fillId="0" borderId="57" xfId="1" applyNumberFormat="1" applyFont="1" applyFill="1" applyBorder="1" applyAlignment="1">
      <alignment horizontal="center"/>
    </xf>
    <xf numFmtId="165" fontId="60" fillId="0" borderId="54" xfId="1" applyNumberFormat="1" applyFont="1" applyFill="1" applyBorder="1" applyAlignment="1">
      <alignment horizontal="center"/>
    </xf>
    <xf numFmtId="4" fontId="60" fillId="0" borderId="54" xfId="1" applyNumberFormat="1" applyFont="1" applyFill="1" applyBorder="1" applyAlignment="1">
      <alignment horizontal="center"/>
    </xf>
    <xf numFmtId="4" fontId="60" fillId="0" borderId="44" xfId="1" applyNumberFormat="1" applyFont="1" applyFill="1" applyBorder="1" applyAlignment="1">
      <alignment horizontal="center"/>
    </xf>
    <xf numFmtId="4" fontId="61" fillId="7" borderId="52" xfId="0" applyNumberFormat="1" applyFont="1" applyFill="1" applyBorder="1" applyAlignment="1">
      <alignment horizontal="center" vertical="center" wrapText="1"/>
    </xf>
    <xf numFmtId="4" fontId="61" fillId="7" borderId="44" xfId="0" applyNumberFormat="1" applyFont="1" applyFill="1" applyBorder="1" applyAlignment="1">
      <alignment horizontal="center" vertical="center" wrapText="1"/>
    </xf>
    <xf numFmtId="4" fontId="61" fillId="7" borderId="45" xfId="0" applyNumberFormat="1" applyFont="1" applyFill="1" applyBorder="1" applyAlignment="1">
      <alignment horizontal="center" vertical="center" wrapText="1"/>
    </xf>
    <xf numFmtId="4" fontId="61" fillId="7" borderId="46" xfId="0" applyNumberFormat="1" applyFont="1" applyFill="1" applyBorder="1" applyAlignment="1">
      <alignment horizontal="center" vertical="center" wrapText="1"/>
    </xf>
    <xf numFmtId="4" fontId="61" fillId="7" borderId="54" xfId="0" applyNumberFormat="1" applyFont="1" applyFill="1" applyBorder="1" applyAlignment="1">
      <alignment horizontal="center" vertical="center" wrapText="1"/>
    </xf>
    <xf numFmtId="4" fontId="61" fillId="7" borderId="0" xfId="0" applyNumberFormat="1" applyFont="1" applyFill="1" applyBorder="1" applyAlignment="1">
      <alignment horizontal="center" vertical="center" wrapText="1"/>
    </xf>
    <xf numFmtId="4" fontId="61" fillId="7" borderId="38" xfId="0" applyNumberFormat="1" applyFont="1" applyFill="1" applyBorder="1" applyAlignment="1">
      <alignment horizontal="center" vertical="center" wrapText="1"/>
    </xf>
    <xf numFmtId="4" fontId="61" fillId="7" borderId="15" xfId="1" applyNumberFormat="1" applyFont="1" applyFill="1" applyBorder="1" applyAlignment="1">
      <alignment horizontal="center" vertical="center" wrapText="1"/>
    </xf>
    <xf numFmtId="4" fontId="61" fillId="7" borderId="79" xfId="1" applyNumberFormat="1" applyFont="1" applyFill="1" applyBorder="1" applyAlignment="1">
      <alignment horizontal="center" vertical="center" wrapText="1"/>
    </xf>
    <xf numFmtId="4" fontId="61" fillId="7" borderId="0" xfId="1" applyNumberFormat="1" applyFont="1" applyFill="1" applyBorder="1" applyAlignment="1">
      <alignment horizontal="center" vertical="center" wrapText="1"/>
    </xf>
    <xf numFmtId="4" fontId="61" fillId="7" borderId="38" xfId="1" applyNumberFormat="1" applyFont="1" applyFill="1" applyBorder="1" applyAlignment="1">
      <alignment horizontal="center" vertical="center" wrapText="1"/>
    </xf>
    <xf numFmtId="4" fontId="61" fillId="7" borderId="56" xfId="1" applyNumberFormat="1" applyFont="1" applyFill="1" applyBorder="1" applyAlignment="1">
      <alignment horizontal="center" vertical="center" wrapText="1"/>
    </xf>
    <xf numFmtId="4" fontId="61" fillId="0" borderId="15" xfId="1" applyNumberFormat="1" applyFont="1" applyFill="1" applyBorder="1" applyAlignment="1">
      <alignment horizontal="center" vertical="center" wrapText="1"/>
    </xf>
    <xf numFmtId="4" fontId="61" fillId="0" borderId="38" xfId="1" applyNumberFormat="1" applyFont="1" applyFill="1" applyBorder="1" applyAlignment="1">
      <alignment horizontal="center" vertical="center" wrapText="1"/>
    </xf>
    <xf numFmtId="3" fontId="59" fillId="7" borderId="47" xfId="0" applyNumberFormat="1" applyFont="1" applyFill="1" applyBorder="1" applyAlignment="1">
      <alignment horizontal="center" vertical="center"/>
    </xf>
    <xf numFmtId="4" fontId="61" fillId="7" borderId="60" xfId="1" applyNumberFormat="1" applyFont="1" applyFill="1" applyBorder="1" applyAlignment="1">
      <alignment horizontal="center" vertical="center" wrapText="1"/>
    </xf>
    <xf numFmtId="4" fontId="61" fillId="7" borderId="62" xfId="1" applyNumberFormat="1" applyFont="1" applyFill="1" applyBorder="1" applyAlignment="1">
      <alignment horizontal="center" vertical="center" wrapText="1"/>
    </xf>
    <xf numFmtId="4" fontId="61" fillId="7" borderId="59" xfId="1" applyNumberFormat="1" applyFont="1" applyFill="1" applyBorder="1" applyAlignment="1">
      <alignment horizontal="center" vertical="center" wrapText="1"/>
    </xf>
    <xf numFmtId="4" fontId="61" fillId="7" borderId="63" xfId="1" applyNumberFormat="1" applyFont="1" applyFill="1" applyBorder="1" applyAlignment="1">
      <alignment horizontal="center" vertical="center" wrapText="1"/>
    </xf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3" fontId="23" fillId="11" borderId="97" xfId="1" applyNumberFormat="1" applyFont="1" applyFill="1" applyBorder="1" applyAlignment="1">
      <alignment horizontal="center"/>
    </xf>
    <xf numFmtId="2" fontId="23" fillId="11" borderId="97" xfId="0" applyNumberFormat="1" applyFont="1" applyFill="1" applyBorder="1" applyAlignment="1">
      <alignment horizontal="center"/>
    </xf>
    <xf numFmtId="43" fontId="0" fillId="13" borderId="97" xfId="1" applyNumberFormat="1" applyFont="1" applyFill="1" applyBorder="1" applyAlignment="1">
      <alignment horizontal="center"/>
    </xf>
    <xf numFmtId="167" fontId="0" fillId="13" borderId="97" xfId="1" applyNumberFormat="1" applyFont="1" applyFill="1" applyBorder="1" applyAlignment="1">
      <alignment horizontal="center"/>
    </xf>
    <xf numFmtId="43" fontId="3" fillId="13" borderId="97" xfId="1" applyNumberFormat="1" applyFont="1" applyFill="1" applyBorder="1"/>
    <xf numFmtId="43" fontId="0" fillId="0" borderId="97" xfId="1" applyNumberFormat="1" applyFont="1" applyBorder="1"/>
    <xf numFmtId="0" fontId="3" fillId="13" borderId="98" xfId="0" applyFont="1" applyFill="1" applyBorder="1"/>
    <xf numFmtId="170" fontId="3" fillId="13" borderId="97" xfId="0" applyNumberFormat="1" applyFont="1" applyFill="1" applyBorder="1" applyAlignment="1">
      <alignment horizontal="center"/>
    </xf>
    <xf numFmtId="2" fontId="0" fillId="13" borderId="97" xfId="0" applyNumberFormat="1" applyFont="1" applyFill="1" applyBorder="1" applyAlignment="1">
      <alignment horizontal="center"/>
    </xf>
    <xf numFmtId="43" fontId="0" fillId="13" borderId="97" xfId="1" applyNumberFormat="1" applyFont="1" applyFill="1" applyBorder="1"/>
    <xf numFmtId="2" fontId="0" fillId="0" borderId="97" xfId="0" applyNumberFormat="1" applyFont="1" applyBorder="1" applyAlignment="1">
      <alignment horizontal="center"/>
    </xf>
    <xf numFmtId="168" fontId="3" fillId="13" borderId="97" xfId="0" applyNumberFormat="1" applyFont="1" applyFill="1" applyBorder="1"/>
    <xf numFmtId="43" fontId="0" fillId="0" borderId="97" xfId="0" applyNumberFormat="1" applyFont="1" applyBorder="1"/>
    <xf numFmtId="43" fontId="0" fillId="0" borderId="97" xfId="1" applyNumberFormat="1" applyFont="1" applyBorder="1" applyAlignment="1"/>
    <xf numFmtId="43" fontId="0" fillId="13" borderId="97" xfId="0" applyNumberFormat="1" applyFont="1" applyFill="1" applyBorder="1"/>
    <xf numFmtId="43" fontId="0" fillId="13" borderId="97" xfId="1" applyNumberFormat="1" applyFont="1" applyFill="1" applyBorder="1" applyAlignment="1"/>
    <xf numFmtId="167" fontId="0" fillId="0" borderId="97" xfId="1" applyNumberFormat="1" applyFont="1" applyBorder="1"/>
    <xf numFmtId="2" fontId="3" fillId="13" borderId="97" xfId="0" applyNumberFormat="1" applyFont="1" applyFill="1" applyBorder="1" applyAlignment="1">
      <alignment horizontal="right"/>
    </xf>
    <xf numFmtId="43" fontId="0" fillId="13" borderId="97" xfId="0" applyNumberFormat="1" applyFont="1" applyFill="1" applyBorder="1" applyAlignment="1">
      <alignment horizontal="center"/>
    </xf>
    <xf numFmtId="165" fontId="14" fillId="7" borderId="45" xfId="0" applyNumberFormat="1" applyFont="1" applyFill="1" applyBorder="1" applyAlignment="1">
      <alignment horizontal="center" vertical="center" wrapText="1"/>
    </xf>
    <xf numFmtId="4" fontId="61" fillId="7" borderId="44" xfId="2" applyNumberFormat="1" applyFont="1" applyFill="1" applyBorder="1" applyAlignment="1">
      <alignment horizontal="center" vertical="center" wrapText="1"/>
    </xf>
    <xf numFmtId="4" fontId="61" fillId="7" borderId="45" xfId="1" applyNumberFormat="1" applyFont="1" applyFill="1" applyBorder="1" applyAlignment="1">
      <alignment horizontal="center" vertical="center" wrapText="1"/>
    </xf>
    <xf numFmtId="4" fontId="61" fillId="7" borderId="46" xfId="1" applyNumberFormat="1" applyFont="1" applyFill="1" applyBorder="1" applyAlignment="1">
      <alignment horizontal="center" vertical="center" wrapText="1"/>
    </xf>
    <xf numFmtId="165" fontId="14" fillId="7" borderId="44" xfId="0" applyNumberFormat="1" applyFont="1" applyFill="1" applyBorder="1" applyAlignment="1">
      <alignment horizontal="center" vertical="center" wrapText="1"/>
    </xf>
    <xf numFmtId="0" fontId="7" fillId="0" borderId="35" xfId="0" applyNumberFormat="1" applyFont="1" applyBorder="1" applyAlignment="1">
      <alignment horizontal="center" vertical="center"/>
    </xf>
    <xf numFmtId="43" fontId="3" fillId="13" borderId="97" xfId="1" applyNumberFormat="1" applyFont="1" applyFill="1" applyBorder="1" applyAlignment="1">
      <alignment horizontal="center"/>
    </xf>
    <xf numFmtId="4" fontId="0" fillId="13" borderId="97" xfId="1" applyNumberFormat="1" applyFont="1" applyFill="1" applyBorder="1" applyAlignment="1">
      <alignment horizontal="center"/>
    </xf>
    <xf numFmtId="43" fontId="0" fillId="13" borderId="0" xfId="1" applyNumberFormat="1" applyFont="1" applyFill="1" applyBorder="1" applyAlignment="1">
      <alignment horizontal="center"/>
    </xf>
    <xf numFmtId="4" fontId="3" fillId="13" borderId="97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0" fontId="0" fillId="13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/>
    <xf numFmtId="4" fontId="3" fillId="0" borderId="0" xfId="0" applyNumberFormat="1" applyFont="1"/>
    <xf numFmtId="2" fontId="0" fillId="13" borderId="97" xfId="1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3" fontId="3" fillId="0" borderId="0" xfId="1" applyFont="1"/>
    <xf numFmtId="170" fontId="0" fillId="13" borderId="131" xfId="0" applyNumberFormat="1" applyFont="1" applyFill="1" applyBorder="1" applyAlignment="1">
      <alignment horizontal="center"/>
    </xf>
    <xf numFmtId="43" fontId="0" fillId="0" borderId="0" xfId="0" applyNumberFormat="1" applyFont="1" applyFill="1" applyBorder="1" applyAlignment="1">
      <alignment horizontal="center"/>
    </xf>
    <xf numFmtId="43" fontId="0" fillId="0" borderId="0" xfId="0" applyNumberFormat="1" applyFont="1" applyBorder="1"/>
    <xf numFmtId="167" fontId="0" fillId="0" borderId="0" xfId="0" applyNumberFormat="1" applyFont="1" applyBorder="1" applyAlignment="1">
      <alignment horizontal="center"/>
    </xf>
    <xf numFmtId="167" fontId="0" fillId="0" borderId="0" xfId="0" applyNumberFormat="1" applyFont="1" applyBorder="1"/>
    <xf numFmtId="43" fontId="0" fillId="23" borderId="97" xfId="1" applyNumberFormat="1" applyFont="1" applyFill="1" applyBorder="1" applyAlignment="1">
      <alignment horizontal="center"/>
    </xf>
    <xf numFmtId="43" fontId="1" fillId="0" borderId="0" xfId="1" applyFont="1"/>
    <xf numFmtId="168" fontId="0" fillId="0" borderId="0" xfId="0" applyNumberFormat="1" applyFont="1"/>
    <xf numFmtId="0" fontId="0" fillId="23" borderId="97" xfId="0" applyFont="1" applyFill="1" applyBorder="1"/>
    <xf numFmtId="43" fontId="0" fillId="23" borderId="111" xfId="1" applyFont="1" applyFill="1" applyBorder="1"/>
    <xf numFmtId="43" fontId="0" fillId="8" borderId="0" xfId="0" applyNumberFormat="1" applyFill="1"/>
    <xf numFmtId="43" fontId="0" fillId="8" borderId="0" xfId="1" applyFont="1" applyFill="1"/>
    <xf numFmtId="0" fontId="0" fillId="8" borderId="97" xfId="0" applyFont="1" applyFill="1" applyBorder="1"/>
    <xf numFmtId="0" fontId="0" fillId="8" borderId="111" xfId="0" applyFont="1" applyFill="1" applyBorder="1"/>
    <xf numFmtId="0" fontId="0" fillId="23" borderId="111" xfId="0" applyFont="1" applyFill="1" applyBorder="1"/>
    <xf numFmtId="0" fontId="0" fillId="23" borderId="0" xfId="0" applyFont="1" applyFill="1" applyBorder="1"/>
    <xf numFmtId="43" fontId="0" fillId="23" borderId="161" xfId="1" applyFont="1" applyFill="1" applyBorder="1"/>
    <xf numFmtId="4" fontId="16" fillId="8" borderId="45" xfId="1" applyNumberFormat="1" applyFont="1" applyFill="1" applyBorder="1" applyAlignment="1">
      <alignment horizontal="center"/>
    </xf>
    <xf numFmtId="4" fontId="16" fillId="8" borderId="54" xfId="1" applyNumberFormat="1" applyFont="1" applyFill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170" fontId="0" fillId="13" borderId="131" xfId="1" applyNumberFormat="1" applyFont="1" applyFill="1" applyBorder="1" applyAlignment="1">
      <alignment horizontal="center"/>
    </xf>
    <xf numFmtId="43" fontId="62" fillId="0" borderId="0" xfId="1" applyNumberFormat="1" applyFont="1" applyFill="1" applyBorder="1" applyAlignment="1">
      <alignment horizontal="center"/>
    </xf>
    <xf numFmtId="2" fontId="0" fillId="0" borderId="0" xfId="1" applyNumberFormat="1" applyFont="1" applyBorder="1" applyAlignment="1">
      <alignment horizontal="center"/>
    </xf>
    <xf numFmtId="43" fontId="62" fillId="0" borderId="0" xfId="1" applyNumberFormat="1" applyFont="1" applyBorder="1"/>
    <xf numFmtId="167" fontId="0" fillId="0" borderId="0" xfId="1" applyNumberFormat="1" applyFont="1" applyBorder="1" applyAlignment="1">
      <alignment horizontal="center"/>
    </xf>
    <xf numFmtId="167" fontId="62" fillId="0" borderId="0" xfId="1" applyNumberFormat="1" applyFont="1" applyBorder="1"/>
    <xf numFmtId="0" fontId="62" fillId="0" borderId="131" xfId="0" applyFont="1" applyBorder="1"/>
    <xf numFmtId="0" fontId="62" fillId="0" borderId="163" xfId="0" applyNumberFormat="1" applyFont="1" applyBorder="1"/>
    <xf numFmtId="2" fontId="3" fillId="0" borderId="0" xfId="0" applyNumberFormat="1" applyFont="1" applyBorder="1" applyAlignment="1">
      <alignment horizontal="center"/>
    </xf>
    <xf numFmtId="0" fontId="7" fillId="4" borderId="15" xfId="0" applyFont="1" applyFill="1" applyBorder="1" applyAlignment="1">
      <alignment vertical="center" wrapText="1"/>
    </xf>
    <xf numFmtId="0" fontId="7" fillId="4" borderId="88" xfId="0" applyFont="1" applyFill="1" applyBorder="1" applyAlignment="1">
      <alignment vertical="center" wrapText="1"/>
    </xf>
    <xf numFmtId="0" fontId="7" fillId="4" borderId="16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91" xfId="0" applyFont="1" applyFill="1" applyBorder="1" applyAlignment="1">
      <alignment vertical="center"/>
    </xf>
    <xf numFmtId="0" fontId="7" fillId="4" borderId="67" xfId="0" applyFont="1" applyFill="1" applyBorder="1" applyAlignment="1">
      <alignment vertical="center" wrapText="1"/>
    </xf>
    <xf numFmtId="0" fontId="7" fillId="4" borderId="10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99" xfId="0" applyFont="1" applyFill="1" applyBorder="1" applyAlignment="1">
      <alignment vertical="center" wrapText="1"/>
    </xf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3" fontId="0" fillId="0" borderId="97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4" fillId="7" borderId="50" xfId="0" applyFont="1" applyFill="1" applyBorder="1" applyAlignment="1">
      <alignment horizontal="center" vertical="center"/>
    </xf>
    <xf numFmtId="0" fontId="64" fillId="7" borderId="51" xfId="0" applyFont="1" applyFill="1" applyBorder="1" applyAlignment="1">
      <alignment horizontal="center" vertical="center"/>
    </xf>
    <xf numFmtId="0" fontId="64" fillId="7" borderId="52" xfId="0" applyFont="1" applyFill="1" applyBorder="1" applyAlignment="1">
      <alignment horizontal="center" vertical="center"/>
    </xf>
    <xf numFmtId="0" fontId="63" fillId="7" borderId="52" xfId="0" applyFont="1" applyFill="1" applyBorder="1" applyAlignment="1">
      <alignment horizontal="center" vertical="center"/>
    </xf>
    <xf numFmtId="3" fontId="64" fillId="5" borderId="53" xfId="0" applyNumberFormat="1" applyFont="1" applyFill="1" applyBorder="1" applyAlignment="1">
      <alignment horizontal="center" vertical="center"/>
    </xf>
    <xf numFmtId="165" fontId="65" fillId="7" borderId="44" xfId="2" applyNumberFormat="1" applyFont="1" applyFill="1" applyBorder="1" applyAlignment="1">
      <alignment horizontal="center" vertical="center"/>
    </xf>
    <xf numFmtId="4" fontId="66" fillId="0" borderId="45" xfId="1" applyNumberFormat="1" applyFont="1" applyFill="1" applyBorder="1" applyAlignment="1">
      <alignment horizontal="center"/>
    </xf>
    <xf numFmtId="4" fontId="66" fillId="0" borderId="51" xfId="1" applyNumberFormat="1" applyFont="1" applyFill="1" applyBorder="1" applyAlignment="1">
      <alignment horizontal="center"/>
    </xf>
    <xf numFmtId="165" fontId="66" fillId="0" borderId="44" xfId="1" applyNumberFormat="1" applyFont="1" applyFill="1" applyBorder="1" applyAlignment="1">
      <alignment horizontal="center"/>
    </xf>
    <xf numFmtId="165" fontId="66" fillId="0" borderId="45" xfId="1" applyNumberFormat="1" applyFont="1" applyFill="1" applyBorder="1" applyAlignment="1">
      <alignment horizontal="center"/>
    </xf>
    <xf numFmtId="4" fontId="66" fillId="0" borderId="46" xfId="1" applyNumberFormat="1" applyFont="1" applyFill="1" applyBorder="1" applyAlignment="1">
      <alignment horizontal="center"/>
    </xf>
    <xf numFmtId="165" fontId="66" fillId="0" borderId="57" xfId="1" applyNumberFormat="1" applyFont="1" applyFill="1" applyBorder="1" applyAlignment="1">
      <alignment horizontal="center"/>
    </xf>
    <xf numFmtId="165" fontId="66" fillId="0" borderId="54" xfId="1" applyNumberFormat="1" applyFont="1" applyFill="1" applyBorder="1" applyAlignment="1">
      <alignment horizontal="center"/>
    </xf>
    <xf numFmtId="4" fontId="66" fillId="0" borderId="54" xfId="1" applyNumberFormat="1" applyFont="1" applyFill="1" applyBorder="1" applyAlignment="1">
      <alignment horizontal="center"/>
    </xf>
    <xf numFmtId="4" fontId="66" fillId="0" borderId="44" xfId="1" applyNumberFormat="1" applyFont="1" applyFill="1" applyBorder="1" applyAlignment="1">
      <alignment horizontal="center"/>
    </xf>
    <xf numFmtId="4" fontId="67" fillId="7" borderId="52" xfId="0" applyNumberFormat="1" applyFont="1" applyFill="1" applyBorder="1" applyAlignment="1">
      <alignment horizontal="center" vertical="center" wrapText="1"/>
    </xf>
    <xf numFmtId="4" fontId="67" fillId="7" borderId="44" xfId="0" applyNumberFormat="1" applyFont="1" applyFill="1" applyBorder="1" applyAlignment="1">
      <alignment horizontal="center" vertical="center" wrapText="1"/>
    </xf>
    <xf numFmtId="4" fontId="67" fillId="7" borderId="45" xfId="0" applyNumberFormat="1" applyFont="1" applyFill="1" applyBorder="1" applyAlignment="1">
      <alignment horizontal="center" vertical="center" wrapText="1"/>
    </xf>
    <xf numFmtId="4" fontId="67" fillId="7" borderId="46" xfId="0" applyNumberFormat="1" applyFont="1" applyFill="1" applyBorder="1" applyAlignment="1">
      <alignment horizontal="center" vertical="center" wrapText="1"/>
    </xf>
    <xf numFmtId="4" fontId="67" fillId="7" borderId="54" xfId="0" applyNumberFormat="1" applyFont="1" applyFill="1" applyBorder="1" applyAlignment="1">
      <alignment horizontal="center" vertical="center" wrapText="1"/>
    </xf>
    <xf numFmtId="4" fontId="67" fillId="7" borderId="0" xfId="0" applyNumberFormat="1" applyFont="1" applyFill="1" applyBorder="1" applyAlignment="1">
      <alignment horizontal="center" vertical="center" wrapText="1"/>
    </xf>
    <xf numFmtId="4" fontId="67" fillId="7" borderId="38" xfId="0" applyNumberFormat="1" applyFont="1" applyFill="1" applyBorder="1" applyAlignment="1">
      <alignment horizontal="center" vertical="center" wrapText="1"/>
    </xf>
    <xf numFmtId="3" fontId="65" fillId="7" borderId="47" xfId="0" applyNumberFormat="1" applyFont="1" applyFill="1" applyBorder="1" applyAlignment="1">
      <alignment horizontal="center" vertical="center"/>
    </xf>
    <xf numFmtId="0" fontId="63" fillId="0" borderId="52" xfId="0" applyNumberFormat="1" applyFont="1" applyBorder="1" applyAlignment="1">
      <alignment horizontal="center" vertical="center"/>
    </xf>
    <xf numFmtId="0" fontId="63" fillId="0" borderId="50" xfId="0" applyFont="1" applyBorder="1" applyAlignment="1">
      <alignment horizontal="center" vertical="center"/>
    </xf>
    <xf numFmtId="4" fontId="67" fillId="7" borderId="15" xfId="1" applyNumberFormat="1" applyFont="1" applyFill="1" applyBorder="1" applyAlignment="1">
      <alignment horizontal="center" vertical="center" wrapText="1"/>
    </xf>
    <xf numFmtId="4" fontId="67" fillId="7" borderId="79" xfId="1" applyNumberFormat="1" applyFont="1" applyFill="1" applyBorder="1" applyAlignment="1">
      <alignment horizontal="center" vertical="center" wrapText="1"/>
    </xf>
    <xf numFmtId="4" fontId="67" fillId="7" borderId="0" xfId="1" applyNumberFormat="1" applyFont="1" applyFill="1" applyBorder="1" applyAlignment="1">
      <alignment horizontal="center" vertical="center" wrapText="1"/>
    </xf>
    <xf numFmtId="4" fontId="67" fillId="7" borderId="38" xfId="1" applyNumberFormat="1" applyFont="1" applyFill="1" applyBorder="1" applyAlignment="1">
      <alignment horizontal="center" vertical="center" wrapText="1"/>
    </xf>
    <xf numFmtId="4" fontId="67" fillId="7" borderId="56" xfId="1" applyNumberFormat="1" applyFont="1" applyFill="1" applyBorder="1" applyAlignment="1">
      <alignment horizontal="center" vertical="center" wrapText="1"/>
    </xf>
    <xf numFmtId="4" fontId="67" fillId="0" borderId="15" xfId="1" applyNumberFormat="1" applyFont="1" applyFill="1" applyBorder="1" applyAlignment="1">
      <alignment horizontal="center" vertical="center" wrapText="1"/>
    </xf>
    <xf numFmtId="4" fontId="67" fillId="0" borderId="38" xfId="1" applyNumberFormat="1" applyFont="1" applyFill="1" applyBorder="1" applyAlignment="1">
      <alignment horizontal="center" vertical="center" wrapText="1"/>
    </xf>
    <xf numFmtId="0" fontId="7" fillId="4" borderId="113" xfId="0" applyFont="1" applyFill="1" applyBorder="1" applyAlignment="1">
      <alignment vertical="center" wrapText="1"/>
    </xf>
    <xf numFmtId="164" fontId="14" fillId="4" borderId="83" xfId="0" applyNumberFormat="1" applyFont="1" applyFill="1" applyBorder="1" applyAlignment="1">
      <alignment horizontal="center" wrapText="1"/>
    </xf>
    <xf numFmtId="164" fontId="14" fillId="4" borderId="1" xfId="0" applyNumberFormat="1" applyFont="1" applyFill="1" applyBorder="1" applyAlignment="1">
      <alignment horizontal="center" wrapText="1"/>
    </xf>
    <xf numFmtId="164" fontId="14" fillId="4" borderId="4" xfId="0" applyNumberFormat="1" applyFont="1" applyFill="1" applyBorder="1" applyAlignment="1">
      <alignment horizontal="center" wrapText="1"/>
    </xf>
    <xf numFmtId="164" fontId="14" fillId="4" borderId="165" xfId="0" applyNumberFormat="1" applyFont="1" applyFill="1" applyBorder="1" applyAlignment="1">
      <alignment horizontal="center" wrapText="1"/>
    </xf>
    <xf numFmtId="164" fontId="14" fillId="4" borderId="104" xfId="0" applyNumberFormat="1" applyFont="1" applyFill="1" applyBorder="1" applyAlignment="1">
      <alignment horizontal="center" wrapText="1"/>
    </xf>
    <xf numFmtId="164" fontId="14" fillId="4" borderId="166" xfId="0" applyNumberFormat="1" applyFont="1" applyFill="1" applyBorder="1" applyAlignment="1">
      <alignment horizontal="center" wrapText="1"/>
    </xf>
    <xf numFmtId="0" fontId="3" fillId="4" borderId="104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 wrapText="1"/>
    </xf>
    <xf numFmtId="3" fontId="15" fillId="8" borderId="167" xfId="0" applyNumberFormat="1" applyFont="1" applyFill="1" applyBorder="1" applyAlignment="1">
      <alignment horizontal="center" vertical="center"/>
    </xf>
    <xf numFmtId="3" fontId="15" fillId="8" borderId="168" xfId="0" applyNumberFormat="1" applyFont="1" applyFill="1" applyBorder="1" applyAlignment="1">
      <alignment horizontal="center" vertical="center"/>
    </xf>
    <xf numFmtId="3" fontId="15" fillId="8" borderId="169" xfId="0" applyNumberFormat="1" applyFont="1" applyFill="1" applyBorder="1" applyAlignment="1">
      <alignment horizontal="center" vertical="center"/>
    </xf>
    <xf numFmtId="3" fontId="15" fillId="0" borderId="79" xfId="0" applyNumberFormat="1" applyFont="1" applyFill="1" applyBorder="1" applyAlignment="1">
      <alignment horizontal="center" vertical="center"/>
    </xf>
    <xf numFmtId="3" fontId="33" fillId="7" borderId="79" xfId="0" applyNumberFormat="1" applyFont="1" applyFill="1" applyBorder="1" applyAlignment="1">
      <alignment horizontal="center" vertical="center"/>
    </xf>
    <xf numFmtId="9" fontId="0" fillId="0" borderId="170" xfId="0" applyNumberFormat="1" applyBorder="1" applyAlignment="1">
      <alignment vertical="center"/>
    </xf>
    <xf numFmtId="9" fontId="0" fillId="0" borderId="88" xfId="0" applyNumberFormat="1" applyBorder="1" applyAlignment="1">
      <alignment vertical="center"/>
    </xf>
    <xf numFmtId="3" fontId="15" fillId="7" borderId="88" xfId="0" applyNumberFormat="1" applyFont="1" applyFill="1" applyBorder="1" applyAlignment="1">
      <alignment vertical="center"/>
    </xf>
    <xf numFmtId="3" fontId="15" fillId="8" borderId="79" xfId="0" applyNumberFormat="1" applyFont="1" applyFill="1" applyBorder="1" applyAlignment="1">
      <alignment horizontal="center" vertical="center"/>
    </xf>
    <xf numFmtId="0" fontId="23" fillId="25" borderId="171" xfId="0" applyFont="1" applyFill="1" applyBorder="1" applyAlignment="1">
      <alignment horizontal="center" vertical="center" wrapText="1"/>
    </xf>
    <xf numFmtId="0" fontId="23" fillId="25" borderId="172" xfId="0" applyFont="1" applyFill="1" applyBorder="1" applyAlignment="1">
      <alignment horizontal="center" vertical="center" wrapText="1"/>
    </xf>
    <xf numFmtId="0" fontId="23" fillId="25" borderId="173" xfId="0" applyFont="1" applyFill="1" applyBorder="1" applyAlignment="1">
      <alignment horizontal="center" vertical="center" wrapText="1"/>
    </xf>
    <xf numFmtId="3" fontId="15" fillId="7" borderId="174" xfId="0" applyNumberFormat="1" applyFont="1" applyFill="1" applyBorder="1" applyAlignment="1">
      <alignment horizontal="center" vertical="center"/>
    </xf>
    <xf numFmtId="3" fontId="15" fillId="7" borderId="175" xfId="0" applyNumberFormat="1" applyFont="1" applyFill="1" applyBorder="1" applyAlignment="1">
      <alignment horizontal="center" vertical="center"/>
    </xf>
    <xf numFmtId="3" fontId="15" fillId="0" borderId="175" xfId="0" applyNumberFormat="1" applyFont="1" applyFill="1" applyBorder="1" applyAlignment="1">
      <alignment horizontal="center" vertical="center"/>
    </xf>
    <xf numFmtId="0" fontId="0" fillId="0" borderId="172" xfId="0" applyBorder="1" applyAlignment="1">
      <alignment vertical="center"/>
    </xf>
    <xf numFmtId="0" fontId="0" fillId="7" borderId="172" xfId="0" applyFill="1" applyBorder="1" applyAlignment="1">
      <alignment vertical="center"/>
    </xf>
    <xf numFmtId="3" fontId="15" fillId="7" borderId="173" xfId="0" applyNumberFormat="1" applyFont="1" applyFill="1" applyBorder="1" applyAlignment="1">
      <alignment horizontal="center" vertical="center"/>
    </xf>
    <xf numFmtId="3" fontId="15" fillId="7" borderId="176" xfId="0" applyNumberFormat="1" applyFont="1" applyFill="1" applyBorder="1" applyAlignment="1">
      <alignment horizontal="center" vertical="center"/>
    </xf>
    <xf numFmtId="3" fontId="15" fillId="7" borderId="177" xfId="0" applyNumberFormat="1" applyFont="1" applyFill="1" applyBorder="1" applyAlignment="1">
      <alignment horizontal="center" vertical="center"/>
    </xf>
    <xf numFmtId="3" fontId="15" fillId="0" borderId="177" xfId="0" applyNumberFormat="1" applyFont="1" applyFill="1" applyBorder="1" applyAlignment="1">
      <alignment horizontal="center" vertical="center"/>
    </xf>
    <xf numFmtId="9" fontId="0" fillId="0" borderId="178" xfId="0" applyNumberFormat="1" applyBorder="1" applyAlignment="1">
      <alignment vertical="center"/>
    </xf>
    <xf numFmtId="3" fontId="15" fillId="7" borderId="178" xfId="0" applyNumberFormat="1" applyFont="1" applyFill="1" applyBorder="1" applyAlignment="1">
      <alignment vertical="center"/>
    </xf>
    <xf numFmtId="3" fontId="15" fillId="7" borderId="179" xfId="0" applyNumberFormat="1" applyFont="1" applyFill="1" applyBorder="1" applyAlignment="1">
      <alignment horizontal="center" vertical="center"/>
    </xf>
    <xf numFmtId="3" fontId="15" fillId="7" borderId="180" xfId="0" applyNumberFormat="1" applyFont="1" applyFill="1" applyBorder="1" applyAlignment="1">
      <alignment horizontal="center" vertical="center"/>
    </xf>
    <xf numFmtId="3" fontId="15" fillId="7" borderId="181" xfId="0" applyNumberFormat="1" applyFont="1" applyFill="1" applyBorder="1" applyAlignment="1">
      <alignment horizontal="center" vertical="center"/>
    </xf>
    <xf numFmtId="3" fontId="15" fillId="0" borderId="182" xfId="0" applyNumberFormat="1" applyFont="1" applyFill="1" applyBorder="1" applyAlignment="1">
      <alignment horizontal="center" vertical="center"/>
    </xf>
    <xf numFmtId="3" fontId="15" fillId="7" borderId="182" xfId="0" applyNumberFormat="1" applyFont="1" applyFill="1" applyBorder="1" applyAlignment="1">
      <alignment horizontal="center" vertical="center"/>
    </xf>
    <xf numFmtId="9" fontId="0" fillId="0" borderId="183" xfId="0" applyNumberFormat="1" applyBorder="1" applyAlignment="1">
      <alignment vertical="center"/>
    </xf>
    <xf numFmtId="3" fontId="15" fillId="7" borderId="183" xfId="0" applyNumberFormat="1" applyFont="1" applyFill="1" applyBorder="1" applyAlignment="1">
      <alignment vertical="center"/>
    </xf>
    <xf numFmtId="3" fontId="15" fillId="7" borderId="184" xfId="0" applyNumberFormat="1" applyFont="1" applyFill="1" applyBorder="1" applyAlignment="1">
      <alignment horizontal="center" vertical="center"/>
    </xf>
    <xf numFmtId="3" fontId="15" fillId="7" borderId="185" xfId="0" applyNumberFormat="1" applyFont="1" applyFill="1" applyBorder="1" applyAlignment="1">
      <alignment horizontal="center" vertical="center"/>
    </xf>
    <xf numFmtId="3" fontId="15" fillId="7" borderId="186" xfId="0" applyNumberFormat="1" applyFont="1" applyFill="1" applyBorder="1" applyAlignment="1">
      <alignment horizontal="center" vertical="center"/>
    </xf>
    <xf numFmtId="9" fontId="0" fillId="0" borderId="187" xfId="0" applyNumberFormat="1" applyBorder="1" applyAlignment="1">
      <alignment vertical="center"/>
    </xf>
    <xf numFmtId="3" fontId="15" fillId="7" borderId="187" xfId="0" applyNumberFormat="1" applyFont="1" applyFill="1" applyBorder="1" applyAlignment="1">
      <alignment vertical="center"/>
    </xf>
    <xf numFmtId="3" fontId="15" fillId="8" borderId="188" xfId="0" applyNumberFormat="1" applyFont="1" applyFill="1" applyBorder="1" applyAlignment="1">
      <alignment horizontal="center" vertical="center"/>
    </xf>
    <xf numFmtId="3" fontId="15" fillId="8" borderId="189" xfId="0" applyNumberFormat="1" applyFont="1" applyFill="1" applyBorder="1" applyAlignment="1">
      <alignment horizontal="center" vertical="center"/>
    </xf>
    <xf numFmtId="3" fontId="15" fillId="7" borderId="190" xfId="0" applyNumberFormat="1" applyFont="1" applyFill="1" applyBorder="1" applyAlignment="1">
      <alignment horizontal="center" vertical="center"/>
    </xf>
    <xf numFmtId="9" fontId="0" fillId="0" borderId="191" xfId="0" applyNumberFormat="1" applyBorder="1" applyAlignment="1">
      <alignment vertical="center"/>
    </xf>
    <xf numFmtId="3" fontId="15" fillId="7" borderId="191" xfId="0" applyNumberFormat="1" applyFont="1" applyFill="1" applyBorder="1" applyAlignment="1">
      <alignment vertical="center"/>
    </xf>
    <xf numFmtId="3" fontId="15" fillId="7" borderId="192" xfId="0" applyNumberFormat="1" applyFont="1" applyFill="1" applyBorder="1" applyAlignment="1">
      <alignment horizontal="center" vertical="center"/>
    </xf>
    <xf numFmtId="9" fontId="0" fillId="0" borderId="172" xfId="0" applyNumberFormat="1" applyBorder="1" applyAlignment="1">
      <alignment vertical="center"/>
    </xf>
    <xf numFmtId="3" fontId="15" fillId="7" borderId="172" xfId="0" applyNumberFormat="1" applyFont="1" applyFill="1" applyBorder="1" applyAlignment="1">
      <alignment vertical="center"/>
    </xf>
    <xf numFmtId="3" fontId="15" fillId="7" borderId="193" xfId="0" applyNumberFormat="1" applyFont="1" applyFill="1" applyBorder="1" applyAlignment="1">
      <alignment horizontal="center" vertical="center"/>
    </xf>
    <xf numFmtId="3" fontId="15" fillId="7" borderId="194" xfId="0" applyNumberFormat="1" applyFont="1" applyFill="1" applyBorder="1" applyAlignment="1">
      <alignment horizontal="center" vertical="center"/>
    </xf>
    <xf numFmtId="3" fontId="59" fillId="7" borderId="195" xfId="0" applyNumberFormat="1" applyFont="1" applyFill="1" applyBorder="1" applyAlignment="1">
      <alignment horizontal="center" vertical="center"/>
    </xf>
    <xf numFmtId="3" fontId="59" fillId="7" borderId="196" xfId="0" applyNumberFormat="1" applyFont="1" applyFill="1" applyBorder="1" applyAlignment="1">
      <alignment horizontal="center" vertical="center"/>
    </xf>
    <xf numFmtId="3" fontId="15" fillId="7" borderId="195" xfId="0" applyNumberFormat="1" applyFont="1" applyFill="1" applyBorder="1" applyAlignment="1">
      <alignment horizontal="center" vertical="center"/>
    </xf>
    <xf numFmtId="3" fontId="15" fillId="7" borderId="196" xfId="0" applyNumberFormat="1" applyFont="1" applyFill="1" applyBorder="1" applyAlignment="1">
      <alignment horizontal="center" vertical="center"/>
    </xf>
    <xf numFmtId="3" fontId="15" fillId="7" borderId="197" xfId="0" applyNumberFormat="1" applyFont="1" applyFill="1" applyBorder="1" applyAlignment="1">
      <alignment horizontal="center" vertical="center"/>
    </xf>
    <xf numFmtId="3" fontId="15" fillId="7" borderId="198" xfId="0" applyNumberFormat="1" applyFont="1" applyFill="1" applyBorder="1" applyAlignment="1">
      <alignment horizontal="center" vertical="center"/>
    </xf>
    <xf numFmtId="3" fontId="53" fillId="7" borderId="176" xfId="0" applyNumberFormat="1" applyFont="1" applyFill="1" applyBorder="1" applyAlignment="1">
      <alignment horizontal="center" vertical="center"/>
    </xf>
    <xf numFmtId="3" fontId="53" fillId="7" borderId="177" xfId="0" applyNumberFormat="1" applyFont="1" applyFill="1" applyBorder="1" applyAlignment="1">
      <alignment horizontal="center" vertical="center"/>
    </xf>
    <xf numFmtId="3" fontId="53" fillId="7" borderId="199" xfId="0" applyNumberFormat="1" applyFont="1" applyFill="1" applyBorder="1" applyAlignment="1">
      <alignment horizontal="center" vertical="center"/>
    </xf>
    <xf numFmtId="3" fontId="15" fillId="8" borderId="200" xfId="0" applyNumberFormat="1" applyFont="1" applyFill="1" applyBorder="1" applyAlignment="1">
      <alignment horizontal="center" vertical="center"/>
    </xf>
    <xf numFmtId="3" fontId="15" fillId="8" borderId="201" xfId="0" applyNumberFormat="1" applyFont="1" applyFill="1" applyBorder="1" applyAlignment="1">
      <alignment horizontal="center" vertical="center"/>
    </xf>
    <xf numFmtId="3" fontId="15" fillId="8" borderId="202" xfId="0" applyNumberFormat="1" applyFont="1" applyFill="1" applyBorder="1" applyAlignment="1">
      <alignment horizontal="center" vertical="center"/>
    </xf>
    <xf numFmtId="9" fontId="0" fillId="0" borderId="203" xfId="0" applyNumberFormat="1" applyBorder="1" applyAlignment="1">
      <alignment vertical="center"/>
    </xf>
    <xf numFmtId="3" fontId="15" fillId="8" borderId="204" xfId="0" applyNumberFormat="1" applyFont="1" applyFill="1" applyBorder="1" applyAlignment="1">
      <alignment horizontal="center" vertical="center"/>
    </xf>
    <xf numFmtId="3" fontId="15" fillId="7" borderId="199" xfId="0" applyNumberFormat="1" applyFont="1" applyFill="1" applyBorder="1" applyAlignment="1">
      <alignment horizontal="center" vertical="center"/>
    </xf>
    <xf numFmtId="3" fontId="27" fillId="7" borderId="195" xfId="0" applyNumberFormat="1" applyFont="1" applyFill="1" applyBorder="1" applyAlignment="1">
      <alignment horizontal="center" vertical="center"/>
    </xf>
    <xf numFmtId="3" fontId="27" fillId="7" borderId="196" xfId="0" applyNumberFormat="1" applyFont="1" applyFill="1" applyBorder="1" applyAlignment="1">
      <alignment horizontal="center" vertical="center"/>
    </xf>
    <xf numFmtId="3" fontId="39" fillId="7" borderId="195" xfId="0" applyNumberFormat="1" applyFont="1" applyFill="1" applyBorder="1" applyAlignment="1">
      <alignment horizontal="center" vertical="center"/>
    </xf>
    <xf numFmtId="3" fontId="39" fillId="7" borderId="196" xfId="0" applyNumberFormat="1" applyFont="1" applyFill="1" applyBorder="1" applyAlignment="1">
      <alignment horizontal="center" vertical="center"/>
    </xf>
    <xf numFmtId="3" fontId="53" fillId="7" borderId="195" xfId="0" applyNumberFormat="1" applyFont="1" applyFill="1" applyBorder="1" applyAlignment="1">
      <alignment horizontal="center" vertical="center"/>
    </xf>
    <xf numFmtId="3" fontId="53" fillId="7" borderId="196" xfId="0" applyNumberFormat="1" applyFont="1" applyFill="1" applyBorder="1" applyAlignment="1">
      <alignment horizontal="center" vertical="center"/>
    </xf>
    <xf numFmtId="3" fontId="27" fillId="7" borderId="205" xfId="0" applyNumberFormat="1" applyFont="1" applyFill="1" applyBorder="1" applyAlignment="1">
      <alignment horizontal="center" vertical="center"/>
    </xf>
    <xf numFmtId="3" fontId="27" fillId="7" borderId="206" xfId="0" applyNumberFormat="1" applyFont="1" applyFill="1" applyBorder="1" applyAlignment="1">
      <alignment horizontal="center" vertical="center"/>
    </xf>
    <xf numFmtId="3" fontId="45" fillId="7" borderId="195" xfId="0" applyNumberFormat="1" applyFont="1" applyFill="1" applyBorder="1" applyAlignment="1">
      <alignment horizontal="center" vertical="center"/>
    </xf>
    <xf numFmtId="3" fontId="45" fillId="7" borderId="196" xfId="0" applyNumberFormat="1" applyFont="1" applyFill="1" applyBorder="1" applyAlignment="1">
      <alignment horizontal="center" vertical="center"/>
    </xf>
    <xf numFmtId="3" fontId="15" fillId="0" borderId="183" xfId="0" applyNumberFormat="1" applyFont="1" applyFill="1" applyBorder="1" applyAlignment="1">
      <alignment vertical="center"/>
    </xf>
    <xf numFmtId="3" fontId="15" fillId="0" borderId="178" xfId="0" applyNumberFormat="1" applyFont="1" applyFill="1" applyBorder="1" applyAlignment="1">
      <alignment vertical="center"/>
    </xf>
    <xf numFmtId="3" fontId="53" fillId="7" borderId="190" xfId="0" applyNumberFormat="1" applyFont="1" applyFill="1" applyBorder="1" applyAlignment="1">
      <alignment horizontal="center" vertical="center"/>
    </xf>
    <xf numFmtId="3" fontId="53" fillId="7" borderId="182" xfId="0" applyNumberFormat="1" applyFont="1" applyFill="1" applyBorder="1" applyAlignment="1">
      <alignment horizontal="center" vertical="center"/>
    </xf>
    <xf numFmtId="3" fontId="53" fillId="7" borderId="192" xfId="0" applyNumberFormat="1" applyFont="1" applyFill="1" applyBorder="1" applyAlignment="1">
      <alignment horizontal="center" vertical="center"/>
    </xf>
    <xf numFmtId="3" fontId="65" fillId="7" borderId="195" xfId="0" applyNumberFormat="1" applyFont="1" applyFill="1" applyBorder="1" applyAlignment="1">
      <alignment horizontal="center" vertical="center"/>
    </xf>
    <xf numFmtId="3" fontId="65" fillId="7" borderId="196" xfId="0" applyNumberFormat="1" applyFont="1" applyFill="1" applyBorder="1" applyAlignment="1">
      <alignment horizontal="center" vertical="center"/>
    </xf>
    <xf numFmtId="0" fontId="3" fillId="4" borderId="207" xfId="0" applyFont="1" applyFill="1" applyBorder="1" applyAlignment="1">
      <alignment vertical="center"/>
    </xf>
    <xf numFmtId="0" fontId="3" fillId="4" borderId="208" xfId="0" applyFont="1" applyFill="1" applyBorder="1" applyAlignment="1">
      <alignment vertical="center"/>
    </xf>
    <xf numFmtId="0" fontId="51" fillId="0" borderId="60" xfId="0" applyNumberFormat="1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0" fontId="52" fillId="7" borderId="58" xfId="0" applyFont="1" applyFill="1" applyBorder="1" applyAlignment="1">
      <alignment horizontal="center" vertical="center"/>
    </xf>
    <xf numFmtId="0" fontId="52" fillId="7" borderId="59" xfId="0" applyFont="1" applyFill="1" applyBorder="1" applyAlignment="1">
      <alignment horizontal="center" vertical="center"/>
    </xf>
    <xf numFmtId="0" fontId="52" fillId="7" borderId="60" xfId="0" applyFont="1" applyFill="1" applyBorder="1" applyAlignment="1">
      <alignment horizontal="center" vertical="center"/>
    </xf>
    <xf numFmtId="0" fontId="51" fillId="7" borderId="60" xfId="0" applyFont="1" applyFill="1" applyBorder="1" applyAlignment="1">
      <alignment horizontal="center" vertical="center"/>
    </xf>
    <xf numFmtId="3" fontId="52" fillId="5" borderId="61" xfId="0" applyNumberFormat="1" applyFont="1" applyFill="1" applyBorder="1" applyAlignment="1">
      <alignment horizontal="center" vertical="center"/>
    </xf>
    <xf numFmtId="165" fontId="53" fillId="7" borderId="62" xfId="2" applyNumberFormat="1" applyFont="1" applyFill="1" applyBorder="1" applyAlignment="1">
      <alignment horizontal="center" vertical="center"/>
    </xf>
    <xf numFmtId="4" fontId="54" fillId="0" borderId="63" xfId="1" applyNumberFormat="1" applyFont="1" applyFill="1" applyBorder="1" applyAlignment="1">
      <alignment horizontal="center"/>
    </xf>
    <xf numFmtId="4" fontId="54" fillId="0" borderId="59" xfId="1" applyNumberFormat="1" applyFont="1" applyFill="1" applyBorder="1" applyAlignment="1">
      <alignment horizontal="center"/>
    </xf>
    <xf numFmtId="165" fontId="54" fillId="0" borderId="62" xfId="1" applyNumberFormat="1" applyFont="1" applyFill="1" applyBorder="1" applyAlignment="1">
      <alignment horizontal="center"/>
    </xf>
    <xf numFmtId="165" fontId="54" fillId="0" borderId="63" xfId="1" applyNumberFormat="1" applyFont="1" applyFill="1" applyBorder="1" applyAlignment="1">
      <alignment horizontal="center"/>
    </xf>
    <xf numFmtId="4" fontId="54" fillId="0" borderId="56" xfId="1" applyNumberFormat="1" applyFont="1" applyFill="1" applyBorder="1" applyAlignment="1">
      <alignment horizontal="center"/>
    </xf>
    <xf numFmtId="165" fontId="54" fillId="0" borderId="64" xfId="1" applyNumberFormat="1" applyFont="1" applyFill="1" applyBorder="1" applyAlignment="1">
      <alignment horizontal="center"/>
    </xf>
    <xf numFmtId="165" fontId="54" fillId="0" borderId="55" xfId="1" applyNumberFormat="1" applyFont="1" applyFill="1" applyBorder="1" applyAlignment="1">
      <alignment horizontal="center"/>
    </xf>
    <xf numFmtId="4" fontId="54" fillId="0" borderId="55" xfId="1" applyNumberFormat="1" applyFont="1" applyFill="1" applyBorder="1" applyAlignment="1">
      <alignment horizontal="center"/>
    </xf>
    <xf numFmtId="4" fontId="54" fillId="0" borderId="62" xfId="1" applyNumberFormat="1" applyFont="1" applyFill="1" applyBorder="1" applyAlignment="1">
      <alignment horizontal="center"/>
    </xf>
    <xf numFmtId="4" fontId="55" fillId="7" borderId="60" xfId="0" applyNumberFormat="1" applyFont="1" applyFill="1" applyBorder="1" applyAlignment="1">
      <alignment horizontal="center" vertical="center" wrapText="1"/>
    </xf>
    <xf numFmtId="4" fontId="55" fillId="7" borderId="62" xfId="0" applyNumberFormat="1" applyFont="1" applyFill="1" applyBorder="1" applyAlignment="1">
      <alignment horizontal="center" vertical="center" wrapText="1"/>
    </xf>
    <xf numFmtId="4" fontId="55" fillId="7" borderId="63" xfId="0" applyNumberFormat="1" applyFont="1" applyFill="1" applyBorder="1" applyAlignment="1">
      <alignment horizontal="center" vertical="center" wrapText="1"/>
    </xf>
    <xf numFmtId="4" fontId="55" fillId="7" borderId="56" xfId="0" applyNumberFormat="1" applyFont="1" applyFill="1" applyBorder="1" applyAlignment="1">
      <alignment horizontal="center" vertical="center" wrapText="1"/>
    </xf>
    <xf numFmtId="4" fontId="55" fillId="7" borderId="55" xfId="0" applyNumberFormat="1" applyFont="1" applyFill="1" applyBorder="1" applyAlignment="1">
      <alignment horizontal="center" vertical="center" wrapText="1"/>
    </xf>
    <xf numFmtId="3" fontId="53" fillId="7" borderId="197" xfId="0" applyNumberFormat="1" applyFont="1" applyFill="1" applyBorder="1" applyAlignment="1">
      <alignment horizontal="center" vertical="center"/>
    </xf>
    <xf numFmtId="3" fontId="53" fillId="7" borderId="79" xfId="0" applyNumberFormat="1" applyFont="1" applyFill="1" applyBorder="1" applyAlignment="1">
      <alignment horizontal="center" vertical="center"/>
    </xf>
    <xf numFmtId="3" fontId="15" fillId="0" borderId="49" xfId="0" applyNumberFormat="1" applyFont="1" applyFill="1" applyBorder="1" applyAlignment="1">
      <alignment vertical="center"/>
    </xf>
    <xf numFmtId="3" fontId="53" fillId="7" borderId="198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7" fillId="0" borderId="28" xfId="0" applyNumberFormat="1" applyFont="1" applyBorder="1" applyAlignment="1">
      <alignment horizontal="center" vertical="center"/>
    </xf>
    <xf numFmtId="165" fontId="53" fillId="7" borderId="29" xfId="2" applyNumberFormat="1" applyFont="1" applyFill="1" applyBorder="1" applyAlignment="1">
      <alignment horizontal="center" vertical="center"/>
    </xf>
    <xf numFmtId="4" fontId="54" fillId="0" borderId="31" xfId="1" applyNumberFormat="1" applyFont="1" applyFill="1" applyBorder="1" applyAlignment="1">
      <alignment horizontal="center"/>
    </xf>
    <xf numFmtId="4" fontId="54" fillId="0" borderId="26" xfId="1" applyNumberFormat="1" applyFont="1" applyFill="1" applyBorder="1" applyAlignment="1">
      <alignment horizontal="center"/>
    </xf>
    <xf numFmtId="165" fontId="54" fillId="0" borderId="29" xfId="1" applyNumberFormat="1" applyFont="1" applyFill="1" applyBorder="1" applyAlignment="1">
      <alignment horizontal="center"/>
    </xf>
    <xf numFmtId="165" fontId="54" fillId="0" borderId="31" xfId="1" applyNumberFormat="1" applyFont="1" applyFill="1" applyBorder="1" applyAlignment="1">
      <alignment horizontal="center"/>
    </xf>
    <xf numFmtId="4" fontId="54" fillId="0" borderId="32" xfId="1" applyNumberFormat="1" applyFont="1" applyFill="1" applyBorder="1" applyAlignment="1">
      <alignment horizontal="center"/>
    </xf>
    <xf numFmtId="165" fontId="54" fillId="0" borderId="33" xfId="1" applyNumberFormat="1" applyFont="1" applyFill="1" applyBorder="1" applyAlignment="1">
      <alignment horizontal="center"/>
    </xf>
    <xf numFmtId="165" fontId="54" fillId="0" borderId="30" xfId="1" applyNumberFormat="1" applyFont="1" applyFill="1" applyBorder="1" applyAlignment="1">
      <alignment horizontal="center"/>
    </xf>
    <xf numFmtId="4" fontId="54" fillId="0" borderId="30" xfId="1" applyNumberFormat="1" applyFont="1" applyFill="1" applyBorder="1" applyAlignment="1">
      <alignment horizontal="center"/>
    </xf>
    <xf numFmtId="4" fontId="54" fillId="0" borderId="29" xfId="1" applyNumberFormat="1" applyFont="1" applyFill="1" applyBorder="1" applyAlignment="1">
      <alignment horizontal="center"/>
    </xf>
    <xf numFmtId="4" fontId="55" fillId="7" borderId="27" xfId="0" applyNumberFormat="1" applyFont="1" applyFill="1" applyBorder="1" applyAlignment="1">
      <alignment horizontal="center" vertical="center" wrapText="1"/>
    </xf>
    <xf numFmtId="4" fontId="55" fillId="7" borderId="29" xfId="0" applyNumberFormat="1" applyFont="1" applyFill="1" applyBorder="1" applyAlignment="1">
      <alignment horizontal="center" vertical="center" wrapText="1"/>
    </xf>
    <xf numFmtId="4" fontId="55" fillId="7" borderId="31" xfId="0" applyNumberFormat="1" applyFont="1" applyFill="1" applyBorder="1" applyAlignment="1">
      <alignment horizontal="center" vertical="center" wrapText="1"/>
    </xf>
    <xf numFmtId="4" fontId="55" fillId="7" borderId="32" xfId="0" applyNumberFormat="1" applyFont="1" applyFill="1" applyBorder="1" applyAlignment="1">
      <alignment horizontal="center" vertical="center" wrapText="1"/>
    </xf>
    <xf numFmtId="4" fontId="55" fillId="7" borderId="30" xfId="0" applyNumberFormat="1" applyFont="1" applyFill="1" applyBorder="1" applyAlignment="1">
      <alignment horizontal="center" vertical="center" wrapText="1"/>
    </xf>
    <xf numFmtId="4" fontId="55" fillId="7" borderId="13" xfId="0" applyNumberFormat="1" applyFont="1" applyFill="1" applyBorder="1" applyAlignment="1">
      <alignment horizontal="center" vertical="center" wrapText="1"/>
    </xf>
    <xf numFmtId="4" fontId="55" fillId="7" borderId="81" xfId="0" applyNumberFormat="1" applyFont="1" applyFill="1" applyBorder="1" applyAlignment="1">
      <alignment horizontal="center" vertical="center" wrapText="1"/>
    </xf>
    <xf numFmtId="4" fontId="55" fillId="7" borderId="19" xfId="1" applyNumberFormat="1" applyFont="1" applyFill="1" applyBorder="1" applyAlignment="1">
      <alignment horizontal="center" vertical="center" wrapText="1"/>
    </xf>
    <xf numFmtId="4" fontId="55" fillId="7" borderId="102" xfId="1" applyNumberFormat="1" applyFont="1" applyFill="1" applyBorder="1" applyAlignment="1">
      <alignment horizontal="center" vertical="center" wrapText="1"/>
    </xf>
    <xf numFmtId="4" fontId="55" fillId="7" borderId="13" xfId="1" applyNumberFormat="1" applyFont="1" applyFill="1" applyBorder="1" applyAlignment="1">
      <alignment horizontal="center" vertical="center" wrapText="1"/>
    </xf>
    <xf numFmtId="4" fontId="55" fillId="7" borderId="81" xfId="1" applyNumberFormat="1" applyFont="1" applyFill="1" applyBorder="1" applyAlignment="1">
      <alignment horizontal="center" vertical="center" wrapText="1"/>
    </xf>
    <xf numFmtId="4" fontId="55" fillId="7" borderId="89" xfId="1" applyNumberFormat="1" applyFont="1" applyFill="1" applyBorder="1" applyAlignment="1">
      <alignment horizontal="center" vertical="center" wrapText="1"/>
    </xf>
    <xf numFmtId="4" fontId="55" fillId="0" borderId="19" xfId="1" applyNumberFormat="1" applyFont="1" applyFill="1" applyBorder="1" applyAlignment="1">
      <alignment horizontal="center" vertical="center" wrapText="1"/>
    </xf>
    <xf numFmtId="4" fontId="55" fillId="0" borderId="81" xfId="1" applyNumberFormat="1" applyFont="1" applyFill="1" applyBorder="1" applyAlignment="1">
      <alignment horizontal="center" vertical="center" wrapText="1"/>
    </xf>
    <xf numFmtId="164" fontId="14" fillId="4" borderId="164" xfId="0" applyNumberFormat="1" applyFont="1" applyFill="1" applyBorder="1" applyAlignment="1">
      <alignment horizontal="center" wrapText="1"/>
    </xf>
    <xf numFmtId="3" fontId="53" fillId="7" borderId="209" xfId="0" applyNumberFormat="1" applyFont="1" applyFill="1" applyBorder="1" applyAlignment="1">
      <alignment horizontal="center" vertical="center"/>
    </xf>
    <xf numFmtId="3" fontId="53" fillId="7" borderId="16" xfId="0" applyNumberFormat="1" applyFont="1" applyFill="1" applyBorder="1" applyAlignment="1">
      <alignment horizontal="center" vertical="center"/>
    </xf>
    <xf numFmtId="3" fontId="15" fillId="0" borderId="18" xfId="0" applyNumberFormat="1" applyFont="1" applyFill="1" applyBorder="1" applyAlignment="1">
      <alignment vertical="center"/>
    </xf>
    <xf numFmtId="3" fontId="53" fillId="7" borderId="210" xfId="0" applyNumberFormat="1" applyFont="1" applyFill="1" applyBorder="1" applyAlignment="1">
      <alignment horizontal="center" vertical="center"/>
    </xf>
    <xf numFmtId="0" fontId="7" fillId="0" borderId="36" xfId="0" applyNumberFormat="1" applyFont="1" applyBorder="1" applyAlignment="1">
      <alignment horizontal="center" vertical="center"/>
    </xf>
    <xf numFmtId="0" fontId="63" fillId="0" borderId="53" xfId="0" applyNumberFormat="1" applyFont="1" applyBorder="1" applyAlignment="1">
      <alignment horizontal="center" vertical="center"/>
    </xf>
    <xf numFmtId="0" fontId="51" fillId="0" borderId="53" xfId="0" applyNumberFormat="1" applyFont="1" applyBorder="1" applyAlignment="1">
      <alignment horizontal="center" vertical="center"/>
    </xf>
    <xf numFmtId="0" fontId="7" fillId="0" borderId="53" xfId="0" applyNumberFormat="1" applyFont="1" applyBorder="1" applyAlignment="1">
      <alignment horizontal="center" vertical="center"/>
    </xf>
    <xf numFmtId="0" fontId="7" fillId="4" borderId="53" xfId="0" applyFont="1" applyFill="1" applyBorder="1" applyAlignment="1">
      <alignment horizontal="center" vertical="center"/>
    </xf>
    <xf numFmtId="0" fontId="7" fillId="3" borderId="71" xfId="0" applyFont="1" applyFill="1" applyBorder="1" applyAlignment="1">
      <alignment horizontal="center" vertical="center"/>
    </xf>
    <xf numFmtId="0" fontId="7" fillId="3" borderId="68" xfId="0" applyFont="1" applyFill="1" applyBorder="1" applyAlignment="1">
      <alignment horizontal="center" vertical="center"/>
    </xf>
    <xf numFmtId="4" fontId="14" fillId="0" borderId="90" xfId="0" applyNumberFormat="1" applyFont="1" applyFill="1" applyBorder="1" applyAlignment="1">
      <alignment horizontal="center" vertical="center" wrapText="1"/>
    </xf>
    <xf numFmtId="4" fontId="14" fillId="0" borderId="80" xfId="0" applyNumberFormat="1" applyFont="1" applyFill="1" applyBorder="1" applyAlignment="1">
      <alignment horizontal="center" vertical="center" wrapText="1"/>
    </xf>
    <xf numFmtId="4" fontId="14" fillId="0" borderId="23" xfId="0" applyNumberFormat="1" applyFont="1" applyFill="1" applyBorder="1" applyAlignment="1">
      <alignment horizontal="center" vertical="center" wrapText="1"/>
    </xf>
    <xf numFmtId="0" fontId="13" fillId="3" borderId="84" xfId="0" applyFont="1" applyFill="1" applyBorder="1" applyAlignment="1">
      <alignment vertical="center"/>
    </xf>
    <xf numFmtId="0" fontId="13" fillId="3" borderId="211" xfId="0" applyFont="1" applyFill="1" applyBorder="1" applyAlignment="1">
      <alignment vertical="center"/>
    </xf>
    <xf numFmtId="0" fontId="13" fillId="3" borderId="23" xfId="0" applyFont="1" applyFill="1" applyBorder="1" applyAlignment="1">
      <alignment vertical="center"/>
    </xf>
    <xf numFmtId="0" fontId="13" fillId="3" borderId="22" xfId="0" applyFont="1" applyFill="1" applyBorder="1" applyAlignment="1">
      <alignment vertical="center"/>
    </xf>
    <xf numFmtId="0" fontId="13" fillId="3" borderId="212" xfId="0" applyFont="1" applyFill="1" applyBorder="1" applyAlignment="1">
      <alignment vertical="center"/>
    </xf>
    <xf numFmtId="0" fontId="0" fillId="0" borderId="213" xfId="0" applyBorder="1"/>
    <xf numFmtId="0" fontId="3" fillId="0" borderId="0" xfId="0" applyFont="1" applyFill="1" applyBorder="1" applyAlignment="1" applyProtection="1">
      <alignment horizontal="center" vertical="center"/>
      <protection locked="0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 applyProtection="1">
      <alignment horizontal="center" vertical="center"/>
      <protection locked="0"/>
    </xf>
    <xf numFmtId="3" fontId="51" fillId="0" borderId="0" xfId="0" applyNumberFormat="1" applyFont="1" applyFill="1" applyBorder="1" applyAlignment="1" applyProtection="1">
      <alignment horizontal="center" vertical="center"/>
      <protection locked="0"/>
    </xf>
    <xf numFmtId="164" fontId="7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43" fontId="3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0" fontId="0" fillId="0" borderId="0" xfId="0" applyFill="1" applyBorder="1"/>
    <xf numFmtId="0" fontId="12" fillId="3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3" fontId="8" fillId="0" borderId="0" xfId="0" applyNumberFormat="1" applyFont="1" applyFill="1" applyBorder="1" applyAlignment="1">
      <alignment horizontal="center" vertical="center"/>
    </xf>
    <xf numFmtId="165" fontId="15" fillId="0" borderId="0" xfId="2" applyNumberFormat="1" applyFont="1" applyFill="1" applyBorder="1" applyAlignment="1">
      <alignment horizontal="center"/>
    </xf>
    <xf numFmtId="4" fontId="16" fillId="0" borderId="0" xfId="1" applyNumberFormat="1" applyFont="1" applyFill="1" applyBorder="1" applyAlignment="1">
      <alignment horizontal="right"/>
    </xf>
    <xf numFmtId="166" fontId="15" fillId="0" borderId="0" xfId="1" applyNumberFormat="1" applyFont="1" applyFill="1" applyBorder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wrapText="1"/>
    </xf>
    <xf numFmtId="3" fontId="15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/>
    </xf>
    <xf numFmtId="166" fontId="15" fillId="0" borderId="0" xfId="1" applyNumberFormat="1" applyFont="1" applyFill="1" applyBorder="1" applyAlignment="1">
      <alignment horizontal="right" vertical="center"/>
    </xf>
    <xf numFmtId="166" fontId="16" fillId="0" borderId="0" xfId="1" applyNumberFormat="1" applyFont="1" applyFill="1" applyBorder="1" applyAlignment="1">
      <alignment horizontal="center"/>
    </xf>
    <xf numFmtId="165" fontId="15" fillId="0" borderId="0" xfId="2" applyNumberFormat="1" applyFont="1" applyFill="1" applyBorder="1" applyAlignment="1">
      <alignment horizontal="center" vertical="center"/>
    </xf>
    <xf numFmtId="43" fontId="15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 wrapText="1"/>
    </xf>
    <xf numFmtId="4" fontId="14" fillId="0" borderId="0" xfId="2" applyNumberFormat="1" applyFont="1" applyFill="1" applyBorder="1" applyAlignment="1">
      <alignment horizontal="center" vertical="center" wrapText="1"/>
    </xf>
    <xf numFmtId="0" fontId="0" fillId="0" borderId="0" xfId="0" applyBorder="1" applyAlignment="1"/>
    <xf numFmtId="4" fontId="0" fillId="0" borderId="0" xfId="0" applyNumberFormat="1" applyBorder="1" applyAlignment="1"/>
    <xf numFmtId="3" fontId="0" fillId="0" borderId="0" xfId="0" applyNumberFormat="1" applyBorder="1" applyAlignment="1"/>
    <xf numFmtId="3" fontId="7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 vertical="center" wrapText="1"/>
    </xf>
    <xf numFmtId="3" fontId="68" fillId="0" borderId="0" xfId="0" applyNumberFormat="1" applyFont="1" applyFill="1" applyAlignment="1" applyProtection="1">
      <alignment horizontal="center" vertical="center"/>
      <protection locked="0"/>
    </xf>
    <xf numFmtId="3" fontId="68" fillId="0" borderId="0" xfId="1" applyNumberFormat="1" applyFont="1" applyFill="1" applyAlignment="1" applyProtection="1">
      <alignment horizontal="center" vertical="center"/>
      <protection locked="0"/>
    </xf>
    <xf numFmtId="3" fontId="68" fillId="0" borderId="0" xfId="2" applyNumberFormat="1" applyFont="1" applyFill="1" applyAlignment="1" applyProtection="1">
      <alignment horizontal="center" vertical="center"/>
      <protection locked="0"/>
    </xf>
    <xf numFmtId="14" fontId="14" fillId="0" borderId="0" xfId="0" applyNumberFormat="1" applyFont="1" applyFill="1" applyBorder="1" applyAlignment="1">
      <alignment horizontal="center" vertical="center" wrapText="1"/>
    </xf>
    <xf numFmtId="165" fontId="14" fillId="0" borderId="0" xfId="1" applyNumberFormat="1" applyFont="1" applyFill="1" applyBorder="1" applyAlignment="1">
      <alignment horizontal="center" vertical="center" wrapText="1"/>
    </xf>
    <xf numFmtId="2" fontId="16" fillId="0" borderId="0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4" fontId="0" fillId="0" borderId="0" xfId="1" applyNumberFormat="1" applyFont="1" applyAlignment="1">
      <alignment horizontal="center"/>
    </xf>
    <xf numFmtId="9" fontId="0" fillId="0" borderId="0" xfId="0" applyNumberFormat="1"/>
    <xf numFmtId="43" fontId="3" fillId="13" borderId="97" xfId="0" applyNumberFormat="1" applyFont="1" applyFill="1" applyBorder="1" applyAlignment="1">
      <alignment horizontal="center"/>
    </xf>
    <xf numFmtId="2" fontId="3" fillId="0" borderId="0" xfId="0" applyNumberFormat="1" applyFont="1"/>
    <xf numFmtId="0" fontId="1" fillId="0" borderId="0" xfId="0" applyNumberFormat="1" applyFont="1"/>
    <xf numFmtId="0" fontId="23" fillId="11" borderId="97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170" fontId="3" fillId="13" borderId="97" xfId="1" applyNumberFormat="1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165" fontId="16" fillId="26" borderId="216" xfId="1" applyNumberFormat="1" applyFont="1" applyFill="1" applyBorder="1" applyAlignment="1">
      <alignment horizontal="center"/>
    </xf>
    <xf numFmtId="2" fontId="0" fillId="13" borderId="0" xfId="0" applyNumberFormat="1" applyFont="1" applyFill="1" applyBorder="1" applyAlignment="1">
      <alignment horizontal="center"/>
    </xf>
    <xf numFmtId="43" fontId="16" fillId="0" borderId="0" xfId="1" applyFont="1" applyFill="1" applyBorder="1" applyAlignment="1">
      <alignment horizontal="center"/>
    </xf>
    <xf numFmtId="171" fontId="0" fillId="13" borderId="97" xfId="1" applyNumberFormat="1" applyFont="1" applyFill="1" applyBorder="1" applyAlignment="1">
      <alignment horizontal="center"/>
    </xf>
    <xf numFmtId="171" fontId="0" fillId="0" borderId="97" xfId="1" applyNumberFormat="1" applyFont="1" applyBorder="1" applyAlignment="1">
      <alignment horizontal="center"/>
    </xf>
    <xf numFmtId="3" fontId="3" fillId="0" borderId="0" xfId="0" applyNumberFormat="1" applyFont="1"/>
    <xf numFmtId="172" fontId="0" fillId="0" borderId="0" xfId="0" applyNumberFormat="1"/>
    <xf numFmtId="0" fontId="69" fillId="0" borderId="0" xfId="0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center" vertical="center"/>
    </xf>
    <xf numFmtId="3" fontId="70" fillId="0" borderId="0" xfId="0" applyNumberFormat="1" applyFont="1" applyFill="1" applyBorder="1" applyAlignment="1">
      <alignment horizontal="center" vertical="center"/>
    </xf>
    <xf numFmtId="165" fontId="71" fillId="0" borderId="0" xfId="2" applyNumberFormat="1" applyFont="1" applyFill="1" applyBorder="1" applyAlignment="1">
      <alignment horizontal="center" vertical="center"/>
    </xf>
    <xf numFmtId="4" fontId="72" fillId="0" borderId="0" xfId="1" applyNumberFormat="1" applyFont="1" applyFill="1" applyBorder="1" applyAlignment="1">
      <alignment horizontal="center"/>
    </xf>
    <xf numFmtId="165" fontId="72" fillId="0" borderId="0" xfId="1" applyNumberFormat="1" applyFont="1" applyFill="1" applyBorder="1" applyAlignment="1">
      <alignment horizontal="center"/>
    </xf>
    <xf numFmtId="4" fontId="73" fillId="0" borderId="0" xfId="0" applyNumberFormat="1" applyFont="1" applyFill="1" applyBorder="1" applyAlignment="1">
      <alignment horizontal="center" vertical="center" wrapText="1"/>
    </xf>
    <xf numFmtId="4" fontId="73" fillId="0" borderId="0" xfId="1" applyNumberFormat="1" applyFont="1" applyFill="1" applyBorder="1" applyAlignment="1">
      <alignment horizontal="center" vertical="center" wrapText="1"/>
    </xf>
    <xf numFmtId="164" fontId="73" fillId="0" borderId="0" xfId="0" applyNumberFormat="1" applyFont="1" applyFill="1" applyBorder="1" applyAlignment="1">
      <alignment horizontal="center" wrapText="1"/>
    </xf>
    <xf numFmtId="3" fontId="71" fillId="0" borderId="0" xfId="0" applyNumberFormat="1" applyFont="1" applyFill="1" applyBorder="1" applyAlignment="1">
      <alignment horizontal="center" vertical="center"/>
    </xf>
    <xf numFmtId="9" fontId="74" fillId="0" borderId="0" xfId="0" applyNumberFormat="1" applyFont="1" applyFill="1" applyBorder="1" applyAlignment="1">
      <alignment vertical="center"/>
    </xf>
    <xf numFmtId="3" fontId="71" fillId="0" borderId="0" xfId="0" applyNumberFormat="1" applyFont="1" applyFill="1" applyBorder="1" applyAlignment="1">
      <alignment vertical="center"/>
    </xf>
    <xf numFmtId="0" fontId="75" fillId="0" borderId="0" xfId="0" applyFont="1" applyFill="1" applyBorder="1" applyAlignment="1">
      <alignment horizontal="center" vertical="center"/>
    </xf>
    <xf numFmtId="3" fontId="69" fillId="0" borderId="0" xfId="0" applyNumberFormat="1" applyFont="1" applyFill="1" applyBorder="1" applyAlignment="1" applyProtection="1">
      <alignment horizontal="center" vertical="center"/>
      <protection locked="0"/>
    </xf>
    <xf numFmtId="3" fontId="69" fillId="0" borderId="0" xfId="1" applyNumberFormat="1" applyFont="1" applyFill="1" applyBorder="1" applyAlignment="1" applyProtection="1">
      <alignment horizontal="center" vertical="center"/>
      <protection locked="0"/>
    </xf>
    <xf numFmtId="0" fontId="69" fillId="0" borderId="213" xfId="0" applyFont="1" applyFill="1" applyBorder="1" applyAlignment="1">
      <alignment vertical="center"/>
    </xf>
    <xf numFmtId="0" fontId="69" fillId="0" borderId="215" xfId="0" applyFont="1" applyFill="1" applyBorder="1" applyAlignment="1">
      <alignment vertical="center"/>
    </xf>
    <xf numFmtId="0" fontId="75" fillId="0" borderId="213" xfId="0" applyFont="1" applyFill="1" applyBorder="1" applyAlignment="1">
      <alignment vertical="center"/>
    </xf>
    <xf numFmtId="0" fontId="69" fillId="0" borderId="214" xfId="0" applyFont="1" applyFill="1" applyBorder="1" applyAlignment="1" applyProtection="1">
      <alignment horizontal="center" vertical="center"/>
      <protection locked="0"/>
    </xf>
    <xf numFmtId="3" fontId="69" fillId="0" borderId="214" xfId="0" applyNumberFormat="1" applyFont="1" applyFill="1" applyBorder="1" applyAlignment="1" applyProtection="1">
      <alignment horizontal="center" vertical="center"/>
      <protection locked="0"/>
    </xf>
    <xf numFmtId="0" fontId="75" fillId="0" borderId="213" xfId="0" applyFont="1" applyFill="1" applyBorder="1" applyAlignment="1">
      <alignment horizontal="center" vertical="center"/>
    </xf>
    <xf numFmtId="0" fontId="69" fillId="0" borderId="213" xfId="0" applyFont="1" applyFill="1" applyBorder="1" applyAlignment="1" applyProtection="1">
      <alignment horizontal="center" vertical="center"/>
      <protection locked="0"/>
    </xf>
    <xf numFmtId="3" fontId="69" fillId="0" borderId="213" xfId="0" applyNumberFormat="1" applyFont="1" applyFill="1" applyBorder="1" applyAlignment="1" applyProtection="1">
      <alignment horizontal="center" vertical="center"/>
      <protection locked="0"/>
    </xf>
    <xf numFmtId="43" fontId="69" fillId="0" borderId="213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23" fillId="11" borderId="98" xfId="0" applyFont="1" applyFill="1" applyBorder="1" applyAlignment="1">
      <alignment horizontal="center"/>
    </xf>
    <xf numFmtId="0" fontId="23" fillId="11" borderId="97" xfId="0" applyFont="1" applyFill="1" applyBorder="1" applyAlignment="1">
      <alignment horizontal="center"/>
    </xf>
    <xf numFmtId="0" fontId="23" fillId="11" borderId="111" xfId="0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/>
    </xf>
    <xf numFmtId="0" fontId="23" fillId="11" borderId="162" xfId="0" applyFont="1" applyFill="1" applyBorder="1" applyAlignment="1">
      <alignment horizontal="center"/>
    </xf>
    <xf numFmtId="0" fontId="23" fillId="11" borderId="0" xfId="0" applyFont="1" applyFill="1" applyBorder="1" applyAlignment="1">
      <alignment horizontal="center"/>
    </xf>
    <xf numFmtId="0" fontId="3" fillId="17" borderId="127" xfId="0" applyFont="1" applyFill="1" applyBorder="1" applyAlignment="1">
      <alignment vertical="center"/>
    </xf>
    <xf numFmtId="0" fontId="3" fillId="17" borderId="117" xfId="0" applyFont="1" applyFill="1" applyBorder="1" applyAlignment="1">
      <alignment vertical="center"/>
    </xf>
    <xf numFmtId="0" fontId="3" fillId="17" borderId="128" xfId="0" applyFont="1" applyFill="1" applyBorder="1" applyAlignment="1">
      <alignment vertical="center"/>
    </xf>
    <xf numFmtId="0" fontId="3" fillId="17" borderId="109" xfId="0" applyFont="1" applyFill="1" applyBorder="1" applyAlignment="1">
      <alignment vertical="center"/>
    </xf>
    <xf numFmtId="0" fontId="3" fillId="17" borderId="129" xfId="0" applyFont="1" applyFill="1" applyBorder="1" applyAlignment="1">
      <alignment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8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83" xfId="0" applyFont="1" applyFill="1" applyBorder="1" applyAlignment="1">
      <alignment horizontal="center"/>
    </xf>
    <xf numFmtId="0" fontId="13" fillId="2" borderId="84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15" borderId="118" xfId="0" applyFont="1" applyFill="1" applyBorder="1" applyAlignment="1">
      <alignment vertical="center"/>
    </xf>
    <xf numFmtId="0" fontId="3" fillId="15" borderId="121" xfId="0" applyFont="1" applyFill="1" applyBorder="1" applyAlignment="1">
      <alignment vertical="center"/>
    </xf>
    <xf numFmtId="0" fontId="3" fillId="17" borderId="124" xfId="0" applyFont="1" applyFill="1" applyBorder="1" applyAlignment="1">
      <alignment vertical="center"/>
    </xf>
    <xf numFmtId="0" fontId="3" fillId="17" borderId="123" xfId="0" applyFont="1" applyFill="1" applyBorder="1" applyAlignment="1">
      <alignment vertical="center"/>
    </xf>
    <xf numFmtId="0" fontId="23" fillId="24" borderId="98" xfId="0" applyFont="1" applyFill="1" applyBorder="1" applyAlignment="1">
      <alignment horizontal="center"/>
    </xf>
    <xf numFmtId="0" fontId="23" fillId="24" borderId="97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770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* #,##0_);_(* \(#,##0\);_(* &quot;-&quot;??_);_(@_)"/>
    </dxf>
    <dxf>
      <numFmt numFmtId="166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409]dd\-mmm\-yy;@"/>
    </dxf>
    <dxf>
      <numFmt numFmtId="164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4" tint="0.39997558519241921"/>
        </right>
        <top style="thin">
          <color theme="4" tint="0.39997558519241921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thin">
          <color theme="4" tint="0.39997558519241921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/>
        <top style="double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</dxf>
    <dxf>
      <fill>
        <patternFill>
          <bgColor rgb="FFFFFF00"/>
        </patternFill>
      </fill>
    </dxf>
    <dxf>
      <numFmt numFmtId="0" formatCode="General"/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rgb="FFFFFF00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rgb="FFFFFF0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double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4" formatCode="#,##0.00"/>
    </dxf>
    <dxf>
      <numFmt numFmtId="168" formatCode="_(* #,##0.00000_);_(* \(#,##0.0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35" formatCode="_(* #,##0.00_);_(* \(#,##0.00\);_(* &quot;-&quot;??_);_(@_)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general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numFmt numFmtId="35" formatCode="_(* #,##0.00_);_(* \(#,##0.00\);_(* &quot;-&quot;??_);_(@_)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  <fill>
        <patternFill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* #,##0.0000_);_(* \(#,##0.0000\);_(* &quot;-&quot;??_);_(@_)"/>
      <fill>
        <patternFill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numFmt numFmtId="170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(* #,##0.0000_);_(* \(#,##0.0000\);_(* &quot;-&quot;??_);_(@_)"/>
    </dxf>
    <dxf>
      <numFmt numFmtId="167" formatCode="_(* #,##0.0000_);_(* \(#,##0.00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70" formatCode="0.00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1230086</xdr:colOff>
      <xdr:row>1</xdr:row>
      <xdr:rowOff>114301</xdr:rowOff>
    </xdr:from>
    <xdr:to>
      <xdr:col>59</xdr:col>
      <xdr:colOff>129606</xdr:colOff>
      <xdr:row>12</xdr:row>
      <xdr:rowOff>103037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BC7BDC-F1A5-425B-94FF-0B2B6095A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30941" y="428626"/>
          <a:ext cx="2387575" cy="1731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1230086</xdr:colOff>
      <xdr:row>1</xdr:row>
      <xdr:rowOff>114301</xdr:rowOff>
    </xdr:from>
    <xdr:to>
      <xdr:col>60</xdr:col>
      <xdr:colOff>129606</xdr:colOff>
      <xdr:row>8</xdr:row>
      <xdr:rowOff>150662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D3069-15F4-4F0F-A01B-28544D8FC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83446" y="297181"/>
          <a:ext cx="2432956" cy="1256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Copy%20of%20RESTORED-Invoices%20Status%20of%20Design%20Projects__20231102_115510%20Rev2.1%20final%20(5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Invoices"/>
      <sheetName val="Sheet2"/>
      <sheetName val="Sheet1"/>
      <sheetName val="Framwork Invoices"/>
      <sheetName val="Dorsch"/>
      <sheetName val="Dorsch2"/>
      <sheetName val="Parsons"/>
      <sheetName val="Parsons2"/>
      <sheetName val="Copy of Copy of RESTORED-Invo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0000000}" name="Wrapup31" displayName="Wrapup31" ref="A4:M20" totalsRowCount="1" headerRowDxfId="769" dataDxfId="767" headerRowBorderDxfId="768" tableBorderDxfId="766" totalsRowBorderDxfId="765">
  <autoFilter ref="A4:M19" xr:uid="{00000000-0009-0000-0100-00001E000000}">
    <filterColumn colId="1">
      <filters>
        <filter val="Ongoing"/>
      </filters>
    </filterColumn>
  </autoFilter>
  <tableColumns count="13">
    <tableColumn id="1" xr3:uid="{00000000-0010-0000-0000-000001000000}" name="Consultant" totalsRowLabel="Total" dataDxfId="764" totalsRowDxfId="763"/>
    <tableColumn id="2" xr3:uid="{00000000-0010-0000-0000-000002000000}" name="Framework status " dataDxfId="762" totalsRowDxfId="761"/>
    <tableColumn id="12" xr3:uid="{00000000-0010-0000-0000-00000C000000}" name="Framework ID" dataDxfId="760" totalsRowDxfId="759"/>
    <tableColumn id="3" xr3:uid="{00000000-0010-0000-0000-000003000000}" name="Frame Work Contract" dataDxfId="758" totalsRowDxfId="757"/>
    <tableColumn id="4" xr3:uid="{00000000-0010-0000-0000-000004000000}" name="Value" totalsRowFunction="sum" dataDxfId="756" totalsRowDxfId="755"/>
    <tableColumn id="5" xr3:uid="{00000000-0010-0000-0000-000005000000}" name="Duration" dataDxfId="754" totalsRowDxfId="753"/>
    <tableColumn id="11" xr3:uid="{00000000-0010-0000-0000-00000B000000}" name="Start Date" dataDxfId="752" totalsRowDxfId="751"/>
    <tableColumn id="6" xr3:uid="{00000000-0010-0000-0000-000006000000}" name="Finsih Date" dataDxfId="750" totalsRowDxfId="749"/>
    <tableColumn id="7" xr3:uid="{00000000-0010-0000-0000-000007000000}" name="Committed " totalsRowFunction="sum" dataDxfId="748" totalsRowDxfId="747">
      <calculatedColumnFormula>SUMIF(Maindata[Framework ID],Wrapup31[[#This Row],[Framework ID]],Maindata[Project Total amount])</calculatedColumnFormula>
    </tableColumn>
    <tableColumn id="8" xr3:uid="{00000000-0010-0000-0000-000008000000}" name="Remaining from framework" totalsRowFunction="sum" dataDxfId="746" totalsRowDxfId="745">
      <calculatedColumnFormula>E5-I5</calculatedColumnFormula>
    </tableColumn>
    <tableColumn id="9" xr3:uid="{00000000-0010-0000-0000-000009000000}" name="Invoices w/out VAT" totalsRowFunction="sum" dataDxfId="744" totalsRowDxfId="743">
      <calculatedColumnFormula>SUMIF(Currentinvoices[Framework ID],Wrapup31[[#This Row],[Framework ID]],Currentinvoices[Invoices Submitted Without VAT])</calculatedColumnFormula>
    </tableColumn>
    <tableColumn id="10" xr3:uid="{00000000-0010-0000-0000-00000A000000}" name="Earned value" totalsRowFunction="sum" dataDxfId="742" totalsRowDxfId="741" dataCellStyle="Comma">
      <calculatedColumnFormula>SUMIF(Currentinvoices[Framework ID],Wrapup31[[#This Row],[Framework ID]],Currentinvoices[Earned Value])</calculatedColumnFormula>
    </tableColumn>
    <tableColumn id="13" xr3:uid="{00000000-0010-0000-0000-00000D000000}" name="Remaining to Invoice" dataDxfId="740" totalsRowDxfId="739">
      <calculatedColumnFormula>Wrapup31[[#This Row],[Earned value]]-Wrapup31[[#This Row],[Invoices w/out VAT]]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1000000}" name="Currentinvoices" displayName="Currentinvoices" ref="A3:DK96" totalsRowShown="0" headerRowDxfId="738" dataDxfId="737">
  <autoFilter ref="A3:DK96" xr:uid="{00000000-0009-0000-0100-000022000000}"/>
  <tableColumns count="115">
    <tableColumn id="1" xr3:uid="{00000000-0010-0000-0100-000001000000}" name="Consultant" dataDxfId="736" totalsRowDxfId="735"/>
    <tableColumn id="116" xr3:uid="{00000000-0010-0000-0100-000074000000}" name="Framework ID" dataDxfId="734" totalsRowDxfId="733"/>
    <tableColumn id="2" xr3:uid="{00000000-0010-0000-0100-000002000000}" name="S/No." dataDxfId="732" totalsRowDxfId="731"/>
    <tableColumn id="3" xr3:uid="{00000000-0010-0000-0100-000003000000}" name="Projects" dataDxfId="730" totalsRowDxfId="729"/>
    <tableColumn id="4" xr3:uid="{00000000-0010-0000-0100-000004000000}" name="Project ID" dataDxfId="728" totalsRowDxfId="727"/>
    <tableColumn id="5" xr3:uid="{00000000-0010-0000-0100-000005000000}" name="Task Value" dataDxfId="726" totalsRowDxfId="725"/>
    <tableColumn id="6" xr3:uid="{00000000-0010-0000-0100-000006000000}" name="Invoice # 1 date" dataDxfId="724" totalsRowDxfId="723" dataCellStyle="Percent"/>
    <tableColumn id="7" xr3:uid="{00000000-0010-0000-0100-000007000000}" name="Invoice # 1 amount" dataDxfId="722" totalsRowDxfId="721" dataCellStyle="Comma"/>
    <tableColumn id="8" xr3:uid="{00000000-0010-0000-0100-000008000000}" name="Invoice # 1 vat" dataDxfId="720" totalsRowDxfId="719" dataCellStyle="Comma"/>
    <tableColumn id="9" xr3:uid="{00000000-0010-0000-0100-000009000000}" name="Invoice # 1 total" dataDxfId="718" totalsRowDxfId="717" dataCellStyle="Comma"/>
    <tableColumn id="10" xr3:uid="{00000000-0010-0000-0100-00000A000000}" name="Invoice # 2 date" dataDxfId="716" totalsRowDxfId="715" dataCellStyle="Comma"/>
    <tableColumn id="11" xr3:uid="{00000000-0010-0000-0100-00000B000000}" name="Invoice # 2 amount" dataDxfId="714" totalsRowDxfId="713" dataCellStyle="Comma"/>
    <tableColumn id="12" xr3:uid="{00000000-0010-0000-0100-00000C000000}" name="Invoice # 2 vat" dataDxfId="712" totalsRowDxfId="711" dataCellStyle="Comma"/>
    <tableColumn id="13" xr3:uid="{00000000-0010-0000-0100-00000D000000}" name="Invoice # 2 total" dataDxfId="710" totalsRowDxfId="709" dataCellStyle="Comma"/>
    <tableColumn id="14" xr3:uid="{00000000-0010-0000-0100-00000E000000}" name="Invoice # 3 date" dataDxfId="708" totalsRowDxfId="707" dataCellStyle="Comma"/>
    <tableColumn id="15" xr3:uid="{00000000-0010-0000-0100-00000F000000}" name="Invoice # 3 amount" dataDxfId="706" totalsRowDxfId="705" dataCellStyle="Comma"/>
    <tableColumn id="16" xr3:uid="{00000000-0010-0000-0100-000010000000}" name="Invoice # 3 vat" dataDxfId="704" totalsRowDxfId="703" dataCellStyle="Comma"/>
    <tableColumn id="17" xr3:uid="{00000000-0010-0000-0100-000011000000}" name="Invoice # 3 total" dataDxfId="702" totalsRowDxfId="701" dataCellStyle="Comma"/>
    <tableColumn id="18" xr3:uid="{00000000-0010-0000-0100-000012000000}" name="Invoice # 4 date" dataDxfId="700" totalsRowDxfId="699" dataCellStyle="Comma"/>
    <tableColumn id="19" xr3:uid="{00000000-0010-0000-0100-000013000000}" name="Invoice # 4 amount" dataDxfId="698" totalsRowDxfId="697" dataCellStyle="Comma"/>
    <tableColumn id="20" xr3:uid="{00000000-0010-0000-0100-000014000000}" name="Invoice # 4 vat" dataDxfId="696" totalsRowDxfId="695" dataCellStyle="Comma"/>
    <tableColumn id="21" xr3:uid="{00000000-0010-0000-0100-000015000000}" name="Invoice # 4 total" dataDxfId="694" totalsRowDxfId="693" dataCellStyle="Comma"/>
    <tableColumn id="22" xr3:uid="{00000000-0010-0000-0100-000016000000}" name="Invoice # 5 date" dataDxfId="692" totalsRowDxfId="691" dataCellStyle="Comma"/>
    <tableColumn id="23" xr3:uid="{00000000-0010-0000-0100-000017000000}" name="Invoice # 5 amount" dataDxfId="690" totalsRowDxfId="689" dataCellStyle="Comma"/>
    <tableColumn id="24" xr3:uid="{00000000-0010-0000-0100-000018000000}" name="Invoice # 5 vat" dataDxfId="688" totalsRowDxfId="687" dataCellStyle="Comma"/>
    <tableColumn id="25" xr3:uid="{00000000-0010-0000-0100-000019000000}" name="Invoice # 5 total" dataDxfId="686" totalsRowDxfId="685" dataCellStyle="Comma"/>
    <tableColumn id="26" xr3:uid="{00000000-0010-0000-0100-00001A000000}" name="Invoice # 6 date" dataDxfId="684" totalsRowDxfId="683" dataCellStyle="Comma"/>
    <tableColumn id="27" xr3:uid="{00000000-0010-0000-0100-00001B000000}" name="Invoice # 6 amount" dataDxfId="682" totalsRowDxfId="681" dataCellStyle="Comma"/>
    <tableColumn id="28" xr3:uid="{00000000-0010-0000-0100-00001C000000}" name="Invoice # 6 vat" dataDxfId="680" totalsRowDxfId="679" dataCellStyle="Comma"/>
    <tableColumn id="29" xr3:uid="{00000000-0010-0000-0100-00001D000000}" name="Invoice # 6 total" dataDxfId="678" totalsRowDxfId="677" dataCellStyle="Comma"/>
    <tableColumn id="30" xr3:uid="{00000000-0010-0000-0100-00001E000000}" name="Invoice # 7 date" dataDxfId="676" totalsRowDxfId="675" dataCellStyle="Comma"/>
    <tableColumn id="31" xr3:uid="{00000000-0010-0000-0100-00001F000000}" name="Invoice # 7 amount" dataDxfId="674" totalsRowDxfId="673" dataCellStyle="Comma"/>
    <tableColumn id="32" xr3:uid="{00000000-0010-0000-0100-000020000000}" name="Invoice # 7 vat" dataDxfId="672" totalsRowDxfId="671" dataCellStyle="Comma"/>
    <tableColumn id="33" xr3:uid="{00000000-0010-0000-0100-000021000000}" name="Invoice # 7 total" dataDxfId="670" totalsRowDxfId="669" dataCellStyle="Comma"/>
    <tableColumn id="34" xr3:uid="{00000000-0010-0000-0100-000022000000}" name="Invoice # 8 date" dataDxfId="668" totalsRowDxfId="667" dataCellStyle="Comma"/>
    <tableColumn id="35" xr3:uid="{00000000-0010-0000-0100-000023000000}" name="Invoice # 8 amount" dataDxfId="666" totalsRowDxfId="665" dataCellStyle="Comma"/>
    <tableColumn id="36" xr3:uid="{00000000-0010-0000-0100-000024000000}" name="Invoice # 8 vat" dataDxfId="664" totalsRowDxfId="663" dataCellStyle="Comma"/>
    <tableColumn id="37" xr3:uid="{00000000-0010-0000-0100-000025000000}" name="Invoice # 8 total" dataDxfId="662" totalsRowDxfId="661"/>
    <tableColumn id="38" xr3:uid="{00000000-0010-0000-0100-000026000000}" name="Invoice # 9 date" dataDxfId="660" totalsRowDxfId="659"/>
    <tableColumn id="39" xr3:uid="{00000000-0010-0000-0100-000027000000}" name="Invoice # 9 amount" dataDxfId="658" totalsRowDxfId="657"/>
    <tableColumn id="40" xr3:uid="{00000000-0010-0000-0100-000028000000}" name="Invoice # 9 vat" dataDxfId="656" totalsRowDxfId="655"/>
    <tableColumn id="41" xr3:uid="{00000000-0010-0000-0100-000029000000}" name="Invoice # 9 total" dataDxfId="654" totalsRowDxfId="653"/>
    <tableColumn id="42" xr3:uid="{00000000-0010-0000-0100-00002A000000}" name="Invoice # 10 date" dataDxfId="652" totalsRowDxfId="651"/>
    <tableColumn id="43" xr3:uid="{00000000-0010-0000-0100-00002B000000}" name="Invoice # 10 amount" dataDxfId="650" totalsRowDxfId="649"/>
    <tableColumn id="44" xr3:uid="{00000000-0010-0000-0100-00002C000000}" name="Invoice # 10 vat" dataDxfId="648" totalsRowDxfId="647"/>
    <tableColumn id="45" xr3:uid="{00000000-0010-0000-0100-00002D000000}" name="Invoice # 10 total" dataDxfId="646" totalsRowDxfId="645"/>
    <tableColumn id="46" xr3:uid="{00000000-0010-0000-0100-00002E000000}" name="Invoice # 11 date" dataDxfId="644" totalsRowDxfId="643"/>
    <tableColumn id="47" xr3:uid="{00000000-0010-0000-0100-00002F000000}" name="Invoice # 11 amount" dataDxfId="642" totalsRowDxfId="641"/>
    <tableColumn id="48" xr3:uid="{00000000-0010-0000-0100-000030000000}" name="Invoice # 11 vat" dataDxfId="640" totalsRowDxfId="639"/>
    <tableColumn id="49" xr3:uid="{00000000-0010-0000-0100-000031000000}" name="Invoice # 11 total" dataDxfId="638" totalsRowDxfId="637"/>
    <tableColumn id="50" xr3:uid="{00000000-0010-0000-0100-000032000000}" name="Invoice # 12 date" dataDxfId="636" totalsRowDxfId="635"/>
    <tableColumn id="51" xr3:uid="{00000000-0010-0000-0100-000033000000}" name="Invoice # 12 amount" dataDxfId="634" totalsRowDxfId="633"/>
    <tableColumn id="52" xr3:uid="{00000000-0010-0000-0100-000034000000}" name="Invoice # 12 vat" dataDxfId="632" totalsRowDxfId="631"/>
    <tableColumn id="53" xr3:uid="{00000000-0010-0000-0100-000035000000}" name="Invoice # 12 total" dataDxfId="630" totalsRowDxfId="629"/>
    <tableColumn id="54" xr3:uid="{00000000-0010-0000-0100-000036000000}" name="Invoice # 13 date" dataDxfId="628" totalsRowDxfId="627"/>
    <tableColumn id="55" xr3:uid="{00000000-0010-0000-0100-000037000000}" name="Invoice # 13 amount" dataDxfId="626" totalsRowDxfId="625"/>
    <tableColumn id="56" xr3:uid="{00000000-0010-0000-0100-000038000000}" name="Invoice # 13 vat" dataDxfId="624" totalsRowDxfId="623"/>
    <tableColumn id="57" xr3:uid="{00000000-0010-0000-0100-000039000000}" name="Invoice # 13 total" dataDxfId="622" totalsRowDxfId="621"/>
    <tableColumn id="58" xr3:uid="{00000000-0010-0000-0100-00003A000000}" name="Invoice # 14 date" dataDxfId="620" totalsRowDxfId="619"/>
    <tableColumn id="59" xr3:uid="{00000000-0010-0000-0100-00003B000000}" name="Invoice # 14 amount" dataDxfId="618" totalsRowDxfId="617"/>
    <tableColumn id="60" xr3:uid="{00000000-0010-0000-0100-00003C000000}" name="Invoice # 14 vat" dataDxfId="616" totalsRowDxfId="615"/>
    <tableColumn id="61" xr3:uid="{00000000-0010-0000-0100-00003D000000}" name="Invoice # 14 total" dataDxfId="614" totalsRowDxfId="613"/>
    <tableColumn id="62" xr3:uid="{00000000-0010-0000-0100-00003E000000}" name="Invoice # 15 date" dataDxfId="612" totalsRowDxfId="611"/>
    <tableColumn id="63" xr3:uid="{00000000-0010-0000-0100-00003F000000}" name="Invoice # 15 amount" dataDxfId="610" totalsRowDxfId="609"/>
    <tableColumn id="64" xr3:uid="{00000000-0010-0000-0100-000040000000}" name="Invoice # 15 vat" dataDxfId="608" totalsRowDxfId="607"/>
    <tableColumn id="65" xr3:uid="{00000000-0010-0000-0100-000041000000}" name="Invoice # 15 total" dataDxfId="606" totalsRowDxfId="605"/>
    <tableColumn id="66" xr3:uid="{00000000-0010-0000-0100-000042000000}" name="Invoice # 16 date" dataDxfId="604" totalsRowDxfId="603"/>
    <tableColumn id="67" xr3:uid="{00000000-0010-0000-0100-000043000000}" name="Invoice # 16 amount" dataDxfId="602" totalsRowDxfId="601"/>
    <tableColumn id="68" xr3:uid="{00000000-0010-0000-0100-000044000000}" name="Invoice # 16 vat" dataDxfId="600" totalsRowDxfId="599"/>
    <tableColumn id="69" xr3:uid="{00000000-0010-0000-0100-000045000000}" name="Invoice # 16 total" dataDxfId="598" totalsRowDxfId="597" dataCellStyle="Comma"/>
    <tableColumn id="70" xr3:uid="{00000000-0010-0000-0100-000046000000}" name="Invoice # 17 date" dataDxfId="596" totalsRowDxfId="595" dataCellStyle="Comma"/>
    <tableColumn id="71" xr3:uid="{00000000-0010-0000-0100-000047000000}" name="Invoice # 17 amount" dataDxfId="594" totalsRowDxfId="593" dataCellStyle="Comma"/>
    <tableColumn id="72" xr3:uid="{00000000-0010-0000-0100-000048000000}" name="Invoice # 17 vat" dataDxfId="592" totalsRowDxfId="591" dataCellStyle="Comma"/>
    <tableColumn id="73" xr3:uid="{00000000-0010-0000-0100-000049000000}" name="Invoice # 17 total" dataDxfId="590" totalsRowDxfId="589" dataCellStyle="Comma"/>
    <tableColumn id="74" xr3:uid="{00000000-0010-0000-0100-00004A000000}" name="Invoice # 18 date" dataDxfId="588" totalsRowDxfId="587"/>
    <tableColumn id="75" xr3:uid="{00000000-0010-0000-0100-00004B000000}" name="Invoice # 18 amount" dataDxfId="586" totalsRowDxfId="585"/>
    <tableColumn id="76" xr3:uid="{00000000-0010-0000-0100-00004C000000}" name="Invoice # 18 vat" dataDxfId="584" totalsRowDxfId="583"/>
    <tableColumn id="77" xr3:uid="{00000000-0010-0000-0100-00004D000000}" name="Invoice # 18 total" dataDxfId="582" totalsRowDxfId="581" dataCellStyle="Comma"/>
    <tableColumn id="78" xr3:uid="{00000000-0010-0000-0100-00004E000000}" name="Invoice # 19 date" dataDxfId="580" totalsRowDxfId="579" dataCellStyle="Comma"/>
    <tableColumn id="79" xr3:uid="{00000000-0010-0000-0100-00004F000000}" name="Invoice # 19 amount" dataDxfId="578" totalsRowDxfId="577" dataCellStyle="Comma"/>
    <tableColumn id="80" xr3:uid="{00000000-0010-0000-0100-000050000000}" name="Invoice # 19 vat" dataDxfId="576" totalsRowDxfId="575" dataCellStyle="Comma"/>
    <tableColumn id="81" xr3:uid="{00000000-0010-0000-0100-000051000000}" name="Invoice # 19 total" dataDxfId="574" totalsRowDxfId="573" dataCellStyle="Comma"/>
    <tableColumn id="82" xr3:uid="{00000000-0010-0000-0100-000052000000}" name="Invoice # 20 date" dataDxfId="572" totalsRowDxfId="571" dataCellStyle="Comma"/>
    <tableColumn id="83" xr3:uid="{00000000-0010-0000-0100-000053000000}" name="Invoice # 20 amount" dataDxfId="570" totalsRowDxfId="569" dataCellStyle="Comma"/>
    <tableColumn id="84" xr3:uid="{00000000-0010-0000-0100-000054000000}" name="Invoice # 20 vat" dataDxfId="568" totalsRowDxfId="567" dataCellStyle="Comma"/>
    <tableColumn id="85" xr3:uid="{00000000-0010-0000-0100-000055000000}" name="Invoice # 20 total" dataDxfId="566" totalsRowDxfId="565" dataCellStyle="Comma"/>
    <tableColumn id="86" xr3:uid="{00000000-0010-0000-0100-000056000000}" name="Invoice # 21 date" dataDxfId="564" totalsRowDxfId="563" dataCellStyle="Comma"/>
    <tableColumn id="87" xr3:uid="{00000000-0010-0000-0100-000057000000}" name="Invoice # 21 amount" dataDxfId="562" totalsRowDxfId="561" dataCellStyle="Comma"/>
    <tableColumn id="88" xr3:uid="{00000000-0010-0000-0100-000058000000}" name="Invoice # 21 vat" dataDxfId="560" totalsRowDxfId="559" dataCellStyle="Comma"/>
    <tableColumn id="89" xr3:uid="{00000000-0010-0000-0100-000059000000}" name="Invoice # 21 total" dataDxfId="558" totalsRowDxfId="557" dataCellStyle="Comma"/>
    <tableColumn id="90" xr3:uid="{00000000-0010-0000-0100-00005A000000}" name="Invoice # 22 date" dataDxfId="556" totalsRowDxfId="555" dataCellStyle="Comma"/>
    <tableColumn id="91" xr3:uid="{00000000-0010-0000-0100-00005B000000}" name="Invoice # 22 amount" dataDxfId="554" totalsRowDxfId="553" dataCellStyle="Comma"/>
    <tableColumn id="92" xr3:uid="{00000000-0010-0000-0100-00005C000000}" name="Invoice # 22 vat" dataDxfId="552" totalsRowDxfId="551" dataCellStyle="Comma"/>
    <tableColumn id="93" xr3:uid="{00000000-0010-0000-0100-00005D000000}" name="Invoice # 22 total" dataDxfId="550" totalsRowDxfId="549" dataCellStyle="Comma"/>
    <tableColumn id="94" xr3:uid="{00000000-0010-0000-0100-00005E000000}" name="Invoice # 23 date" dataDxfId="548" totalsRowDxfId="547" dataCellStyle="Comma"/>
    <tableColumn id="95" xr3:uid="{00000000-0010-0000-0100-00005F000000}" name="Invoice # 23 amount" dataDxfId="546" totalsRowDxfId="545" dataCellStyle="Comma"/>
    <tableColumn id="96" xr3:uid="{00000000-0010-0000-0100-000060000000}" name="Invoice # 23 vat" dataDxfId="544" totalsRowDxfId="543" dataCellStyle="Comma"/>
    <tableColumn id="97" xr3:uid="{00000000-0010-0000-0100-000061000000}" name="Invoice # 23 total" dataDxfId="542" totalsRowDxfId="541" dataCellStyle="Comma"/>
    <tableColumn id="98" xr3:uid="{00000000-0010-0000-0100-000062000000}" name="Invoice # 24 date" dataDxfId="540" totalsRowDxfId="539" dataCellStyle="Comma"/>
    <tableColumn id="99" xr3:uid="{00000000-0010-0000-0100-000063000000}" name="Invoice # 24 amount" dataDxfId="538" totalsRowDxfId="537" dataCellStyle="Comma"/>
    <tableColumn id="100" xr3:uid="{00000000-0010-0000-0100-000064000000}" name="Invoice # 24 vat" dataDxfId="536" totalsRowDxfId="535" dataCellStyle="Comma"/>
    <tableColumn id="101" xr3:uid="{00000000-0010-0000-0100-000065000000}" name="Invoice # 24 total" dataDxfId="534" totalsRowDxfId="533" dataCellStyle="Comma"/>
    <tableColumn id="102" xr3:uid="{00000000-0010-0000-0100-000066000000}" name="Invoice # 25 date" dataDxfId="532" totalsRowDxfId="531" dataCellStyle="Comma"/>
    <tableColumn id="103" xr3:uid="{00000000-0010-0000-0100-000067000000}" name="Invoice # 25 amount" dataDxfId="530" totalsRowDxfId="529" dataCellStyle="Comma"/>
    <tableColumn id="104" xr3:uid="{00000000-0010-0000-0100-000068000000}" name="Invoice # 25 vat" dataDxfId="528" totalsRowDxfId="527" dataCellStyle="Comma"/>
    <tableColumn id="105" xr3:uid="{00000000-0010-0000-0100-000069000000}" name="Invoice # 25 total" dataDxfId="526" totalsRowDxfId="525" dataCellStyle="Comma"/>
    <tableColumn id="106" xr3:uid="{00000000-0010-0000-0100-00006A000000}" name="Remarks" dataDxfId="524" totalsRowDxfId="523"/>
    <tableColumn id="107" xr3:uid="{00000000-0010-0000-0100-00006B000000}" name="Task Value2" dataDxfId="522" totalsRowDxfId="521"/>
    <tableColumn id="108" xr3:uid="{00000000-0010-0000-0100-00006C000000}" name="VAT" dataDxfId="520" totalsRowDxfId="519"/>
    <tableColumn id="109" xr3:uid="{00000000-0010-0000-0100-00006D000000}" name="Total" dataDxfId="518" totalsRowDxfId="517"/>
    <tableColumn id="110" xr3:uid="{00000000-0010-0000-0100-00006E000000}" name="Invoices Submitted Without VAT" dataDxfId="516" totalsRowDxfId="515">
      <calculatedColumnFormula>SUMPRODUCT((MOD(COLUMN(G4:DB4)-COLUMN(G4),4)=1)*G4:DB4)</calculatedColumnFormula>
    </tableColumn>
    <tableColumn id="111" xr3:uid="{00000000-0010-0000-0100-00006F000000}" name="Invoices Submitted With VAT" dataDxfId="514" totalsRowDxfId="513">
      <calculatedColumnFormula>SUMPRODUCT((MOD(COLUMN(G4:DB4)-COLUMN(H4),4)=2)*G4:DB4)</calculatedColumnFormula>
    </tableColumn>
    <tableColumn id="112" xr3:uid="{00000000-0010-0000-0100-000070000000}" name="% Completion" dataDxfId="512" totalsRowDxfId="511"/>
    <tableColumn id="113" xr3:uid="{00000000-0010-0000-0100-000071000000}" name="Earned Value" dataDxfId="510" totalsRowDxfId="509"/>
    <tableColumn id="114" xr3:uid="{00000000-0010-0000-0100-000072000000}" name="Remaining Value" dataDxfId="508" totalsRowDxfId="507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2000000}" name="Maindata" displayName="Maindata" ref="A1:H64" totalsRowShown="0" headerRowDxfId="506">
  <autoFilter ref="A1:H64" xr:uid="{00000000-0009-0000-0100-000021000000}"/>
  <tableColumns count="8">
    <tableColumn id="1" xr3:uid="{00000000-0010-0000-0200-000001000000}" name="Framework name"/>
    <tableColumn id="2" xr3:uid="{00000000-0010-0000-0200-000002000000}" name="Framework ID"/>
    <tableColumn id="3" xr3:uid="{00000000-0010-0000-0200-000003000000}" name="Framework Total amount"/>
    <tableColumn id="7" xr3:uid="{00000000-0010-0000-0200-000007000000}" name="Framework Status"/>
    <tableColumn id="4" xr3:uid="{00000000-0010-0000-0200-000004000000}" name="Project Name"/>
    <tableColumn id="8" xr3:uid="{00000000-0010-0000-0200-000008000000}" name="Project status"/>
    <tableColumn id="5" xr3:uid="{00000000-0010-0000-0200-000005000000}" name="Project ID"/>
    <tableColumn id="6" xr3:uid="{00000000-0010-0000-0200-000006000000}" name="Project Total 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6:S17" totalsRowShown="0">
  <autoFilter ref="G6:S17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13">
    <tableColumn id="1" xr3:uid="{00000000-0010-0000-0300-000001000000}" name="Description"/>
    <tableColumn id="2" xr3:uid="{00000000-0010-0000-0300-000002000000}" name="Category" dataDxfId="505"/>
    <tableColumn id="9" xr3:uid="{00000000-0010-0000-0300-000009000000}" name="Total Quantity" dataDxfId="504" dataCellStyle="Comma"/>
    <tableColumn id="10" xr3:uid="{00000000-0010-0000-0300-00000A000000}" name="Remaining quantity" dataDxfId="503" dataCellStyle="Comma">
      <calculatedColumnFormula>Table5[[#This Row],[Total Quantity]]-Table5[[#This Row],[Quantity]]-Table5[[#This Row],[Quantity2]]</calculatedColumnFormula>
    </tableColumn>
    <tableColumn id="3" xr3:uid="{00000000-0010-0000-0300-000003000000}" name="Rate" dataDxfId="502"/>
    <tableColumn id="4" xr3:uid="{00000000-0010-0000-0300-000004000000}" name="Quantity" dataDxfId="501"/>
    <tableColumn id="5" xr3:uid="{00000000-0010-0000-0300-000005000000}" name="Amount" dataDxfId="500" dataCellStyle="Comma">
      <calculatedColumnFormula>Table5[[#This Row],[Quantity2]]*Table5[[#This Row],[Rate]]</calculatedColumnFormula>
    </tableColumn>
    <tableColumn id="6" xr3:uid="{00000000-0010-0000-0300-000006000000}" name="Quantity2" dataDxfId="499" dataCellStyle="Comma"/>
    <tableColumn id="7" xr3:uid="{00000000-0010-0000-0300-000007000000}" name="Amount3" dataDxfId="498" dataCellStyle="Comma"/>
    <tableColumn id="8" xr3:uid="{00000000-0010-0000-0300-000008000000}" name="Quantity3"/>
    <tableColumn id="11" xr3:uid="{00000000-0010-0000-0300-00000B000000}" name="Amount4"/>
    <tableColumn id="12" xr3:uid="{00000000-0010-0000-0300-00000C000000}" name="Quantity25"/>
    <tableColumn id="13" xr3:uid="{00000000-0010-0000-0300-00000D000000}" name="Amount36" dataDxfId="497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57" displayName="Table57" ref="G21:W32" totalsRowShown="0">
  <autoFilter ref="G21:W32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7">
    <tableColumn id="1" xr3:uid="{00000000-0010-0000-0400-000001000000}" name="Description"/>
    <tableColumn id="2" xr3:uid="{00000000-0010-0000-0400-000002000000}" name="Category" dataDxfId="496"/>
    <tableColumn id="9" xr3:uid="{00000000-0010-0000-0400-000009000000}" name="Total Quantity" dataDxfId="495"/>
    <tableColumn id="10" xr3:uid="{00000000-0010-0000-0400-00000A000000}" name="Remaining quantity" dataDxfId="494">
      <calculatedColumnFormula>Table57[[#This Row],[Total Quantity]]-Table57[[#This Row],[Quantity2222]]</calculatedColumnFormula>
    </tableColumn>
    <tableColumn id="3" xr3:uid="{00000000-0010-0000-0400-000003000000}" name="Rate" dataDxfId="493"/>
    <tableColumn id="4" xr3:uid="{00000000-0010-0000-0400-000004000000}" name="Quantity" dataDxfId="492"/>
    <tableColumn id="5" xr3:uid="{00000000-0010-0000-0400-000005000000}" name="Amount" dataDxfId="491" dataCellStyle="Comma">
      <calculatedColumnFormula>Table57[[#This Row],[Quantity2222]]*Table57[[#This Row],[Rate]]</calculatedColumnFormula>
    </tableColumn>
    <tableColumn id="6" xr3:uid="{00000000-0010-0000-0400-000006000000}" name="Quantity2" dataDxfId="490" dataCellStyle="Comma"/>
    <tableColumn id="7" xr3:uid="{00000000-0010-0000-0400-000007000000}" name="Amount3" dataDxfId="489" dataCellStyle="Comma"/>
    <tableColumn id="8" xr3:uid="{00000000-0010-0000-0400-000008000000}" name="Quantity22" dataDxfId="488" dataCellStyle="Comma"/>
    <tableColumn id="11" xr3:uid="{00000000-0010-0000-0400-00000B000000}" name="Amount33" dataDxfId="487" dataCellStyle="Comma"/>
    <tableColumn id="12" xr3:uid="{00000000-0010-0000-0400-00000C000000}" name="Column1" dataDxfId="486" dataCellStyle="Comma"/>
    <tableColumn id="13" xr3:uid="{00000000-0010-0000-0400-00000D000000}" name="Column2" dataDxfId="485" dataCellStyle="Comma"/>
    <tableColumn id="14" xr3:uid="{00000000-0010-0000-0400-00000E000000}" name="Quantity2222" dataDxfId="484" dataCellStyle="Comma"/>
    <tableColumn id="15" xr3:uid="{00000000-0010-0000-0400-00000F000000}" name="Amount3333" dataDxfId="483" dataCellStyle="Comma"/>
    <tableColumn id="16" xr3:uid="{00000000-0010-0000-0400-000010000000}" name="Quantity22222" dataDxfId="482" dataCellStyle="Comma"/>
    <tableColumn id="17" xr3:uid="{00000000-0010-0000-0400-000011000000}" name="Amount33333" dataDxfId="481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578" displayName="Table578" ref="G36:Q47" totalsRowShown="0">
  <autoFilter ref="G36:Q47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500-000001000000}" name="Description"/>
    <tableColumn id="2" xr3:uid="{00000000-0010-0000-0500-000002000000}" name="Category" dataDxfId="480"/>
    <tableColumn id="9" xr3:uid="{00000000-0010-0000-0500-000009000000}" name="Total Quantity" dataDxfId="479"/>
    <tableColumn id="10" xr3:uid="{00000000-0010-0000-0500-00000A000000}" name="Remaining quantity" dataDxfId="478">
      <calculatedColumnFormula>Table578[[#This Row],[Total Quantity]]-Table578[[#This Row],[Quantity2]]</calculatedColumnFormula>
    </tableColumn>
    <tableColumn id="3" xr3:uid="{00000000-0010-0000-0500-000003000000}" name="Rate" dataDxfId="477"/>
    <tableColumn id="4" xr3:uid="{00000000-0010-0000-0500-000004000000}" name="Quantity" dataDxfId="476"/>
    <tableColumn id="5" xr3:uid="{00000000-0010-0000-0500-000005000000}" name="Amount" dataDxfId="475" dataCellStyle="Comma">
      <calculatedColumnFormula>Table578[[#This Row],[Quantity2]]*Table578[[#This Row],[Rate]]</calculatedColumnFormula>
    </tableColumn>
    <tableColumn id="6" xr3:uid="{00000000-0010-0000-0500-000006000000}" name="Quantity2" dataDxfId="474" dataCellStyle="Comma"/>
    <tableColumn id="7" xr3:uid="{00000000-0010-0000-0500-000007000000}" name="Amount3" dataDxfId="473" dataCellStyle="Comma"/>
    <tableColumn id="8" xr3:uid="{00000000-0010-0000-0500-000008000000}" name="Quantity22"/>
    <tableColumn id="11" xr3:uid="{00000000-0010-0000-0500-00000B000000}" name="Amount33" dataDxfId="4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57811" displayName="Table57811" ref="G53:Q64" totalsRowShown="0">
  <autoFilter ref="G53:Q64" xr:uid="{00000000-0009-0000-0100-00000A000000}"/>
  <tableColumns count="11">
    <tableColumn id="1" xr3:uid="{00000000-0010-0000-0600-000001000000}" name="Description"/>
    <tableColumn id="2" xr3:uid="{00000000-0010-0000-0600-000002000000}" name="Category" dataDxfId="471"/>
    <tableColumn id="9" xr3:uid="{00000000-0010-0000-0600-000009000000}" name="Total Quantity" dataDxfId="470"/>
    <tableColumn id="10" xr3:uid="{00000000-0010-0000-0600-00000A000000}" name="Remaining quantity" dataDxfId="469">
      <calculatedColumnFormula>Table57811[[#This Row],[Total Quantity]]-Table57811[[#This Row],[Quantity2]]</calculatedColumnFormula>
    </tableColumn>
    <tableColumn id="3" xr3:uid="{00000000-0010-0000-0600-000003000000}" name="Rate" dataDxfId="468"/>
    <tableColumn id="4" xr3:uid="{00000000-0010-0000-0600-000004000000}" name="Quantity" dataDxfId="467"/>
    <tableColumn id="5" xr3:uid="{00000000-0010-0000-0600-000005000000}" name="Amount" dataDxfId="466" dataCellStyle="Comma">
      <calculatedColumnFormula>Table57811[[#This Row],[Quantity2]]*Table57811[[#This Row],[Rate]]</calculatedColumnFormula>
    </tableColumn>
    <tableColumn id="6" xr3:uid="{00000000-0010-0000-0600-000006000000}" name="Quantity2" dataDxfId="465" dataCellStyle="Comma"/>
    <tableColumn id="7" xr3:uid="{00000000-0010-0000-0600-000007000000}" name="Amount3" dataDxfId="464" dataCellStyle="Comma"/>
    <tableColumn id="8" xr3:uid="{00000000-0010-0000-0600-000008000000}" name="Quantity22"/>
    <tableColumn id="11" xr3:uid="{00000000-0010-0000-0600-00000B000000}" name="Amount33" dataDxfId="46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5716" displayName="Table5716" ref="G71:Q82" totalsRowShown="0">
  <autoFilter ref="G71:Q82" xr:uid="{00000000-0009-0000-0100-00000F000000}"/>
  <tableColumns count="11">
    <tableColumn id="1" xr3:uid="{00000000-0010-0000-0700-000001000000}" name="Description"/>
    <tableColumn id="2" xr3:uid="{00000000-0010-0000-0700-000002000000}" name="Category" dataDxfId="462"/>
    <tableColumn id="9" xr3:uid="{00000000-0010-0000-0700-000009000000}" name="Total Quantity" dataDxfId="461"/>
    <tableColumn id="10" xr3:uid="{00000000-0010-0000-0700-00000A000000}" name="Remaining quantity" dataDxfId="460">
      <calculatedColumnFormula>Table5716[[#This Row],[Total Quantity]]-Table5716[[#This Row],[Quantity22]]</calculatedColumnFormula>
    </tableColumn>
    <tableColumn id="3" xr3:uid="{00000000-0010-0000-0700-000003000000}" name="Rate" dataDxfId="459"/>
    <tableColumn id="4" xr3:uid="{00000000-0010-0000-0700-000004000000}" name="Quantity" dataDxfId="458"/>
    <tableColumn id="5" xr3:uid="{00000000-0010-0000-0700-000005000000}" name="Amount" dataDxfId="457" dataCellStyle="Comma">
      <calculatedColumnFormula>Table5716[[#This Row],[Quantity]]*Table5716[[#This Row],[Rate]]</calculatedColumnFormula>
    </tableColumn>
    <tableColumn id="6" xr3:uid="{00000000-0010-0000-0700-000006000000}" name="Quantity2" dataDxfId="456" dataCellStyle="Comma"/>
    <tableColumn id="7" xr3:uid="{00000000-0010-0000-0700-000007000000}" name="Amount3" dataDxfId="455" dataCellStyle="Comma">
      <calculatedColumnFormula>Table5716[[#This Row],[Quantity2]]*Table5716[[#This Row],[Rate]]</calculatedColumnFormula>
    </tableColumn>
    <tableColumn id="8" xr3:uid="{00000000-0010-0000-0700-000008000000}" name="Quantity22" dataDxfId="454" dataCellStyle="Comma"/>
    <tableColumn id="11" xr3:uid="{00000000-0010-0000-0700-00000B000000}" name="Amount33" dataDxfId="453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e571617" displayName="Table571617" ref="G90:S101" totalsRowShown="0">
  <autoFilter ref="G90:S101" xr:uid="{00000000-0009-0000-0100-000010000000}"/>
  <tableColumns count="13">
    <tableColumn id="1" xr3:uid="{00000000-0010-0000-0800-000001000000}" name="Description"/>
    <tableColumn id="2" xr3:uid="{00000000-0010-0000-0800-000002000000}" name="Category" dataDxfId="452"/>
    <tableColumn id="9" xr3:uid="{00000000-0010-0000-0800-000009000000}" name="Total Quantity" dataDxfId="451"/>
    <tableColumn id="10" xr3:uid="{00000000-0010-0000-0800-00000A000000}" name="Remaining quantity" dataDxfId="450">
      <calculatedColumnFormula>Table571617[[#This Row],[Total Quantity]]-Table571617[[#This Row],[Quantity22]]</calculatedColumnFormula>
    </tableColumn>
    <tableColumn id="3" xr3:uid="{00000000-0010-0000-0800-000003000000}" name="Rate" dataDxfId="449"/>
    <tableColumn id="4" xr3:uid="{00000000-0010-0000-0800-000004000000}" name="Quantity" dataDxfId="448"/>
    <tableColumn id="5" xr3:uid="{00000000-0010-0000-0800-000005000000}" name="Amount" dataDxfId="447" dataCellStyle="Comma">
      <calculatedColumnFormula>Table571617[[#This Row],[Quantity]]*Table571617[[#This Row],[Rate]]</calculatedColumnFormula>
    </tableColumn>
    <tableColumn id="6" xr3:uid="{00000000-0010-0000-0800-000006000000}" name="Quantity2" dataDxfId="446" dataCellStyle="Comma"/>
    <tableColumn id="7" xr3:uid="{00000000-0010-0000-0800-000007000000}" name="Amount3" dataDxfId="445" dataCellStyle="Comma">
      <calculatedColumnFormula>Table571617[[#This Row],[Quantity2]]*Table571617[[#This Row],[Rate]]</calculatedColumnFormula>
    </tableColumn>
    <tableColumn id="8" xr3:uid="{00000000-0010-0000-0800-000008000000}" name="Quantity22" dataDxfId="444" dataCellStyle="Comma"/>
    <tableColumn id="11" xr3:uid="{00000000-0010-0000-0800-00000B000000}" name="Amount33" dataDxfId="443" dataCellStyle="Comma"/>
    <tableColumn id="12" xr3:uid="{00000000-0010-0000-0800-00000C000000}" name="Quantity222"/>
    <tableColumn id="13" xr3:uid="{00000000-0010-0000-0800-00000D000000}" name="Amount333" dataDxfId="442">
      <calculatedColumnFormula>Table571617[[#This Row],[Quantity222]]*Table571617[[#This Row],[Rate]]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9000000}" name="Table57161718" displayName="Table57161718" ref="G113:U124" totalsRowShown="0">
  <autoFilter ref="G113:U124" xr:uid="{00000000-0009-0000-0100-000011000000}"/>
  <tableColumns count="15">
    <tableColumn id="1" xr3:uid="{00000000-0010-0000-0900-000001000000}" name="Description"/>
    <tableColumn id="2" xr3:uid="{00000000-0010-0000-0900-000002000000}" name="Category" dataDxfId="441"/>
    <tableColumn id="9" xr3:uid="{00000000-0010-0000-0900-000009000000}" name="Total Quantity" dataDxfId="440"/>
    <tableColumn id="10" xr3:uid="{00000000-0010-0000-0900-00000A000000}" name="Remaining quantity" dataDxfId="439">
      <calculatedColumnFormula>Table57161718[[#This Row],[Total Quantity]]-Table57161718[[#This Row],[Quantity22]]</calculatedColumnFormula>
    </tableColumn>
    <tableColumn id="3" xr3:uid="{00000000-0010-0000-0900-000003000000}" name="Rate" dataDxfId="438"/>
    <tableColumn id="4" xr3:uid="{00000000-0010-0000-0900-000004000000}" name="Quantity" dataDxfId="437"/>
    <tableColumn id="5" xr3:uid="{00000000-0010-0000-0900-000005000000}" name="Amount" dataDxfId="436" dataCellStyle="Comma">
      <calculatedColumnFormula>Table57161718[[#This Row],[Quantity]]*Table57161718[[#This Row],[Rate]]</calculatedColumnFormula>
    </tableColumn>
    <tableColumn id="6" xr3:uid="{00000000-0010-0000-0900-000006000000}" name="Quantity2" dataDxfId="435" dataCellStyle="Comma"/>
    <tableColumn id="7" xr3:uid="{00000000-0010-0000-0900-000007000000}" name="Amount3" dataDxfId="434" dataCellStyle="Comma">
      <calculatedColumnFormula>Table57161718[[#This Row],[Quantity2]]*Table57161718[[#This Row],[Rate]]</calculatedColumnFormula>
    </tableColumn>
    <tableColumn id="8" xr3:uid="{00000000-0010-0000-0900-000008000000}" name="Quantity22" dataDxfId="433" dataCellStyle="Comma"/>
    <tableColumn id="11" xr3:uid="{00000000-0010-0000-0900-00000B000000}" name="Amount33" dataDxfId="432" dataCellStyle="Comma"/>
    <tableColumn id="12" xr3:uid="{00000000-0010-0000-0900-00000C000000}" name="Quantity222"/>
    <tableColumn id="13" xr3:uid="{00000000-0010-0000-0900-00000D000000}" name="Amount333" dataDxfId="431">
      <calculatedColumnFormula>Table57161718[[#This Row],[Quantity222]]*Table57161718[[#This Row],[Rate]]</calculatedColumnFormula>
    </tableColumn>
    <tableColumn id="14" xr3:uid="{00000000-0010-0000-0900-00000E000000}" name="Column1"/>
    <tableColumn id="15" xr3:uid="{00000000-0010-0000-0900-00000F000000}" name="Column2" dataDxfId="4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Table5716171819" displayName="Table5716171819" ref="G135:W146" totalsRowShown="0">
  <autoFilter ref="G135:W146" xr:uid="{00000000-0009-0000-0100-000012000000}"/>
  <tableColumns count="17">
    <tableColumn id="1" xr3:uid="{00000000-0010-0000-0A00-000001000000}" name="Description"/>
    <tableColumn id="2" xr3:uid="{00000000-0010-0000-0A00-000002000000}" name="Category" dataDxfId="429"/>
    <tableColumn id="9" xr3:uid="{00000000-0010-0000-0A00-000009000000}" name="Total Quantity" dataDxfId="428"/>
    <tableColumn id="10" xr3:uid="{00000000-0010-0000-0A00-00000A000000}" name="Remaining quantity" dataDxfId="427">
      <calculatedColumnFormula>Table5716171819[[#This Row],[Total Quantity]]-Table5716171819[[#This Row],[Column1]]</calculatedColumnFormula>
    </tableColumn>
    <tableColumn id="3" xr3:uid="{00000000-0010-0000-0A00-000003000000}" name="Rate" dataDxfId="426"/>
    <tableColumn id="4" xr3:uid="{00000000-0010-0000-0A00-000004000000}" name="Quantity" dataDxfId="425"/>
    <tableColumn id="5" xr3:uid="{00000000-0010-0000-0A00-000005000000}" name="Amount" dataDxfId="424" dataCellStyle="Comma">
      <calculatedColumnFormula>Table5716171819[[#This Row],[Quantity]]*Table5716171819[[#This Row],[Rate]]</calculatedColumnFormula>
    </tableColumn>
    <tableColumn id="6" xr3:uid="{00000000-0010-0000-0A00-000006000000}" name="Quantity2" dataDxfId="423" dataCellStyle="Comma"/>
    <tableColumn id="7" xr3:uid="{00000000-0010-0000-0A00-000007000000}" name="Amount3" dataDxfId="422" dataCellStyle="Comma">
      <calculatedColumnFormula>Table5716171819[[#This Row],[Quantity2]]*Table5716171819[[#This Row],[Rate]]</calculatedColumnFormula>
    </tableColumn>
    <tableColumn id="8" xr3:uid="{00000000-0010-0000-0A00-000008000000}" name="Column1" dataDxfId="421" dataCellStyle="Comma"/>
    <tableColumn id="11" xr3:uid="{00000000-0010-0000-0A00-00000B000000}" name="Column2" dataDxfId="420" dataCellStyle="Comma"/>
    <tableColumn id="12" xr3:uid="{00000000-0010-0000-0A00-00000C000000}" name="Quantity222"/>
    <tableColumn id="13" xr3:uid="{00000000-0010-0000-0A00-00000D000000}" name="Amount333" dataDxfId="419"/>
    <tableColumn id="14" xr3:uid="{00000000-0010-0000-0A00-00000E000000}" name="Column3"/>
    <tableColumn id="15" xr3:uid="{00000000-0010-0000-0A00-00000F000000}" name="Column4" dataDxfId="418">
      <calculatedColumnFormula>Table5716171819[[#This Row],[Column3]]*Table5716171819[[#This Row],[Rate]]</calculatedColumnFormula>
    </tableColumn>
    <tableColumn id="16" xr3:uid="{00000000-0010-0000-0A00-000010000000}" name="Column5"/>
    <tableColumn id="17" xr3:uid="{00000000-0010-0000-0A00-000011000000}" name="Column6" dataDxfId="417">
      <calculatedColumnFormula>Table5716171819[[#This Row],[Column5]]*Table5716171819[[#This Row],[Rate]]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B000000}" name="Table571617181921" displayName="Table571617181921" ref="G154:V166" totalsRowCount="1">
  <autoFilter ref="G154:V165" xr:uid="{00000000-0009-0000-0100-000014000000}"/>
  <tableColumns count="16">
    <tableColumn id="1" xr3:uid="{00000000-0010-0000-0B00-000001000000}" name="Description"/>
    <tableColumn id="2" xr3:uid="{00000000-0010-0000-0B00-000002000000}" name="Category" dataDxfId="416" totalsRowDxfId="415"/>
    <tableColumn id="9" xr3:uid="{00000000-0010-0000-0B00-000009000000}" name="Total Quantity" dataDxfId="414" totalsRowDxfId="413"/>
    <tableColumn id="10" xr3:uid="{00000000-0010-0000-0B00-00000A000000}" name="Remaining quantity" dataDxfId="412" totalsRowDxfId="411">
      <calculatedColumnFormula>Table571617181921[[#This Row],[Total Quantity]]-Table571617181921[[#This Row],[Column1]]</calculatedColumnFormula>
    </tableColumn>
    <tableColumn id="3" xr3:uid="{00000000-0010-0000-0B00-000003000000}" name="Rate" dataDxfId="410" totalsRowDxfId="409"/>
    <tableColumn id="4" xr3:uid="{00000000-0010-0000-0B00-000004000000}" name="Quantity" dataDxfId="408" totalsRowDxfId="407"/>
    <tableColumn id="5" xr3:uid="{00000000-0010-0000-0B00-000005000000}" name="Amount" dataDxfId="406" totalsRowDxfId="405" dataCellStyle="Comma">
      <calculatedColumnFormula>Table571617181921[[#This Row],[Quantity]]*Table571617181921[[#This Row],[Rate]]</calculatedColumnFormula>
    </tableColumn>
    <tableColumn id="6" xr3:uid="{00000000-0010-0000-0B00-000006000000}" name="Quantity2" dataDxfId="404" totalsRowDxfId="403" dataCellStyle="Comma"/>
    <tableColumn id="7" xr3:uid="{00000000-0010-0000-0B00-000007000000}" name="Amount3" dataDxfId="402" totalsRowDxfId="401" dataCellStyle="Comma">
      <calculatedColumnFormula>Table571617181921[[#This Row],[Quantity2]]*Table571617181921[[#This Row],[Rate]]</calculatedColumnFormula>
    </tableColumn>
    <tableColumn id="8" xr3:uid="{00000000-0010-0000-0B00-000008000000}" name="Column1" dataDxfId="400" totalsRowDxfId="399" dataCellStyle="Comma"/>
    <tableColumn id="11" xr3:uid="{00000000-0010-0000-0B00-00000B000000}" name="Column2" dataDxfId="398" totalsRowDxfId="397" dataCellStyle="Comma"/>
    <tableColumn id="12" xr3:uid="{00000000-0010-0000-0B00-00000C000000}" name="Quantity222"/>
    <tableColumn id="13" xr3:uid="{00000000-0010-0000-0B00-00000D000000}" name="Amount333" dataDxfId="396"/>
    <tableColumn id="14" xr3:uid="{00000000-0010-0000-0B00-00000E000000}" name="Column3"/>
    <tableColumn id="15" xr3:uid="{00000000-0010-0000-0B00-00000F000000}" name="Column4" totalsRowFunction="custom" dataDxfId="395" totalsRowDxfId="394">
      <calculatedColumnFormula>Table571617181921[[#This Row],[Column3]]*Table571617181921[[#This Row],[Rate]]</calculatedColumnFormula>
      <totalsRowFormula>SUBTOTAL(109,U159:U164)</totalsRowFormula>
    </tableColumn>
    <tableColumn id="16" xr3:uid="{00000000-0010-0000-0B00-000010000000}" name="Column5" dataDxfId="39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C000000}" name="Table57161718192123" displayName="Table57161718192123" ref="G172:W183" totalsRowShown="0">
  <autoFilter ref="G172:W183" xr:uid="{00000000-0009-0000-0100-000016000000}"/>
  <tableColumns count="17">
    <tableColumn id="1" xr3:uid="{00000000-0010-0000-0C00-000001000000}" name="Description"/>
    <tableColumn id="2" xr3:uid="{00000000-0010-0000-0C00-000002000000}" name="Category" dataDxfId="392"/>
    <tableColumn id="9" xr3:uid="{00000000-0010-0000-0C00-000009000000}" name="Total Quantity" dataDxfId="391"/>
    <tableColumn id="10" xr3:uid="{00000000-0010-0000-0C00-00000A000000}" name="Remaining quantity" dataDxfId="390">
      <calculatedColumnFormula>Table57161718192123[[#This Row],[Total Quantity]]-Table57161718192123[[#This Row],[Column1]]</calculatedColumnFormula>
    </tableColumn>
    <tableColumn id="3" xr3:uid="{00000000-0010-0000-0C00-000003000000}" name="Rate" dataDxfId="389"/>
    <tableColumn id="4" xr3:uid="{00000000-0010-0000-0C00-000004000000}" name="Quantity" dataDxfId="388"/>
    <tableColumn id="5" xr3:uid="{00000000-0010-0000-0C00-000005000000}" name="Amount" dataDxfId="387" dataCellStyle="Comma">
      <calculatedColumnFormula>Table57161718192123[[#This Row],[Quantity]]*Table57161718192123[[#This Row],[Rate]]</calculatedColumnFormula>
    </tableColumn>
    <tableColumn id="6" xr3:uid="{00000000-0010-0000-0C00-000006000000}" name="Quantity2" dataDxfId="386" dataCellStyle="Comma"/>
    <tableColumn id="7" xr3:uid="{00000000-0010-0000-0C00-000007000000}" name="Amount3" dataDxfId="385" dataCellStyle="Comma">
      <calculatedColumnFormula>Table57161718192123[[#This Row],[Quantity2]]*Table57161718192123[[#This Row],[Rate]]</calculatedColumnFormula>
    </tableColumn>
    <tableColumn id="8" xr3:uid="{00000000-0010-0000-0C00-000008000000}" name="Column1" dataDxfId="384" dataCellStyle="Comma"/>
    <tableColumn id="11" xr3:uid="{00000000-0010-0000-0C00-00000B000000}" name="Column2" dataDxfId="383" dataCellStyle="Comma"/>
    <tableColumn id="12" xr3:uid="{00000000-0010-0000-0C00-00000C000000}" name="Quantity222"/>
    <tableColumn id="13" xr3:uid="{00000000-0010-0000-0C00-00000D000000}" name="Amount333" dataDxfId="382"/>
    <tableColumn id="14" xr3:uid="{00000000-0010-0000-0C00-00000E000000}" name="Column3"/>
    <tableColumn id="15" xr3:uid="{00000000-0010-0000-0C00-00000F000000}" name="Column4" dataDxfId="381"/>
    <tableColumn id="16" xr3:uid="{00000000-0010-0000-0C00-000010000000}" name="Quantity223" dataDxfId="380"/>
    <tableColumn id="17" xr3:uid="{00000000-0010-0000-0C00-000011000000}" name="Amount334" dataDxfId="379">
      <calculatedColumnFormula>Table57161718192123[[#This Row],[Quantity223]]*Table57161718192123[[#This Row],[Rate]]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D000000}" name="Table52529" displayName="Table52529" ref="G6:S14" totalsRowCount="1">
  <autoFilter ref="G6:S13" xr:uid="{00000000-0009-0000-0100-00001C000000}"/>
  <tableColumns count="13">
    <tableColumn id="1" xr3:uid="{00000000-0010-0000-0D00-000001000000}" name="Description"/>
    <tableColumn id="2" xr3:uid="{00000000-0010-0000-0D00-000002000000}" name="Category" dataDxfId="378" totalsRowDxfId="377"/>
    <tableColumn id="9" xr3:uid="{00000000-0010-0000-0D00-000009000000}" name="Total Quantity" dataDxfId="376" totalsRowDxfId="375" dataCellStyle="Comma"/>
    <tableColumn id="10" xr3:uid="{00000000-0010-0000-0D00-00000A000000}" name="Remaining quantity" dataDxfId="374" totalsRowDxfId="373" dataCellStyle="Comma">
      <calculatedColumnFormula>Table52529[[#This Row],[Total Quantity]]-#REF!-Table52529[[#This Row],[Quantity2]]</calculatedColumnFormula>
    </tableColumn>
    <tableColumn id="3" xr3:uid="{00000000-0010-0000-0D00-000003000000}" name="Rate" dataDxfId="372" totalsRowDxfId="371"/>
    <tableColumn id="5" xr3:uid="{00000000-0010-0000-0D00-000005000000}" name="Amount" dataDxfId="370" totalsRowDxfId="369" dataCellStyle="Comma">
      <calculatedColumnFormula>Table52529[[#This Row],[Rate]]*#REF!</calculatedColumnFormula>
    </tableColumn>
    <tableColumn id="6" xr3:uid="{00000000-0010-0000-0D00-000006000000}" name="Quantity2" dataDxfId="368" totalsRowDxfId="367" dataCellStyle="Comma">
      <calculatedColumnFormula>Table52529[[#This Row],[Amount]]*Table52529[[#This Row],[Rate]]</calculatedColumnFormula>
    </tableColumn>
    <tableColumn id="7" xr3:uid="{00000000-0010-0000-0D00-000007000000}" name="Amount3" dataDxfId="366" totalsRowDxfId="365" dataCellStyle="Comma"/>
    <tableColumn id="8" xr3:uid="{00000000-0010-0000-0D00-000008000000}" name="Amount36" dataDxfId="364">
      <calculatedColumnFormula>Table52529[[#This Row],[Amount3]]*Table52529[[#This Row],[Rate]]</calculatedColumnFormula>
    </tableColumn>
    <tableColumn id="11" xr3:uid="{00000000-0010-0000-0D00-00000B000000}" name="Quantity25"/>
    <tableColumn id="12" xr3:uid="{00000000-0010-0000-0D00-00000C000000}" name="Amount363" dataDxfId="363" totalsRowDxfId="362">
      <calculatedColumnFormula>Table52529[[#This Row],[Quantity25]]*Table52529[[#This Row],[Rate]]</calculatedColumnFormula>
    </tableColumn>
    <tableColumn id="4" xr3:uid="{00000000-0010-0000-0D00-000004000000}" name="Quantity26"/>
    <tableColumn id="13" xr3:uid="{00000000-0010-0000-0D00-00000D000000}" name="Amount364" dataDxfId="361">
      <calculatedColumnFormula>Table52529[[#This Row],[Quantity26]]*Table52529[[#This Row],[Rate]]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Table525" displayName="Table525" ref="G8:S15" totalsRowShown="0">
  <autoFilter ref="G8:S15" xr:uid="{00000000-0009-0000-0100-000018000000}"/>
  <tableColumns count="13">
    <tableColumn id="1" xr3:uid="{00000000-0010-0000-0E00-000001000000}" name="Description"/>
    <tableColumn id="2" xr3:uid="{00000000-0010-0000-0E00-000002000000}" name="Category" dataDxfId="360"/>
    <tableColumn id="9" xr3:uid="{00000000-0010-0000-0E00-000009000000}" name="Total Quantity" dataDxfId="359" dataCellStyle="Comma"/>
    <tableColumn id="10" xr3:uid="{00000000-0010-0000-0E00-00000A000000}" name="Remaining quantity" dataDxfId="358" dataCellStyle="Comma">
      <calculatedColumnFormula>Table525[[#This Row],[Total Quantity]]-Table525[[#This Row],[Quantity]]-Table525[[#This Row],[Quantity2]]</calculatedColumnFormula>
    </tableColumn>
    <tableColumn id="3" xr3:uid="{00000000-0010-0000-0E00-000003000000}" name="Rate" dataDxfId="357"/>
    <tableColumn id="4" xr3:uid="{00000000-0010-0000-0E00-000004000000}" name="Quantity" dataDxfId="356"/>
    <tableColumn id="5" xr3:uid="{00000000-0010-0000-0E00-000005000000}" name="Amount" dataDxfId="355" dataCellStyle="Comma">
      <calculatedColumnFormula>Table525[[#This Row],[Rate]]*Table525[[#This Row],[Quantity]]</calculatedColumnFormula>
    </tableColumn>
    <tableColumn id="6" xr3:uid="{00000000-0010-0000-0E00-000006000000}" name="Quantity2" dataDxfId="354" dataCellStyle="Comma"/>
    <tableColumn id="7" xr3:uid="{00000000-0010-0000-0E00-000007000000}" name="Amount3" dataDxfId="353" dataCellStyle="Comma"/>
    <tableColumn id="8" xr3:uid="{00000000-0010-0000-0E00-000008000000}" name="Quantity3"/>
    <tableColumn id="11" xr3:uid="{00000000-0010-0000-0E00-00000B000000}" name="Amount4"/>
    <tableColumn id="12" xr3:uid="{00000000-0010-0000-0E00-00000C000000}" name="Quantity25"/>
    <tableColumn id="13" xr3:uid="{00000000-0010-0000-0E00-00000D000000}" name="Amount36" dataDxfId="352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F000000}" name="Table52526" displayName="Table52526" ref="G24:U32" totalsRowCount="1">
  <autoFilter ref="G24:U31" xr:uid="{00000000-0009-0000-0100-000019000000}"/>
  <tableColumns count="15">
    <tableColumn id="1" xr3:uid="{00000000-0010-0000-0F00-000001000000}" name="Description" totalsRowDxfId="351"/>
    <tableColumn id="2" xr3:uid="{00000000-0010-0000-0F00-000002000000}" name="Category" dataDxfId="350" totalsRowDxfId="349"/>
    <tableColumn id="9" xr3:uid="{00000000-0010-0000-0F00-000009000000}" name="Total Quantity" dataDxfId="348" totalsRowDxfId="347" dataCellStyle="Comma"/>
    <tableColumn id="10" xr3:uid="{00000000-0010-0000-0F00-00000A000000}" name="Remaining quantity" dataDxfId="346" totalsRowDxfId="345" dataCellStyle="Comma">
      <calculatedColumnFormula>Table52526[[#This Row],[Total Quantity]]-Table52526[[#This Row],[Quantity]]-Table52526[[#This Row],[Quantity2]]-Table52526[[#This Row],[Quantity25]]-Table52526[[#This Row],[Quantity26]]</calculatedColumnFormula>
    </tableColumn>
    <tableColumn id="3" xr3:uid="{00000000-0010-0000-0F00-000003000000}" name="Rate" dataDxfId="344" totalsRowDxfId="343"/>
    <tableColumn id="4" xr3:uid="{00000000-0010-0000-0F00-000004000000}" name="Quantity" dataDxfId="342" totalsRowDxfId="341"/>
    <tableColumn id="5" xr3:uid="{00000000-0010-0000-0F00-000005000000}" name="Amount" totalsRowFunction="custom" dataDxfId="340" totalsRowDxfId="339" dataCellStyle="Comma">
      <calculatedColumnFormula>Table52526[[#This Row],[Rate]]*Table52526[[#This Row],[Quantity]]</calculatedColumnFormula>
      <totalsRowFormula>M31+O31</totalsRowFormula>
    </tableColumn>
    <tableColumn id="6" xr3:uid="{00000000-0010-0000-0F00-000006000000}" name="Quantity2" dataDxfId="338" totalsRowDxfId="337" dataCellStyle="Comma"/>
    <tableColumn id="7" xr3:uid="{00000000-0010-0000-0F00-000007000000}" name="Amount3" dataDxfId="336" totalsRowDxfId="335" dataCellStyle="Comma"/>
    <tableColumn id="8" xr3:uid="{00000000-0010-0000-0F00-000008000000}" name="Quantity3" totalsRowDxfId="334"/>
    <tableColumn id="11" xr3:uid="{00000000-0010-0000-0F00-00000B000000}" name="Amount4" totalsRowDxfId="333"/>
    <tableColumn id="12" xr3:uid="{00000000-0010-0000-0F00-00000C000000}" name="Quantity25" dataDxfId="332" totalsRowDxfId="331"/>
    <tableColumn id="13" xr3:uid="{00000000-0010-0000-0F00-00000D000000}" name="Amount36" dataDxfId="330" totalsRowDxfId="329" dataCellStyle="Comma"/>
    <tableColumn id="14" xr3:uid="{00000000-0010-0000-0F00-00000E000000}" name="Quantity26" totalsRowDxfId="328"/>
    <tableColumn id="15" xr3:uid="{00000000-0010-0000-0F00-00000F000000}" name="Amount38" dataDxfId="327" totalsRowDxfId="326">
      <calculatedColumnFormula>Table52526[[#This Row],[Quantity26]]*Table52526[[#This Row],[Rate]]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Table5252624" displayName="Table5252624" ref="G35:Y43" totalsRowCount="1">
  <autoFilter ref="G35:Y42" xr:uid="{00000000-0009-0000-0100-000017000000}"/>
  <tableColumns count="19">
    <tableColumn id="1" xr3:uid="{00000000-0010-0000-1000-000001000000}" name="Description"/>
    <tableColumn id="2" xr3:uid="{00000000-0010-0000-1000-000002000000}" name="Category" dataDxfId="325" totalsRowDxfId="324"/>
    <tableColumn id="9" xr3:uid="{00000000-0010-0000-1000-000009000000}" name="Total Quantity" dataDxfId="323" totalsRowDxfId="322" dataCellStyle="Comma"/>
    <tableColumn id="10" xr3:uid="{00000000-0010-0000-1000-00000A000000}" name="Remaining quantity" dataDxfId="321" totalsRowDxfId="320" dataCellStyle="Comma"/>
    <tableColumn id="3" xr3:uid="{00000000-0010-0000-1000-000003000000}" name="Rate" dataDxfId="319" totalsRowDxfId="318"/>
    <tableColumn id="4" xr3:uid="{00000000-0010-0000-1000-000004000000}" name="Quantity" dataDxfId="317" totalsRowDxfId="316"/>
    <tableColumn id="5" xr3:uid="{00000000-0010-0000-1000-000005000000}" name="Amount" dataDxfId="315" totalsRowDxfId="314" dataCellStyle="Comma"/>
    <tableColumn id="6" xr3:uid="{00000000-0010-0000-1000-000006000000}" name="Quantity2" dataDxfId="313" totalsRowDxfId="312" dataCellStyle="Comma"/>
    <tableColumn id="7" xr3:uid="{00000000-0010-0000-1000-000007000000}" name="Amount3" dataDxfId="311" totalsRowDxfId="310" dataCellStyle="Comma"/>
    <tableColumn id="8" xr3:uid="{00000000-0010-0000-1000-000008000000}" name="Quantity3"/>
    <tableColumn id="11" xr3:uid="{00000000-0010-0000-1000-00000B000000}" name="Amount4"/>
    <tableColumn id="12" xr3:uid="{00000000-0010-0000-1000-00000C000000}" name="Quantity25"/>
    <tableColumn id="13" xr3:uid="{00000000-0010-0000-1000-00000D000000}" name="Amount36" dataDxfId="309" totalsRowDxfId="308" dataCellStyle="Comma"/>
    <tableColumn id="14" xr3:uid="{00000000-0010-0000-1000-00000E000000}" name="Amount37"/>
    <tableColumn id="15" xr3:uid="{00000000-0010-0000-1000-00000F000000}" name="Amount38"/>
    <tableColumn id="16" xr3:uid="{00000000-0010-0000-1000-000010000000}" name="Amount39"/>
    <tableColumn id="17" xr3:uid="{00000000-0010-0000-1000-000011000000}" name="Amount40" dataDxfId="307" totalsRowDxfId="306">
      <calculatedColumnFormula>SUM(W30:W35)</calculatedColumnFormula>
    </tableColumn>
    <tableColumn id="18" xr3:uid="{00000000-0010-0000-1000-000012000000}" name="Amount41"/>
    <tableColumn id="19" xr3:uid="{00000000-0010-0000-1000-000013000000}" name="Amount42" dataDxfId="305">
      <calculatedColumnFormula>Table5252624[[#This Row],[Amount41]]*Table5252624[[#This Row],[Rate]]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1000000}" name="Table525262427" displayName="Table525262427" ref="G48:Y55" totalsRowShown="0">
  <autoFilter ref="G48:Y55" xr:uid="{00000000-0009-0000-0100-00001A000000}"/>
  <tableColumns count="19">
    <tableColumn id="1" xr3:uid="{00000000-0010-0000-1100-000001000000}" name="Description"/>
    <tableColumn id="2" xr3:uid="{00000000-0010-0000-1100-000002000000}" name="Category" dataDxfId="304"/>
    <tableColumn id="9" xr3:uid="{00000000-0010-0000-1100-000009000000}" name="Total Quantity" dataDxfId="303" dataCellStyle="Comma"/>
    <tableColumn id="10" xr3:uid="{00000000-0010-0000-1100-00000A000000}" name="Remaining quantity" dataDxfId="302" dataCellStyle="Comma"/>
    <tableColumn id="3" xr3:uid="{00000000-0010-0000-1100-000003000000}" name="Rate" dataDxfId="301"/>
    <tableColumn id="4" xr3:uid="{00000000-0010-0000-1100-000004000000}" name="Quantity" dataDxfId="300"/>
    <tableColumn id="5" xr3:uid="{00000000-0010-0000-1100-000005000000}" name="Amount" dataDxfId="299" dataCellStyle="Comma"/>
    <tableColumn id="6" xr3:uid="{00000000-0010-0000-1100-000006000000}" name="Quantity2" dataDxfId="298" dataCellStyle="Comma"/>
    <tableColumn id="7" xr3:uid="{00000000-0010-0000-1100-000007000000}" name="Amount3" dataDxfId="297" dataCellStyle="Comma"/>
    <tableColumn id="8" xr3:uid="{00000000-0010-0000-1100-000008000000}" name="Quantity3"/>
    <tableColumn id="11" xr3:uid="{00000000-0010-0000-1100-00000B000000}" name="Amount4" dataDxfId="296" dataCellStyle="Comma"/>
    <tableColumn id="12" xr3:uid="{00000000-0010-0000-1100-00000C000000}" name="Quantity25"/>
    <tableColumn id="13" xr3:uid="{00000000-0010-0000-1100-00000D000000}" name="Amount36" dataDxfId="295" dataCellStyle="Comma"/>
    <tableColumn id="14" xr3:uid="{00000000-0010-0000-1100-00000E000000}" name="Amount37"/>
    <tableColumn id="15" xr3:uid="{00000000-0010-0000-1100-00000F000000}" name="Amount38"/>
    <tableColumn id="16" xr3:uid="{00000000-0010-0000-1100-000010000000}" name="Amount39"/>
    <tableColumn id="17" xr3:uid="{00000000-0010-0000-1100-000011000000}" name="Amount40" dataDxfId="294">
      <calculatedColumnFormula>Table525262427[[#This Row],[Amount39]]*Table525262427[[#This Row],[Rate]]</calculatedColumnFormula>
    </tableColumn>
    <tableColumn id="18" xr3:uid="{00000000-0010-0000-1100-000012000000}" name="Amount41"/>
    <tableColumn id="19" xr3:uid="{00000000-0010-0000-1100-000013000000}" name="Amount42" dataDxfId="293">
      <calculatedColumnFormula>Table525262427[[#This Row],[Amount41]]*Table525262427[[#This Row],[Rate]]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12000000}" name="Wrapup" displayName="Wrapup" ref="C4:M19" totalsRowShown="0" headerRowDxfId="292" dataDxfId="290" headerRowBorderDxfId="291" tableBorderDxfId="289" totalsRowBorderDxfId="288">
  <autoFilter ref="C4:M1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1200-000001000000}" name="Consultant" dataDxfId="287"/>
    <tableColumn id="2" xr3:uid="{00000000-0010-0000-1200-000002000000}" name="Column1" dataDxfId="286"/>
    <tableColumn id="3" xr3:uid="{00000000-0010-0000-1200-000003000000}" name="Frame Work Contract" dataDxfId="285"/>
    <tableColumn id="4" xr3:uid="{00000000-0010-0000-1200-000004000000}" name="Value" dataDxfId="284"/>
    <tableColumn id="5" xr3:uid="{00000000-0010-0000-1200-000005000000}" name="Duration" dataDxfId="283"/>
    <tableColumn id="11" xr3:uid="{00000000-0010-0000-1200-00000B000000}" name="Start Date" dataDxfId="282"/>
    <tableColumn id="6" xr3:uid="{00000000-0010-0000-1200-000006000000}" name="Finsih Date2" dataDxfId="281"/>
    <tableColumn id="7" xr3:uid="{00000000-0010-0000-1200-000007000000}" name="Committed " dataDxfId="280"/>
    <tableColumn id="8" xr3:uid="{00000000-0010-0000-1200-000008000000}" name="remaining from framework" dataDxfId="279">
      <calculatedColumnFormula>F5-J5</calculatedColumnFormula>
    </tableColumn>
    <tableColumn id="9" xr3:uid="{00000000-0010-0000-1200-000009000000}" name="Invoices w/out VAT" dataDxfId="278">
      <calculatedColumnFormula>#REF!</calculatedColumnFormula>
    </tableColumn>
    <tableColumn id="10" xr3:uid="{00000000-0010-0000-1200-00000A000000}" name="Earned value" dataDxfId="277" dataCellStyle="Comma">
      <calculatedColumnFormula>#REF!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3000000}" name="Detailed" displayName="Detailed" ref="A26:DM145" totalsRowShown="0" headerRowDxfId="276" tableBorderDxfId="275">
  <autoFilter ref="A26:DM145" xr:uid="{00000000-0009-0000-0100-000003000000}">
    <filterColumn colId="116">
      <filters blank="1">
        <filter val="1,011,591"/>
        <filter val="1,320,174"/>
        <filter val="1,347,302"/>
        <filter val="1,571,248"/>
        <filter val="1,861,761"/>
        <filter val="1,969,900"/>
        <filter val="125,000"/>
        <filter val="2,640,348"/>
        <filter val="216,999"/>
        <filter val="245,948"/>
        <filter val="251,110"/>
        <filter val="3,399,566"/>
        <filter val="324,331"/>
        <filter val="556,501"/>
        <filter val="622,597"/>
        <filter val="64,091"/>
        <filter val="667,615"/>
        <filter val="765,643"/>
        <filter val="899,170"/>
        <filter val="92,175"/>
        <filter val="Remaining Value"/>
      </filters>
    </filterColumn>
  </autoFilter>
  <tableColumns count="117">
    <tableColumn id="1" xr3:uid="{00000000-0010-0000-1300-000001000000}" name="Consultant" dataDxfId="274"/>
    <tableColumn id="2" xr3:uid="{00000000-0010-0000-1300-000002000000}" name="NO." dataDxfId="273"/>
    <tableColumn id="3" xr3:uid="{00000000-0010-0000-1300-000003000000}" name="Projects" dataDxfId="272"/>
    <tableColumn id="4" xr3:uid="{00000000-0010-0000-1300-000004000000}" name="Column1" dataDxfId="271"/>
    <tableColumn id="5" xr3:uid="{00000000-0010-0000-1300-000005000000}" name="Column2" dataDxfId="270"/>
    <tableColumn id="6" xr3:uid="{00000000-0010-0000-1300-000006000000}" name="Column3" dataDxfId="269"/>
    <tableColumn id="7" xr3:uid="{00000000-0010-0000-1300-000007000000}" name="Column4" dataDxfId="268"/>
    <tableColumn id="8" xr3:uid="{00000000-0010-0000-1300-000008000000}" name="Column8" dataDxfId="267"/>
    <tableColumn id="9" xr3:uid="{00000000-0010-0000-1300-000009000000}" name="Column9" dataDxfId="266" dataCellStyle="Percent"/>
    <tableColumn id="10" xr3:uid="{00000000-0010-0000-1300-00000A000000}" name="Column10" dataDxfId="265" dataCellStyle="Comma"/>
    <tableColumn id="11" xr3:uid="{00000000-0010-0000-1300-00000B000000}" name="Column11" dataDxfId="264" dataCellStyle="Comma"/>
    <tableColumn id="12" xr3:uid="{00000000-0010-0000-1300-00000C000000}" name="Column12" dataDxfId="263" dataCellStyle="Comma"/>
    <tableColumn id="13" xr3:uid="{00000000-0010-0000-1300-00000D000000}" name="Column13" dataDxfId="262" dataCellStyle="Comma"/>
    <tableColumn id="14" xr3:uid="{00000000-0010-0000-1300-00000E000000}" name="Column14" dataDxfId="261" dataCellStyle="Comma"/>
    <tableColumn id="15" xr3:uid="{00000000-0010-0000-1300-00000F000000}" name="Column15" dataDxfId="260" dataCellStyle="Comma"/>
    <tableColumn id="16" xr3:uid="{00000000-0010-0000-1300-000010000000}" name="Column16" dataDxfId="259" dataCellStyle="Comma"/>
    <tableColumn id="17" xr3:uid="{00000000-0010-0000-1300-000011000000}" name="Column17" dataDxfId="258" dataCellStyle="Comma"/>
    <tableColumn id="18" xr3:uid="{00000000-0010-0000-1300-000012000000}" name="Column18" dataDxfId="257" dataCellStyle="Comma"/>
    <tableColumn id="19" xr3:uid="{00000000-0010-0000-1300-000013000000}" name="Column19" dataDxfId="256" dataCellStyle="Comma"/>
    <tableColumn id="20" xr3:uid="{00000000-0010-0000-1300-000014000000}" name="Column20" dataDxfId="255" dataCellStyle="Comma"/>
    <tableColumn id="21" xr3:uid="{00000000-0010-0000-1300-000015000000}" name="Column21" dataDxfId="254" dataCellStyle="Comma"/>
    <tableColumn id="22" xr3:uid="{00000000-0010-0000-1300-000016000000}" name="Column22" dataDxfId="253" dataCellStyle="Comma"/>
    <tableColumn id="23" xr3:uid="{00000000-0010-0000-1300-000017000000}" name="Column23" dataDxfId="252" dataCellStyle="Comma"/>
    <tableColumn id="24" xr3:uid="{00000000-0010-0000-1300-000018000000}" name="Column24" dataDxfId="251" dataCellStyle="Comma"/>
    <tableColumn id="25" xr3:uid="{00000000-0010-0000-1300-000019000000}" name="Column25" dataDxfId="250" dataCellStyle="Comma"/>
    <tableColumn id="26" xr3:uid="{00000000-0010-0000-1300-00001A000000}" name="Column26" dataDxfId="249" dataCellStyle="Comma"/>
    <tableColumn id="27" xr3:uid="{00000000-0010-0000-1300-00001B000000}" name="Column27" dataDxfId="248" dataCellStyle="Comma"/>
    <tableColumn id="28" xr3:uid="{00000000-0010-0000-1300-00001C000000}" name="Column28" dataDxfId="247" dataCellStyle="Comma"/>
    <tableColumn id="29" xr3:uid="{00000000-0010-0000-1300-00001D000000}" name="Column29" dataDxfId="246" dataCellStyle="Comma"/>
    <tableColumn id="30" xr3:uid="{00000000-0010-0000-1300-00001E000000}" name="Column30" dataDxfId="245" dataCellStyle="Comma"/>
    <tableColumn id="31" xr3:uid="{00000000-0010-0000-1300-00001F000000}" name="Column31" dataDxfId="244" dataCellStyle="Comma"/>
    <tableColumn id="32" xr3:uid="{00000000-0010-0000-1300-000020000000}" name="Column32" dataDxfId="243" dataCellStyle="Comma"/>
    <tableColumn id="33" xr3:uid="{00000000-0010-0000-1300-000021000000}" name="Column33" dataDxfId="242" dataCellStyle="Comma"/>
    <tableColumn id="34" xr3:uid="{00000000-0010-0000-1300-000022000000}" name="Column34" dataDxfId="241" dataCellStyle="Comma"/>
    <tableColumn id="35" xr3:uid="{00000000-0010-0000-1300-000023000000}" name="Column35" dataDxfId="240" dataCellStyle="Comma"/>
    <tableColumn id="36" xr3:uid="{00000000-0010-0000-1300-000024000000}" name="Column36" dataDxfId="239" dataCellStyle="Comma"/>
    <tableColumn id="37" xr3:uid="{00000000-0010-0000-1300-000025000000}" name="Column37" dataDxfId="238" dataCellStyle="Comma"/>
    <tableColumn id="38" xr3:uid="{00000000-0010-0000-1300-000026000000}" name="Column38" dataDxfId="237" dataCellStyle="Comma"/>
    <tableColumn id="39" xr3:uid="{00000000-0010-0000-1300-000027000000}" name="Column39" dataDxfId="236" dataCellStyle="Comma"/>
    <tableColumn id="40" xr3:uid="{00000000-0010-0000-1300-000028000000}" name="Column40" dataDxfId="235"/>
    <tableColumn id="41" xr3:uid="{00000000-0010-0000-1300-000029000000}" name="Column41" dataDxfId="234"/>
    <tableColumn id="42" xr3:uid="{00000000-0010-0000-1300-00002A000000}" name="Column42" dataDxfId="233"/>
    <tableColumn id="43" xr3:uid="{00000000-0010-0000-1300-00002B000000}" name="Column43" dataDxfId="232"/>
    <tableColumn id="44" xr3:uid="{00000000-0010-0000-1300-00002C000000}" name="Column44" dataDxfId="231"/>
    <tableColumn id="45" xr3:uid="{00000000-0010-0000-1300-00002D000000}" name="Column45" dataDxfId="230"/>
    <tableColumn id="46" xr3:uid="{00000000-0010-0000-1300-00002E000000}" name="Column46" dataDxfId="229"/>
    <tableColumn id="47" xr3:uid="{00000000-0010-0000-1300-00002F000000}" name="Column47" dataDxfId="228"/>
    <tableColumn id="48" xr3:uid="{00000000-0010-0000-1300-000030000000}" name="Column48" dataDxfId="227"/>
    <tableColumn id="49" xr3:uid="{00000000-0010-0000-1300-000031000000}" name="Column49" dataDxfId="226"/>
    <tableColumn id="50" xr3:uid="{00000000-0010-0000-1300-000032000000}" name="Column50" dataDxfId="225"/>
    <tableColumn id="51" xr3:uid="{00000000-0010-0000-1300-000033000000}" name="Column51" dataDxfId="224"/>
    <tableColumn id="52" xr3:uid="{00000000-0010-0000-1300-000034000000}" name="Column52" dataDxfId="223"/>
    <tableColumn id="53" xr3:uid="{00000000-0010-0000-1300-000035000000}" name="Column53" dataDxfId="222"/>
    <tableColumn id="54" xr3:uid="{00000000-0010-0000-1300-000036000000}" name="Column54" dataDxfId="221"/>
    <tableColumn id="55" xr3:uid="{00000000-0010-0000-1300-000037000000}" name="Column55" dataDxfId="220"/>
    <tableColumn id="56" xr3:uid="{00000000-0010-0000-1300-000038000000}" name="Column56" dataDxfId="219"/>
    <tableColumn id="57" xr3:uid="{00000000-0010-0000-1300-000039000000}" name="Column57" dataDxfId="218"/>
    <tableColumn id="58" xr3:uid="{00000000-0010-0000-1300-00003A000000}" name="Column58" dataDxfId="217"/>
    <tableColumn id="59" xr3:uid="{00000000-0010-0000-1300-00003B000000}" name="Column59" dataDxfId="216"/>
    <tableColumn id="60" xr3:uid="{00000000-0010-0000-1300-00003C000000}" name="Column60" dataDxfId="215"/>
    <tableColumn id="61" xr3:uid="{00000000-0010-0000-1300-00003D000000}" name="Column61" dataDxfId="214"/>
    <tableColumn id="62" xr3:uid="{00000000-0010-0000-1300-00003E000000}" name="Column62" dataDxfId="213"/>
    <tableColumn id="63" xr3:uid="{00000000-0010-0000-1300-00003F000000}" name="Column63" dataDxfId="212"/>
    <tableColumn id="64" xr3:uid="{00000000-0010-0000-1300-000040000000}" name="Column64" dataDxfId="211"/>
    <tableColumn id="77" xr3:uid="{00000000-0010-0000-1300-00004D000000}" name="Column73" dataDxfId="210"/>
    <tableColumn id="76" xr3:uid="{00000000-0010-0000-1300-00004C000000}" name="Column72" dataDxfId="209"/>
    <tableColumn id="78" xr3:uid="{00000000-0010-0000-1300-00004E000000}" name="Column74" dataDxfId="208"/>
    <tableColumn id="75" xr3:uid="{00000000-0010-0000-1300-00004B000000}" name="Column71" dataDxfId="207"/>
    <tableColumn id="80" xr3:uid="{00000000-0010-0000-1300-000050000000}" name="Column77" dataDxfId="206"/>
    <tableColumn id="81" xr3:uid="{00000000-0010-0000-1300-000051000000}" name="Column78" dataDxfId="205"/>
    <tableColumn id="79" xr3:uid="{00000000-0010-0000-1300-00004F000000}" name="Column76" dataDxfId="204"/>
    <tableColumn id="74" xr3:uid="{00000000-0010-0000-1300-00004A000000}" name="Column75" dataDxfId="203"/>
    <tableColumn id="83" xr3:uid="{00000000-0010-0000-1300-000053000000}" name="Column79" dataDxfId="202"/>
    <tableColumn id="86" xr3:uid="{00000000-0010-0000-1300-000056000000}" name="Column82" dataDxfId="201"/>
    <tableColumn id="85" xr3:uid="{00000000-0010-0000-1300-000055000000}" name="Column81" dataDxfId="200"/>
    <tableColumn id="84" xr3:uid="{00000000-0010-0000-1300-000054000000}" name="Column80" dataDxfId="199"/>
    <tableColumn id="89" xr3:uid="{00000000-0010-0000-1300-000059000000}" name="Column86" dataDxfId="198"/>
    <tableColumn id="88" xr3:uid="{00000000-0010-0000-1300-000058000000}" name="Column85" dataDxfId="197"/>
    <tableColumn id="87" xr3:uid="{00000000-0010-0000-1300-000057000000}" name="Column84" dataDxfId="196"/>
    <tableColumn id="82" xr3:uid="{00000000-0010-0000-1300-000052000000}" name="Column83" dataDxfId="195"/>
    <tableColumn id="93" xr3:uid="{00000000-0010-0000-1300-00005D000000}" name="Column90"/>
    <tableColumn id="92" xr3:uid="{00000000-0010-0000-1300-00005C000000}" name="Column89"/>
    <tableColumn id="91" xr3:uid="{00000000-0010-0000-1300-00005B000000}" name="Column88"/>
    <tableColumn id="90" xr3:uid="{00000000-0010-0000-1300-00005A000000}" name="Column87"/>
    <tableColumn id="97" xr3:uid="{00000000-0010-0000-1300-000061000000}" name="Column94"/>
    <tableColumn id="96" xr3:uid="{00000000-0010-0000-1300-000060000000}" name="Column93"/>
    <tableColumn id="95" xr3:uid="{00000000-0010-0000-1300-00005F000000}" name="Column92"/>
    <tableColumn id="94" xr3:uid="{00000000-0010-0000-1300-00005E000000}" name="Column91"/>
    <tableColumn id="101" xr3:uid="{00000000-0010-0000-1300-000065000000}" name="Column98" dataDxfId="194"/>
    <tableColumn id="100" xr3:uid="{00000000-0010-0000-1300-000064000000}" name="Column97" dataDxfId="193"/>
    <tableColumn id="99" xr3:uid="{00000000-0010-0000-1300-000063000000}" name="Column96" dataDxfId="192"/>
    <tableColumn id="98" xr3:uid="{00000000-0010-0000-1300-000062000000}" name="Column95" dataDxfId="191"/>
    <tableColumn id="105" xr3:uid="{00000000-0010-0000-1300-000069000000}" name="Column102" dataDxfId="190"/>
    <tableColumn id="104" xr3:uid="{00000000-0010-0000-1300-000068000000}" name="Column101" dataDxfId="189"/>
    <tableColumn id="103" xr3:uid="{00000000-0010-0000-1300-000067000000}" name="Column100" dataDxfId="188"/>
    <tableColumn id="102" xr3:uid="{00000000-0010-0000-1300-000066000000}" name="Column99" dataDxfId="187"/>
    <tableColumn id="106" xr3:uid="{00000000-0010-0000-1300-00006A000000}" name="Column103" dataDxfId="186"/>
    <tableColumn id="107" xr3:uid="{00000000-0010-0000-1300-00006B000000}" name="Column104" dataDxfId="185"/>
    <tableColumn id="108" xr3:uid="{00000000-0010-0000-1300-00006C000000}" name="Column105" dataDxfId="184"/>
    <tableColumn id="109" xr3:uid="{00000000-0010-0000-1300-00006D000000}" name="Column106" dataDxfId="183"/>
    <tableColumn id="110" xr3:uid="{00000000-0010-0000-1300-00006E000000}" name="Column107" dataDxfId="182"/>
    <tableColumn id="111" xr3:uid="{00000000-0010-0000-1300-00006F000000}" name="Column108" dataDxfId="181"/>
    <tableColumn id="112" xr3:uid="{00000000-0010-0000-1300-000070000000}" name="Column109" dataDxfId="180"/>
    <tableColumn id="113" xr3:uid="{00000000-0010-0000-1300-000071000000}" name="Column110" dataDxfId="179"/>
    <tableColumn id="117" xr3:uid="{00000000-0010-0000-1300-000075000000}" name="Column114" dataDxfId="178"/>
    <tableColumn id="116" xr3:uid="{00000000-0010-0000-1300-000074000000}" name="Column113" dataDxfId="177"/>
    <tableColumn id="115" xr3:uid="{00000000-0010-0000-1300-000073000000}" name="Column112" dataDxfId="176"/>
    <tableColumn id="114" xr3:uid="{00000000-0010-0000-1300-000072000000}" name="Column111" dataDxfId="175"/>
    <tableColumn id="65" xr3:uid="{00000000-0010-0000-1300-000041000000}" name="Column5" dataDxfId="174"/>
    <tableColumn id="66" xr3:uid="{00000000-0010-0000-1300-000042000000}" name="Column6" dataDxfId="173"/>
    <tableColumn id="67" xr3:uid="{00000000-0010-0000-1300-000043000000}" name="Column7" dataDxfId="172"/>
    <tableColumn id="68" xr3:uid="{00000000-0010-0000-1300-000044000000}" name="Column65" dataDxfId="171"/>
    <tableColumn id="69" xr3:uid="{00000000-0010-0000-1300-000045000000}" name="Column66" dataDxfId="170"/>
    <tableColumn id="70" xr3:uid="{00000000-0010-0000-1300-000046000000}" name="Column67" dataDxfId="169"/>
    <tableColumn id="71" xr3:uid="{00000000-0010-0000-1300-000047000000}" name="Column68" dataDxfId="168"/>
    <tableColumn id="72" xr3:uid="{00000000-0010-0000-1300-000048000000}" name="Column69" dataDxfId="167"/>
    <tableColumn id="73" xr3:uid="{00000000-0010-0000-1300-000049000000}" name="Column70" dataDxfId="16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Table520" displayName="Table520" ref="G6:Y21" totalsRowShown="0">
  <autoFilter ref="G6:Y21" xr:uid="{00000000-0009-0000-0100-000013000000}"/>
  <tableColumns count="19">
    <tableColumn id="1" xr3:uid="{00000000-0010-0000-1400-000001000000}" name="Description"/>
    <tableColumn id="2" xr3:uid="{00000000-0010-0000-1400-000002000000}" name="Category" dataDxfId="165"/>
    <tableColumn id="9" xr3:uid="{00000000-0010-0000-1400-000009000000}" name="Total Quantity" dataDxfId="164" dataCellStyle="Comma"/>
    <tableColumn id="10" xr3:uid="{00000000-0010-0000-1400-00000A000000}" name="Remaining quantity" dataDxfId="163" dataCellStyle="Comma">
      <calculatedColumnFormula>Table520[[#This Row],[Total Quantity]]-Table520[[#This Row],[Quantity]]-Table520[[#This Row],[Quantity2]]</calculatedColumnFormula>
    </tableColumn>
    <tableColumn id="3" xr3:uid="{00000000-0010-0000-1400-000003000000}" name="Rate" dataDxfId="162"/>
    <tableColumn id="4" xr3:uid="{00000000-0010-0000-1400-000004000000}" name="Quantity" dataDxfId="161"/>
    <tableColumn id="5" xr3:uid="{00000000-0010-0000-1400-000005000000}" name="Amount" dataDxfId="160" dataCellStyle="Comma">
      <calculatedColumnFormula>Table520[[#This Row],[Quantity2]]*Table520[[#This Row],[Rate]]</calculatedColumnFormula>
    </tableColumn>
    <tableColumn id="6" xr3:uid="{00000000-0010-0000-1400-000006000000}" name="Quantity2" dataDxfId="159" dataCellStyle="Comma"/>
    <tableColumn id="7" xr3:uid="{00000000-0010-0000-1400-000007000000}" name="Amount3" dataDxfId="158" dataCellStyle="Comma"/>
    <tableColumn id="8" xr3:uid="{00000000-0010-0000-1400-000008000000}" name="Quantity3"/>
    <tableColumn id="11" xr3:uid="{00000000-0010-0000-1400-00000B000000}" name="Amount4"/>
    <tableColumn id="12" xr3:uid="{00000000-0010-0000-1400-00000C000000}" name="Quantity25"/>
    <tableColumn id="13" xr3:uid="{00000000-0010-0000-1400-00000D000000}" name="Amount36" dataDxfId="157" dataCellStyle="Comma"/>
    <tableColumn id="14" xr3:uid="{00000000-0010-0000-1400-00000E000000}" name="Amount37"/>
    <tableColumn id="15" xr3:uid="{00000000-0010-0000-1400-00000F000000}" name="Amount38"/>
    <tableColumn id="16" xr3:uid="{00000000-0010-0000-1400-000010000000}" name="Amount39" dataDxfId="156"/>
    <tableColumn id="17" xr3:uid="{00000000-0010-0000-1400-000011000000}" name="Amount40" dataDxfId="155">
      <calculatedColumnFormula>Table520[[#This Row],[Amount39]]*Table520[[#This Row],[Rate]]</calculatedColumnFormula>
    </tableColumn>
    <tableColumn id="18" xr3:uid="{00000000-0010-0000-1400-000012000000}" name="Amount41"/>
    <tableColumn id="19" xr3:uid="{00000000-0010-0000-1400-000013000000}" name="Amount42" dataDxfId="154">
      <calculatedColumnFormula>Table520[[#This Row],[Amount41]]/Table520[[#This Row],[Rate]]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Table52022" displayName="Table52022" ref="G25:U36" totalsRowShown="0">
  <autoFilter ref="G25:U36" xr:uid="{00000000-0009-0000-0100-000015000000}"/>
  <tableColumns count="15">
    <tableColumn id="1" xr3:uid="{00000000-0010-0000-1500-000001000000}" name="Description"/>
    <tableColumn id="2" xr3:uid="{00000000-0010-0000-1500-000002000000}" name="Category" dataDxfId="153"/>
    <tableColumn id="9" xr3:uid="{00000000-0010-0000-1500-000009000000}" name="Total Quantity" dataDxfId="152" dataCellStyle="Comma"/>
    <tableColumn id="10" xr3:uid="{00000000-0010-0000-1500-00000A000000}" name="Remaining quantity" dataDxfId="151" dataCellStyle="Comma">
      <calculatedColumnFormula>Table52022[[#This Row],[Total Quantity]]-Table52022[[#This Row],[Quantity]]-Table52022[[#This Row],[Quantity2]]</calculatedColumnFormula>
    </tableColumn>
    <tableColumn id="3" xr3:uid="{00000000-0010-0000-1500-000003000000}" name="Rate" dataDxfId="150"/>
    <tableColumn id="4" xr3:uid="{00000000-0010-0000-1500-000004000000}" name="Quantity" dataDxfId="149"/>
    <tableColumn id="5" xr3:uid="{00000000-0010-0000-1500-000005000000}" name="Amount" dataDxfId="148" dataCellStyle="Comma"/>
    <tableColumn id="6" xr3:uid="{00000000-0010-0000-1500-000006000000}" name="Quantity2" dataDxfId="147" dataCellStyle="Comma"/>
    <tableColumn id="7" xr3:uid="{00000000-0010-0000-1500-000007000000}" name="Amount3" dataDxfId="146" dataCellStyle="Comma"/>
    <tableColumn id="8" xr3:uid="{00000000-0010-0000-1500-000008000000}" name="Quantity3"/>
    <tableColumn id="11" xr3:uid="{00000000-0010-0000-1500-00000B000000}" name="Amount4"/>
    <tableColumn id="12" xr3:uid="{00000000-0010-0000-1500-00000C000000}" name="Quantity25"/>
    <tableColumn id="13" xr3:uid="{00000000-0010-0000-1500-00000D000000}" name="Amount36" dataDxfId="145" dataCellStyle="Comma"/>
    <tableColumn id="14" xr3:uid="{00000000-0010-0000-1500-00000E000000}" name="Amount37"/>
    <tableColumn id="15" xr3:uid="{00000000-0010-0000-1500-00000F000000}" name="Amount3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6000000}" name="Table5202228" displayName="Table5202228" ref="G42:Y54" totalsRowCount="1">
  <autoFilter ref="G42:Y53" xr:uid="{00000000-0009-0000-0100-00001B000000}"/>
  <tableColumns count="19">
    <tableColumn id="1" xr3:uid="{00000000-0010-0000-1600-000001000000}" name="Description"/>
    <tableColumn id="2" xr3:uid="{00000000-0010-0000-1600-000002000000}" name="Category" dataDxfId="144" totalsRowDxfId="143"/>
    <tableColumn id="9" xr3:uid="{00000000-0010-0000-1600-000009000000}" name="Total Quantity" dataDxfId="142" totalsRowDxfId="141" dataCellStyle="Comma"/>
    <tableColumn id="10" xr3:uid="{00000000-0010-0000-1600-00000A000000}" name="Remaining quantity" dataDxfId="140" totalsRowDxfId="139" dataCellStyle="Comma">
      <calculatedColumnFormula>Table5202228[[#This Row],[Total Quantity]]-Table5202228[[#This Row],[Quantity]]-Table5202228[[#This Row],[Quantity2]]</calculatedColumnFormula>
    </tableColumn>
    <tableColumn id="3" xr3:uid="{00000000-0010-0000-1600-000003000000}" name="Rate" dataDxfId="138" totalsRowDxfId="137"/>
    <tableColumn id="4" xr3:uid="{00000000-0010-0000-1600-000004000000}" name="Quantity" dataDxfId="136" totalsRowDxfId="135"/>
    <tableColumn id="5" xr3:uid="{00000000-0010-0000-1600-000005000000}" name="Amount" dataDxfId="134" totalsRowDxfId="133" dataCellStyle="Comma"/>
    <tableColumn id="6" xr3:uid="{00000000-0010-0000-1600-000006000000}" name="Quantity2" dataDxfId="132" totalsRowDxfId="131" dataCellStyle="Comma"/>
    <tableColumn id="7" xr3:uid="{00000000-0010-0000-1600-000007000000}" name="Amount3" dataDxfId="130" totalsRowDxfId="129" dataCellStyle="Comma"/>
    <tableColumn id="8" xr3:uid="{00000000-0010-0000-1600-000008000000}" name="Quantity3"/>
    <tableColumn id="11" xr3:uid="{00000000-0010-0000-1600-00000B000000}" name="Amount4"/>
    <tableColumn id="12" xr3:uid="{00000000-0010-0000-1600-00000C000000}" name="Quantity25"/>
    <tableColumn id="13" xr3:uid="{00000000-0010-0000-1600-00000D000000}" name="Amount36" dataDxfId="128" totalsRowDxfId="127" dataCellStyle="Comma"/>
    <tableColumn id="14" xr3:uid="{00000000-0010-0000-1600-00000E000000}" name="quantity4" dataDxfId="126"/>
    <tableColumn id="15" xr3:uid="{00000000-0010-0000-1600-00000F000000}" name="amount2" dataDxfId="125"/>
    <tableColumn id="16" xr3:uid="{00000000-0010-0000-1600-000010000000}" name="quantity5" dataDxfId="124" totalsRowDxfId="123"/>
    <tableColumn id="17" xr3:uid="{00000000-0010-0000-1600-000011000000}" name="amount32" totalsRowFunction="custom" dataDxfId="122" totalsRowDxfId="121" dataCellStyle="Comma">
      <calculatedColumnFormula>SUM(W33:W36)</calculatedColumnFormula>
      <totalsRowFormula>SUBTOTAL(109,W43:W46)</totalsRowFormula>
    </tableColumn>
    <tableColumn id="19" xr3:uid="{00000000-0010-0000-1600-000013000000}" name="quantity6" dataDxfId="120" totalsRowDxfId="119">
      <calculatedColumnFormula>AB30/N30</calculatedColumnFormula>
    </tableColumn>
    <tableColumn id="20" xr3:uid="{00000000-0010-0000-1600-000014000000}" name="amount33" totalsRowFunction="custom" dataDxfId="118" totalsRowDxfId="117">
      <calculatedColumnFormula>Table5202228[[#This Row],[quantity6]]*Table5202228[[#This Row],[Rate]]</calculatedColumnFormula>
      <totalsRowFormula>SUM(Y43:Y46)</totalsRow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7000000}" name="Table32" displayName="Table32" ref="C5:AS59" totalsRowShown="0">
  <autoFilter ref="C5:AS59" xr:uid="{00000000-0009-0000-0100-000023000000}"/>
  <tableColumns count="43">
    <tableColumn id="1" xr3:uid="{00000000-0010-0000-1700-000001000000}" name="Description"/>
    <tableColumn id="2" xr3:uid="{00000000-0010-0000-1700-000002000000}" name="Category"/>
    <tableColumn id="3" xr3:uid="{00000000-0010-0000-1700-000003000000}" name="Rate" dataDxfId="116"/>
    <tableColumn id="4" xr3:uid="{00000000-0010-0000-1700-000004000000}" name="Quantity"/>
    <tableColumn id="5" xr3:uid="{00000000-0010-0000-1700-000005000000}" name="Amount" dataDxfId="115">
      <calculatedColumnFormula>Table32[[#This Row],[Quantity]]*Table32[[#This Row],[Rate]]</calculatedColumnFormula>
    </tableColumn>
    <tableColumn id="6" xr3:uid="{00000000-0010-0000-1700-000006000000}" name="Quantity2"/>
    <tableColumn id="7" xr3:uid="{00000000-0010-0000-1700-000007000000}" name="Amount3" dataDxfId="114">
      <calculatedColumnFormula>Table32[[#This Row],[Quantity2]]*Table32[[#This Row],[Rate]]</calculatedColumnFormula>
    </tableColumn>
    <tableColumn id="8" xr3:uid="{00000000-0010-0000-1700-000008000000}" name="Quantity4"/>
    <tableColumn id="9" xr3:uid="{00000000-0010-0000-1700-000009000000}" name="Amount5" dataDxfId="113">
      <calculatedColumnFormula>Table32[[#This Row],[Rate]]*Table32[[#This Row],[Quantity4]]</calculatedColumnFormula>
    </tableColumn>
    <tableColumn id="10" xr3:uid="{00000000-0010-0000-1700-00000A000000}" name="Quantity6"/>
    <tableColumn id="11" xr3:uid="{00000000-0010-0000-1700-00000B000000}" name="Amount7" dataDxfId="112">
      <calculatedColumnFormula>Table32[[#This Row],[Rate]]*Table32[[#This Row],[Quantity4]]</calculatedColumnFormula>
    </tableColumn>
    <tableColumn id="12" xr3:uid="{00000000-0010-0000-1700-00000C000000}" name="Quantity8"/>
    <tableColumn id="13" xr3:uid="{00000000-0010-0000-1700-00000D000000}" name="Amount9" dataDxfId="111">
      <calculatedColumnFormula>Table32[[#This Row],[Quantity8]]*Table32[[#This Row],[Rate]]</calculatedColumnFormula>
    </tableColumn>
    <tableColumn id="14" xr3:uid="{00000000-0010-0000-1700-00000E000000}" name="Quantity10"/>
    <tableColumn id="15" xr3:uid="{00000000-0010-0000-1700-00000F000000}" name="Amount11"/>
    <tableColumn id="16" xr3:uid="{00000000-0010-0000-1700-000010000000}" name="Quantity12"/>
    <tableColumn id="17" xr3:uid="{00000000-0010-0000-1700-000011000000}" name="Amount13"/>
    <tableColumn id="18" xr3:uid="{00000000-0010-0000-1700-000012000000}" name="Quantity14"/>
    <tableColumn id="19" xr3:uid="{00000000-0010-0000-1700-000013000000}" name="Amount15"/>
    <tableColumn id="20" xr3:uid="{00000000-0010-0000-1700-000014000000}" name="Quantity16"/>
    <tableColumn id="21" xr3:uid="{00000000-0010-0000-1700-000015000000}" name="Amount17"/>
    <tableColumn id="22" xr3:uid="{00000000-0010-0000-1700-000016000000}" name="Quantity18"/>
    <tableColumn id="23" xr3:uid="{00000000-0010-0000-1700-000017000000}" name="Amount19"/>
    <tableColumn id="24" xr3:uid="{00000000-0010-0000-1700-000018000000}" name="Quantity20"/>
    <tableColumn id="25" xr3:uid="{00000000-0010-0000-1700-000019000000}" name="Amount21"/>
    <tableColumn id="26" xr3:uid="{00000000-0010-0000-1700-00001A000000}" name="Quantity22"/>
    <tableColumn id="27" xr3:uid="{00000000-0010-0000-1700-00001B000000}" name="Amount23"/>
    <tableColumn id="28" xr3:uid="{00000000-0010-0000-1700-00001C000000}" name="Quantity24"/>
    <tableColumn id="29" xr3:uid="{00000000-0010-0000-1700-00001D000000}" name="Amount25"/>
    <tableColumn id="30" xr3:uid="{00000000-0010-0000-1700-00001E000000}" name="Quantity26"/>
    <tableColumn id="31" xr3:uid="{00000000-0010-0000-1700-00001F000000}" name="Amount27"/>
    <tableColumn id="32" xr3:uid="{00000000-0010-0000-1700-000020000000}" name="Quantity28"/>
    <tableColumn id="33" xr3:uid="{00000000-0010-0000-1700-000021000000}" name="Amount29"/>
    <tableColumn id="34" xr3:uid="{00000000-0010-0000-1700-000022000000}" name="Quantity30"/>
    <tableColumn id="35" xr3:uid="{00000000-0010-0000-1700-000023000000}" name="Amount31"/>
    <tableColumn id="36" xr3:uid="{00000000-0010-0000-1700-000024000000}" name="Quantity32"/>
    <tableColumn id="37" xr3:uid="{00000000-0010-0000-1700-000025000000}" name="Amount33"/>
    <tableColumn id="38" xr3:uid="{00000000-0010-0000-1700-000026000000}" name="Quantity34"/>
    <tableColumn id="39" xr3:uid="{00000000-0010-0000-1700-000027000000}" name="Amount35"/>
    <tableColumn id="40" xr3:uid="{00000000-0010-0000-1700-000028000000}" name="Quantity36"/>
    <tableColumn id="41" xr3:uid="{00000000-0010-0000-1700-000029000000}" name="Amount37"/>
    <tableColumn id="42" xr3:uid="{00000000-0010-0000-1700-00002A000000}" name="Quantity38"/>
    <tableColumn id="43" xr3:uid="{00000000-0010-0000-1700-00002B000000}" name="Amount39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8000000}" name="Dates" displayName="Dates" ref="B1:D121" totalsRowShown="0" headerRowDxfId="110" dataDxfId="109" tableBorderDxfId="108">
  <autoFilter ref="B1:D121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1800-000001000000}" name="Consultant" dataDxfId="107"/>
    <tableColumn id="2" xr3:uid="{00000000-0010-0000-1800-000002000000}" name="Date of invoice" dataDxfId="106" dataCellStyle="Comma"/>
    <tableColumn id="3" xr3:uid="{00000000-0010-0000-1800-000003000000}" name="Value of invoice" dataDxfId="105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9000000}" name="Calendar" displayName="Calendar" ref="B2:B2194" totalsRowShown="0" headerRowDxfId="104">
  <autoFilter ref="B2:B2194" xr:uid="{00000000-0009-0000-0100-000004000000}">
    <filterColumn colId="0" hiddenButton="1"/>
  </autoFilter>
  <tableColumns count="1">
    <tableColumn id="1" xr3:uid="{00000000-0010-0000-1900-000001000000}" name="DA TES 2020-2025" dataDxfId="10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A000000}" name="Table59" displayName="Table59" ref="B6:X47" totalsRowShown="0">
  <autoFilter ref="B6:X47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23">
    <tableColumn id="1" xr3:uid="{00000000-0010-0000-1A00-000001000000}" name="Description"/>
    <tableColumn id="2" xr3:uid="{00000000-0010-0000-1A00-000002000000}" name="Category" dataDxfId="102"/>
    <tableColumn id="3" xr3:uid="{00000000-0010-0000-1A00-000003000000}" name="Rate" dataDxfId="101" dataCellStyle="Comma"/>
    <tableColumn id="4" xr3:uid="{00000000-0010-0000-1A00-000004000000}" name="Quantity" dataDxfId="100"/>
    <tableColumn id="5" xr3:uid="{00000000-0010-0000-1A00-000005000000}" name="Amount" dataDxfId="99" dataCellStyle="Comma">
      <calculatedColumnFormula>Table59[[#This Row],[Quantity22]]*Table59[[#This Row],[Rate]]</calculatedColumnFormula>
    </tableColumn>
    <tableColumn id="6" xr3:uid="{00000000-0010-0000-1A00-000006000000}" name="Quantity2" dataDxfId="98" dataCellStyle="Comma"/>
    <tableColumn id="7" xr3:uid="{00000000-0010-0000-1A00-000007000000}" name="Amount3" dataDxfId="97" dataCellStyle="Comma"/>
    <tableColumn id="8" xr3:uid="{00000000-0010-0000-1A00-000008000000}" name="Quantity22" dataDxfId="96" dataCellStyle="Comma"/>
    <tableColumn id="9" xr3:uid="{00000000-0010-0000-1A00-000009000000}" name="Amount33" dataDxfId="95" dataCellStyle="Comma"/>
    <tableColumn id="12" xr3:uid="{00000000-0010-0000-1A00-00000C000000}" name="Amount34"/>
    <tableColumn id="13" xr3:uid="{00000000-0010-0000-1A00-00000D000000}" name="Amount35" dataDxfId="94">
      <calculatedColumnFormula>Table59[[#This Row],[Amount34]]*Table59[[#This Row],[Rate]]</calculatedColumnFormula>
    </tableColumn>
    <tableColumn id="10" xr3:uid="{00000000-0010-0000-1A00-00000A000000}" name="Amount342"/>
    <tableColumn id="11" xr3:uid="{00000000-0010-0000-1A00-00000B000000}" name="Amount353"/>
    <tableColumn id="14" xr3:uid="{00000000-0010-0000-1A00-00000E000000}" name="Amount3422"/>
    <tableColumn id="15" xr3:uid="{00000000-0010-0000-1A00-00000F000000}" name="Amount3533"/>
    <tableColumn id="16" xr3:uid="{00000000-0010-0000-1A00-000010000000}" name="Amount3534"/>
    <tableColumn id="17" xr3:uid="{00000000-0010-0000-1A00-000011000000}" name="Amount3535" dataDxfId="93">
      <calculatedColumnFormula>Table59[[#This Row],[Amount3534]]*Table59[[#This Row],[Rate]]</calculatedColumnFormula>
    </tableColumn>
    <tableColumn id="18" xr3:uid="{00000000-0010-0000-1A00-000012000000}" name="Amount35342"/>
    <tableColumn id="19" xr3:uid="{00000000-0010-0000-1A00-000013000000}" name="Amount35353"/>
    <tableColumn id="20" xr3:uid="{00000000-0010-0000-1A00-000014000000}" name="Amount353422"/>
    <tableColumn id="21" xr3:uid="{00000000-0010-0000-1A00-000015000000}" name="Amount353533"/>
    <tableColumn id="22" xr3:uid="{00000000-0010-0000-1A00-000016000000}" name="Amount353534"/>
    <tableColumn id="23" xr3:uid="{00000000-0010-0000-1A00-000017000000}" name="Amount35353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B000000}" name="Table5710" displayName="Table5710" ref="B3:T13" totalsRowCount="1">
  <autoFilter ref="B3:T12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9">
    <tableColumn id="1" xr3:uid="{00000000-0010-0000-1B00-000001000000}" name="Description"/>
    <tableColumn id="2" xr3:uid="{00000000-0010-0000-1B00-000002000000}" name="Category" dataDxfId="92" totalsRowDxfId="91"/>
    <tableColumn id="8" xr3:uid="{00000000-0010-0000-1B00-000008000000}" name="Total Quantity" dataDxfId="90" totalsRowDxfId="89"/>
    <tableColumn id="9" xr3:uid="{00000000-0010-0000-1B00-000009000000}" name="Remaining Quantity" dataDxfId="88" totalsRowDxfId="87" dataCellStyle="Comma">
      <calculatedColumnFormula>Table5710[[#This Row],[Total Quantity]]-Table5710[[#This Row],[Quantity]]-Table5710[[#This Row],[Quantity2]]</calculatedColumnFormula>
    </tableColumn>
    <tableColumn id="3" xr3:uid="{00000000-0010-0000-1B00-000003000000}" name="Rate" totalsRowFunction="custom" dataDxfId="86" totalsRowDxfId="85" dataCellStyle="Comma">
      <totalsRowFormula>(D4*F4)+(D5*F5)+(D6*F6)+(D7*F7)+(D8*F8)+(D9*F9)+(D10*F10)+(D11*F11)</totalsRowFormula>
    </tableColumn>
    <tableColumn id="4" xr3:uid="{00000000-0010-0000-1B00-000004000000}" name="Quantity" dataDxfId="84" totalsRowDxfId="83"/>
    <tableColumn id="5" xr3:uid="{00000000-0010-0000-1B00-000005000000}" name="Amount" dataDxfId="82" totalsRowDxfId="81" dataCellStyle="Comma">
      <calculatedColumnFormula>Table5710[[#This Row],[Quantity2]]*Table5710[[#This Row],[Rate]]</calculatedColumnFormula>
    </tableColumn>
    <tableColumn id="6" xr3:uid="{00000000-0010-0000-1B00-000006000000}" name="Quantity2" dataDxfId="80" totalsRowDxfId="79" dataCellStyle="Comma"/>
    <tableColumn id="7" xr3:uid="{00000000-0010-0000-1B00-000007000000}" name="Amount2" dataDxfId="78" totalsRowDxfId="77" dataCellStyle="Comma"/>
    <tableColumn id="10" xr3:uid="{00000000-0010-0000-1B00-00000A000000}" name="Quantity3" dataDxfId="76" dataCellStyle="Comma"/>
    <tableColumn id="11" xr3:uid="{00000000-0010-0000-1B00-00000B000000}" name="Amount3" dataDxfId="75" dataCellStyle="Comma"/>
    <tableColumn id="12" xr3:uid="{00000000-0010-0000-1B00-00000C000000}" name="Quantity32" dataDxfId="74" dataCellStyle="Comma"/>
    <tableColumn id="13" xr3:uid="{00000000-0010-0000-1B00-00000D000000}" name="Amount33" dataDxfId="73" dataCellStyle="Comma"/>
    <tableColumn id="14" xr3:uid="{00000000-0010-0000-1B00-00000E000000}" name="Amount34"/>
    <tableColumn id="15" xr3:uid="{00000000-0010-0000-1B00-00000F000000}" name="Amount35" dataDxfId="72"/>
    <tableColumn id="16" xr3:uid="{00000000-0010-0000-1B00-000010000000}" name="Amount36"/>
    <tableColumn id="17" xr3:uid="{00000000-0010-0000-1B00-000011000000}" name="Amount37" dataCellStyle="Comma"/>
    <tableColumn id="18" xr3:uid="{00000000-0010-0000-1B00-000012000000}" name="Amount38"/>
    <tableColumn id="19" xr3:uid="{00000000-0010-0000-1B00-000013000000}" name="Amount3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C000000}" name="Table571012" displayName="Table571012" ref="B18:S28" totalsRowCount="1">
  <autoFilter ref="B18:S27" xr:uid="{00000000-0009-0000-0100-00000B000000}"/>
  <tableColumns count="18">
    <tableColumn id="1" xr3:uid="{00000000-0010-0000-1C00-000001000000}" name="Description"/>
    <tableColumn id="2" xr3:uid="{00000000-0010-0000-1C00-000002000000}" name="Category" dataDxfId="71" totalsRowDxfId="70"/>
    <tableColumn id="8" xr3:uid="{00000000-0010-0000-1C00-000008000000}" name="Total Quantity" dataDxfId="69" totalsRowDxfId="68"/>
    <tableColumn id="9" xr3:uid="{00000000-0010-0000-1C00-000009000000}" name="Remaining Quantity" dataDxfId="67" totalsRowDxfId="66" dataCellStyle="Comma">
      <calculatedColumnFormula>Table571012[[#This Row],[Total Quantity]]-Table571012[[#This Row],[Column1]]-Table571012[[#This Row],[Column3]]</calculatedColumnFormula>
    </tableColumn>
    <tableColumn id="3" xr3:uid="{00000000-0010-0000-1C00-000003000000}" name="Rate" totalsRowFunction="custom" dataDxfId="65" totalsRowDxfId="64" dataCellStyle="Comma">
      <totalsRowFormula>(D19*F19)+(D20*F20)+(D21*F21)+(D22*F22)+(D23*F23)+(D24*F24)+(D25*F25)+(D26*F26)</totalsRowFormula>
    </tableColumn>
    <tableColumn id="4" xr3:uid="{00000000-0010-0000-1C00-000004000000}" name="Column1" dataDxfId="63" totalsRowDxfId="62"/>
    <tableColumn id="5" xr3:uid="{00000000-0010-0000-1C00-000005000000}" name="Column2" dataDxfId="61" totalsRowDxfId="60" dataCellStyle="Comma"/>
    <tableColumn id="6" xr3:uid="{00000000-0010-0000-1C00-000006000000}" name="Column3" dataDxfId="59" totalsRowDxfId="58" dataCellStyle="Comma"/>
    <tableColumn id="7" xr3:uid="{00000000-0010-0000-1C00-000007000000}" name="Column4" dataDxfId="57" totalsRowDxfId="56" dataCellStyle="Comma"/>
    <tableColumn id="10" xr3:uid="{00000000-0010-0000-1C00-00000A000000}" name="Quantity3" dataDxfId="55" dataCellStyle="Comma"/>
    <tableColumn id="11" xr3:uid="{00000000-0010-0000-1C00-00000B000000}" name="Amount3" dataDxfId="54" dataCellStyle="Comma"/>
    <tableColumn id="12" xr3:uid="{00000000-0010-0000-1C00-00000C000000}" name="Quantity32" dataDxfId="53" dataCellStyle="Comma"/>
    <tableColumn id="13" xr3:uid="{00000000-0010-0000-1C00-00000D000000}" name="Amount33" dataDxfId="52" dataCellStyle="Comma"/>
    <tableColumn id="14" xr3:uid="{00000000-0010-0000-1C00-00000E000000}" name="Amount34"/>
    <tableColumn id="15" xr3:uid="{00000000-0010-0000-1C00-00000F000000}" name="Amount35" dataDxfId="51"/>
    <tableColumn id="16" xr3:uid="{00000000-0010-0000-1C00-000010000000}" name="Amount36"/>
    <tableColumn id="17" xr3:uid="{00000000-0010-0000-1C00-000011000000}" name="Amount37"/>
    <tableColumn id="18" xr3:uid="{00000000-0010-0000-1C00-000012000000}" name="Amount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D000000}" name="Table57101213" displayName="Table57101213" ref="B33:T43" totalsRowCount="1">
  <autoFilter ref="B33:T42" xr:uid="{00000000-0009-0000-0100-00000C000000}"/>
  <tableColumns count="19">
    <tableColumn id="1" xr3:uid="{00000000-0010-0000-1D00-000001000000}" name="Description"/>
    <tableColumn id="2" xr3:uid="{00000000-0010-0000-1D00-000002000000}" name="Category" dataDxfId="50" totalsRowDxfId="49"/>
    <tableColumn id="8" xr3:uid="{00000000-0010-0000-1D00-000008000000}" name="Total Quantity" dataDxfId="48" totalsRowDxfId="47"/>
    <tableColumn id="9" xr3:uid="{00000000-0010-0000-1D00-000009000000}" name="Remaining Quantity" dataDxfId="46" totalsRowDxfId="45" dataCellStyle="Comma">
      <calculatedColumnFormula>Table57101213[[#This Row],[Total Quantity]]-Table57101213[[#This Row],[Column1]]-Table57101213[[#This Row],[Column3]]</calculatedColumnFormula>
    </tableColumn>
    <tableColumn id="3" xr3:uid="{00000000-0010-0000-1D00-000003000000}" name="Rate" totalsRowFunction="custom" dataDxfId="44" totalsRowDxfId="43" dataCellStyle="Comma">
      <totalsRowFormula>(D34*F34)+(D35*F35)+(D36*F36)+(D37*F37)+(D38*F38)+(D39*F39)+(D40*F40)+(D41*F41)</totalsRowFormula>
    </tableColumn>
    <tableColumn id="4" xr3:uid="{00000000-0010-0000-1D00-000004000000}" name="Column1" dataDxfId="42" totalsRowDxfId="41"/>
    <tableColumn id="5" xr3:uid="{00000000-0010-0000-1D00-000005000000}" name="Column2" dataDxfId="40" totalsRowDxfId="39" dataCellStyle="Comma"/>
    <tableColumn id="6" xr3:uid="{00000000-0010-0000-1D00-000006000000}" name="Column3" dataDxfId="38" totalsRowDxfId="37" dataCellStyle="Comma"/>
    <tableColumn id="7" xr3:uid="{00000000-0010-0000-1D00-000007000000}" name="Column4" dataDxfId="36" totalsRowDxfId="35" dataCellStyle="Comma"/>
    <tableColumn id="10" xr3:uid="{00000000-0010-0000-1D00-00000A000000}" name="Quantity3" dataDxfId="34" dataCellStyle="Comma"/>
    <tableColumn id="11" xr3:uid="{00000000-0010-0000-1D00-00000B000000}" name="Amount3" dataDxfId="33" dataCellStyle="Comma"/>
    <tableColumn id="12" xr3:uid="{00000000-0010-0000-1D00-00000C000000}" name="Quantity32" dataDxfId="32" dataCellStyle="Comma"/>
    <tableColumn id="13" xr3:uid="{00000000-0010-0000-1D00-00000D000000}" name="Amount33" dataDxfId="31" dataCellStyle="Comma"/>
    <tableColumn id="14" xr3:uid="{00000000-0010-0000-1D00-00000E000000}" name="Amount34"/>
    <tableColumn id="15" xr3:uid="{00000000-0010-0000-1D00-00000F000000}" name="Amount35" dataDxfId="30"/>
    <tableColumn id="16" xr3:uid="{00000000-0010-0000-1D00-000010000000}" name="Amount36"/>
    <tableColumn id="17" xr3:uid="{00000000-0010-0000-1D00-000011000000}" name="Amount37"/>
    <tableColumn id="18" xr3:uid="{00000000-0010-0000-1D00-000012000000}" name="Amount38" dataCellStyle="Comma"/>
    <tableColumn id="19" xr3:uid="{00000000-0010-0000-1D00-000013000000}" name="Amount39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E000000}" name="Table5710121314" displayName="Table5710121314" ref="B48:R58" totalsRowCount="1">
  <autoFilter ref="B48:R57" xr:uid="{00000000-0009-0000-0100-00000D000000}"/>
  <tableColumns count="17">
    <tableColumn id="1" xr3:uid="{00000000-0010-0000-1E00-000001000000}" name="Description"/>
    <tableColumn id="2" xr3:uid="{00000000-0010-0000-1E00-000002000000}" name="Category" dataDxfId="29" totalsRowDxfId="28"/>
    <tableColumn id="8" xr3:uid="{00000000-0010-0000-1E00-000008000000}" name="Total Quantity" dataDxfId="27" totalsRowDxfId="26"/>
    <tableColumn id="9" xr3:uid="{00000000-0010-0000-1E00-000009000000}" name="Remaining Quantity" dataDxfId="25" totalsRowDxfId="24" dataCellStyle="Comma">
      <calculatedColumnFormula>Table5710121314[[#This Row],[Total Quantity]]-Table5710121314[[#This Row],[Quantity]]-Table5710121314[[#This Row],[Column3]]</calculatedColumnFormula>
    </tableColumn>
    <tableColumn id="3" xr3:uid="{00000000-0010-0000-1E00-000003000000}" name="Rate" totalsRowFunction="custom" dataDxfId="23" totalsRowDxfId="22" dataCellStyle="Comma">
      <totalsRowFormula>(D49*F49)+(D50*F50)+(D51*F51)+(D52*F52)+(D53*F53)+(D54*F54)+(D55*F55)+(D56*F56)</totalsRowFormula>
    </tableColumn>
    <tableColumn id="4" xr3:uid="{00000000-0010-0000-1E00-000004000000}" name="Quantity" dataDxfId="21" totalsRowDxfId="20"/>
    <tableColumn id="5" xr3:uid="{00000000-0010-0000-1E00-000005000000}" name="Amount" dataDxfId="19" totalsRowDxfId="18" dataCellStyle="Comma"/>
    <tableColumn id="6" xr3:uid="{00000000-0010-0000-1E00-000006000000}" name="Column3" dataDxfId="17" totalsRowDxfId="16" dataCellStyle="Comma"/>
    <tableColumn id="7" xr3:uid="{00000000-0010-0000-1E00-000007000000}" name="Column4" dataDxfId="15" totalsRowDxfId="14" dataCellStyle="Comma"/>
    <tableColumn id="10" xr3:uid="{00000000-0010-0000-1E00-00000A000000}" name="Column5" dataDxfId="13" dataCellStyle="Comma"/>
    <tableColumn id="11" xr3:uid="{00000000-0010-0000-1E00-00000B000000}" name="Column6" dataDxfId="12" dataCellStyle="Comma"/>
    <tableColumn id="12" xr3:uid="{00000000-0010-0000-1E00-00000C000000}" name="Column7" dataDxfId="11" dataCellStyle="Comma"/>
    <tableColumn id="13" xr3:uid="{00000000-0010-0000-1E00-00000D000000}" name="Column8" dataDxfId="10" dataCellStyle="Comma"/>
    <tableColumn id="14" xr3:uid="{00000000-0010-0000-1E00-00000E000000}" name="Column9"/>
    <tableColumn id="15" xr3:uid="{00000000-0010-0000-1E00-00000F000000}" name="Column10" dataDxfId="9"/>
    <tableColumn id="16" xr3:uid="{00000000-0010-0000-1E00-000010000000}" name="Column11"/>
    <tableColumn id="17" xr3:uid="{00000000-0010-0000-1E00-000011000000}" name="Column1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F000000}" name="Table5915" displayName="Table5915" ref="B6:P13" totalsRowShown="0">
  <autoFilter ref="B6:P13" xr:uid="{00000000-0009-0000-0100-00000E000000}"/>
  <tableColumns count="15">
    <tableColumn id="1" xr3:uid="{00000000-0010-0000-1F00-000001000000}" name="Description"/>
    <tableColumn id="2" xr3:uid="{00000000-0010-0000-1F00-000002000000}" name="Category" dataDxfId="8"/>
    <tableColumn id="3" xr3:uid="{00000000-0010-0000-1F00-000003000000}" name="Rate" dataDxfId="7" dataCellStyle="Comma"/>
    <tableColumn id="4" xr3:uid="{00000000-0010-0000-1F00-000004000000}" name="Quantity" dataDxfId="6" dataCellStyle="Comma"/>
    <tableColumn id="5" xr3:uid="{00000000-0010-0000-1F00-000005000000}" name="Amount" dataDxfId="5" dataCellStyle="Comma">
      <calculatedColumnFormula>Table5915[[#This Row],[Column3]]*Table5915[[#This Row],[Rate]]</calculatedColumnFormula>
    </tableColumn>
    <tableColumn id="6" xr3:uid="{00000000-0010-0000-1F00-000006000000}" name="Column1" dataDxfId="4" dataCellStyle="Comma"/>
    <tableColumn id="7" xr3:uid="{00000000-0010-0000-1F00-000007000000}" name="Column2" dataDxfId="3" dataCellStyle="Comma"/>
    <tableColumn id="8" xr3:uid="{00000000-0010-0000-1F00-000008000000}" name="Column3" dataDxfId="2" dataCellStyle="Comma"/>
    <tableColumn id="9" xr3:uid="{00000000-0010-0000-1F00-000009000000}" name="Column4" dataDxfId="1" dataCellStyle="Comma"/>
    <tableColumn id="12" xr3:uid="{00000000-0010-0000-1F00-00000C000000}" name="Column5"/>
    <tableColumn id="13" xr3:uid="{00000000-0010-0000-1F00-00000D000000}" name="Column6" dataDxfId="0"/>
    <tableColumn id="10" xr3:uid="{00000000-0010-0000-1F00-00000A000000}" name="Column7"/>
    <tableColumn id="11" xr3:uid="{00000000-0010-0000-1F00-00000B000000}" name="Column8"/>
    <tableColumn id="14" xr3:uid="{00000000-0010-0000-1F00-00000E000000}" name="Column9"/>
    <tableColumn id="15" xr3:uid="{00000000-0010-0000-1F00-00000F000000}" name="Column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R25"/>
  <sheetViews>
    <sheetView tabSelected="1" zoomScaleNormal="100" workbookViewId="0">
      <pane xSplit="5" topLeftCell="F1" activePane="topRight" state="frozen"/>
      <selection activeCell="A19" sqref="A19"/>
      <selection pane="topRight" activeCell="A12" sqref="A12"/>
    </sheetView>
  </sheetViews>
  <sheetFormatPr defaultRowHeight="14.4"/>
  <cols>
    <col min="1" max="1" width="30.44140625" bestFit="1" customWidth="1"/>
    <col min="2" max="2" width="16.88671875" bestFit="1" customWidth="1"/>
    <col min="3" max="3" width="15.33203125" bestFit="1" customWidth="1"/>
    <col min="4" max="4" width="19.44140625" bestFit="1" customWidth="1"/>
    <col min="5" max="5" width="11.109375" bestFit="1" customWidth="1"/>
    <col min="6" max="6" width="10.6640625" customWidth="1"/>
    <col min="7" max="7" width="10.109375" bestFit="1" customWidth="1"/>
    <col min="8" max="8" width="10.5546875" bestFit="1" customWidth="1"/>
    <col min="9" max="9" width="16" bestFit="1" customWidth="1"/>
    <col min="10" max="10" width="18" customWidth="1"/>
    <col min="11" max="11" width="17.88671875" bestFit="1" customWidth="1"/>
    <col min="12" max="12" width="15.109375" bestFit="1" customWidth="1"/>
    <col min="13" max="13" width="20" customWidth="1"/>
    <col min="14" max="14" width="14.109375" customWidth="1"/>
    <col min="15" max="15" width="20" customWidth="1"/>
    <col min="16" max="16" width="29.6640625" customWidth="1"/>
    <col min="17" max="17" width="16.88671875" customWidth="1"/>
    <col min="18" max="18" width="12" customWidth="1"/>
    <col min="19" max="19" width="20" customWidth="1"/>
    <col min="20" max="20" width="21.6640625" bestFit="1" customWidth="1"/>
    <col min="21" max="21" width="15.6640625" customWidth="1"/>
    <col min="22" max="22" width="20.109375" bestFit="1" customWidth="1"/>
    <col min="23" max="23" width="16" customWidth="1"/>
    <col min="24" max="24" width="12" customWidth="1"/>
    <col min="25" max="25" width="16.44140625" customWidth="1"/>
    <col min="26" max="26" width="12" customWidth="1"/>
    <col min="27" max="27" width="20" customWidth="1"/>
    <col min="28" max="28" width="12" customWidth="1"/>
    <col min="29" max="29" width="16.88671875" customWidth="1"/>
    <col min="30" max="30" width="12" customWidth="1"/>
    <col min="31" max="31" width="17.33203125" customWidth="1"/>
    <col min="32" max="32" width="12" customWidth="1"/>
    <col min="33" max="33" width="16.88671875" customWidth="1"/>
    <col min="34" max="34" width="12" customWidth="1"/>
    <col min="35" max="35" width="16.88671875" customWidth="1"/>
    <col min="36" max="36" width="12" customWidth="1"/>
    <col min="37" max="37" width="16.88671875" customWidth="1"/>
    <col min="38" max="38" width="12" customWidth="1"/>
    <col min="39" max="39" width="16.88671875" customWidth="1"/>
    <col min="40" max="40" width="12" customWidth="1"/>
    <col min="41" max="41" width="17.33203125" customWidth="1"/>
    <col min="42" max="42" width="12" customWidth="1"/>
    <col min="43" max="43" width="17.33203125" customWidth="1"/>
    <col min="44" max="44" width="12" customWidth="1"/>
    <col min="45" max="45" width="16.88671875" customWidth="1"/>
    <col min="46" max="46" width="12" customWidth="1"/>
    <col min="47" max="47" width="16.44140625" customWidth="1"/>
    <col min="48" max="48" width="12" customWidth="1"/>
    <col min="49" max="49" width="16.44140625" customWidth="1"/>
    <col min="50" max="50" width="12" customWidth="1"/>
    <col min="51" max="51" width="20.5546875" customWidth="1"/>
    <col min="52" max="52" width="17.33203125" bestFit="1" customWidth="1"/>
    <col min="53" max="53" width="16.88671875" customWidth="1"/>
    <col min="54" max="54" width="12" customWidth="1"/>
    <col min="55" max="55" width="16.44140625" customWidth="1"/>
    <col min="56" max="56" width="12" customWidth="1"/>
    <col min="57" max="57" width="16.88671875" customWidth="1"/>
    <col min="58" max="58" width="12" customWidth="1"/>
    <col min="59" max="59" width="21" customWidth="1"/>
    <col min="60" max="60" width="12" customWidth="1"/>
    <col min="61" max="61" width="14.44140625" customWidth="1"/>
    <col min="62" max="62" width="12" customWidth="1"/>
    <col min="63" max="63" width="13.5546875" customWidth="1"/>
    <col min="64" max="64" width="11.44140625" customWidth="1"/>
    <col min="65" max="67" width="12.6640625" customWidth="1"/>
    <col min="68" max="68" width="14.33203125" customWidth="1"/>
    <col min="69" max="69" width="17.6640625" customWidth="1"/>
    <col min="70" max="70" width="13.6640625" customWidth="1"/>
    <col min="71" max="71" width="14.33203125" customWidth="1"/>
    <col min="72" max="75" width="13" customWidth="1"/>
    <col min="76" max="76" width="17.88671875" customWidth="1"/>
    <col min="77" max="77" width="13.33203125" customWidth="1"/>
    <col min="78" max="78" width="11.88671875" customWidth="1"/>
    <col min="79" max="84" width="12.88671875" customWidth="1"/>
    <col min="85" max="85" width="17.33203125" customWidth="1"/>
    <col min="86" max="86" width="12.88671875" customWidth="1"/>
    <col min="87" max="87" width="17.33203125" customWidth="1"/>
    <col min="88" max="88" width="12.88671875" customWidth="1"/>
    <col min="89" max="89" width="15.6640625" customWidth="1"/>
    <col min="90" max="90" width="12.88671875" customWidth="1"/>
    <col min="91" max="96" width="15.6640625" customWidth="1"/>
    <col min="97" max="97" width="17.33203125" customWidth="1"/>
    <col min="98" max="98" width="15.6640625" customWidth="1"/>
    <col min="99" max="99" width="21.5546875" customWidth="1"/>
    <col min="100" max="102" width="15.6640625" customWidth="1"/>
    <col min="103" max="107" width="21.5546875" customWidth="1"/>
    <col min="108" max="108" width="17" customWidth="1"/>
    <col min="109" max="109" width="20.109375" customWidth="1"/>
    <col min="110" max="110" width="17.44140625" customWidth="1"/>
    <col min="111" max="111" width="21.109375" customWidth="1"/>
    <col min="112" max="112" width="23.33203125" customWidth="1"/>
    <col min="113" max="113" width="18" customWidth="1"/>
    <col min="114" max="114" width="13.33203125" customWidth="1"/>
    <col min="115" max="115" width="14.33203125" bestFit="1" customWidth="1"/>
    <col min="116" max="116" width="16.109375" bestFit="1" customWidth="1"/>
    <col min="117" max="117" width="14.5546875" bestFit="1" customWidth="1"/>
    <col min="118" max="119" width="17.88671875" customWidth="1"/>
    <col min="120" max="120" width="34.109375" customWidth="1"/>
    <col min="122" max="122" width="15" bestFit="1" customWidth="1"/>
    <col min="128" max="128" width="13.33203125" bestFit="1" customWidth="1"/>
    <col min="130" max="130" width="9.5546875" bestFit="1" customWidth="1"/>
  </cols>
  <sheetData>
    <row r="1" spans="1:70" ht="24.6" customHeight="1">
      <c r="A1" s="1283" t="s">
        <v>0</v>
      </c>
      <c r="B1" s="1283"/>
      <c r="C1" s="1283"/>
      <c r="D1" s="1283"/>
      <c r="E1" s="1283"/>
      <c r="F1" s="1283"/>
      <c r="G1" s="1283"/>
      <c r="H1" s="1283"/>
      <c r="I1" s="1283"/>
      <c r="J1" s="1283"/>
      <c r="K1" s="1283"/>
      <c r="L1" s="128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  <c r="BK1" s="3"/>
      <c r="BL1" s="2"/>
      <c r="BM1" s="3"/>
    </row>
    <row r="2" spans="1:70" ht="24.6" customHeight="1">
      <c r="A2" s="1283"/>
      <c r="B2" s="1283"/>
      <c r="C2" s="1283"/>
      <c r="D2" s="1283"/>
      <c r="E2" s="1283"/>
      <c r="F2" s="1283"/>
      <c r="G2" s="1283"/>
      <c r="H2" s="1283"/>
      <c r="I2" s="1283"/>
      <c r="J2" s="1283"/>
      <c r="K2" s="1283"/>
      <c r="L2" s="128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3"/>
      <c r="BK2" s="3"/>
      <c r="BL2" s="2"/>
      <c r="BM2" s="3"/>
    </row>
    <row r="3" spans="1:70" ht="24.6" customHeight="1">
      <c r="A3" s="1283"/>
      <c r="B3" s="1283"/>
      <c r="C3" s="1283"/>
      <c r="D3" s="1283"/>
      <c r="E3" s="1283"/>
      <c r="F3" s="1283"/>
      <c r="G3" s="1283"/>
      <c r="H3" s="1283"/>
      <c r="I3" s="1283"/>
      <c r="J3" s="1283"/>
      <c r="K3" s="1283"/>
      <c r="L3" s="128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3"/>
      <c r="BK3" s="3"/>
      <c r="BL3" s="2"/>
      <c r="BM3" s="3"/>
    </row>
    <row r="4" spans="1:70" ht="28.95" customHeight="1">
      <c r="A4" s="1201" t="s">
        <v>1</v>
      </c>
      <c r="B4" s="1201" t="s">
        <v>542</v>
      </c>
      <c r="C4" s="1201" t="s">
        <v>543</v>
      </c>
      <c r="D4" s="1195" t="s">
        <v>3</v>
      </c>
      <c r="E4" s="1195" t="s">
        <v>4</v>
      </c>
      <c r="F4" s="1195" t="s">
        <v>5</v>
      </c>
      <c r="G4" s="1195" t="s">
        <v>394</v>
      </c>
      <c r="H4" s="1195" t="s">
        <v>541</v>
      </c>
      <c r="I4" s="1194" t="s">
        <v>6</v>
      </c>
      <c r="J4" s="1235" t="s">
        <v>554</v>
      </c>
      <c r="K4" s="1194" t="s">
        <v>8</v>
      </c>
      <c r="L4" s="1194" t="s">
        <v>9</v>
      </c>
      <c r="M4" s="1194" t="s">
        <v>555</v>
      </c>
      <c r="N4" s="11"/>
      <c r="O4" s="12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3"/>
      <c r="BG4" s="3"/>
      <c r="BH4" s="3"/>
      <c r="BI4" s="3"/>
      <c r="BJ4" s="3"/>
      <c r="BK4" s="3"/>
      <c r="BL4" s="3"/>
      <c r="BM4" s="3"/>
      <c r="BN4" s="3"/>
    </row>
    <row r="5" spans="1:70" ht="18" hidden="1">
      <c r="A5" s="1201" t="s">
        <v>12</v>
      </c>
      <c r="B5" s="1201" t="s">
        <v>551</v>
      </c>
      <c r="C5" t="s">
        <v>31</v>
      </c>
      <c r="D5" s="1193">
        <v>2547</v>
      </c>
      <c r="E5" s="1194">
        <f>22992640/1.15</f>
        <v>19993600</v>
      </c>
      <c r="F5" s="1193" t="s">
        <v>13</v>
      </c>
      <c r="G5" s="1196">
        <v>45085</v>
      </c>
      <c r="H5" s="1196">
        <v>45816</v>
      </c>
      <c r="I5" s="1194">
        <f>SUMIF(Maindata[Framework ID],Wrapup31[[#This Row],[Framework ID]],Maindata[Project Total amount])</f>
        <v>19558881</v>
      </c>
      <c r="J5" s="1194">
        <f>E5-I5</f>
        <v>434719</v>
      </c>
      <c r="K5" s="1203">
        <f>SUMIF(Currentinvoices[Framework ID],Wrapup31[[#This Row],[Framework ID]],Currentinvoices[Invoices Submitted Without VAT])</f>
        <v>18891265.579999998</v>
      </c>
      <c r="L5" s="1203">
        <f>SUMIF(Currentinvoices[Framework ID],Wrapup31[[#This Row],[Framework ID]],Currentinvoices[Earned Value])</f>
        <v>19558881</v>
      </c>
      <c r="M5" s="1236">
        <f>Wrapup31[[#This Row],[Earned value]]-Wrapup31[[#This Row],[Invoices w/out VAT]]</f>
        <v>667615.42000000179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3"/>
      <c r="BG5" s="3"/>
      <c r="BH5" s="3"/>
      <c r="BI5" s="3"/>
      <c r="BJ5" s="3"/>
      <c r="BK5" s="3"/>
      <c r="BL5" s="3"/>
      <c r="BM5" s="3"/>
      <c r="BN5" s="21"/>
    </row>
    <row r="6" spans="1:70" hidden="1">
      <c r="A6" s="1202" t="s">
        <v>113</v>
      </c>
      <c r="B6" s="1202" t="s">
        <v>551</v>
      </c>
      <c r="C6" t="s">
        <v>114</v>
      </c>
      <c r="D6" s="1193">
        <v>2672</v>
      </c>
      <c r="E6" s="1194">
        <v>15054089</v>
      </c>
      <c r="F6" s="1195" t="s">
        <v>13</v>
      </c>
      <c r="G6" s="1196">
        <f>EDATE(Wrapup31[[#This Row],[Finsih Date]], - 24)</f>
        <v>45342</v>
      </c>
      <c r="H6" s="1196">
        <v>46073</v>
      </c>
      <c r="I6" s="1194">
        <f>SUMIF(Maindata[Framework ID],Wrapup31[[#This Row],[Framework ID]],Maindata[Project Total amount])</f>
        <v>15054089</v>
      </c>
      <c r="J6" s="1194">
        <f t="shared" ref="J6:J18" si="0">E6-I6</f>
        <v>0</v>
      </c>
      <c r="K6" s="1203">
        <f>SUMIF(Currentinvoices[Framework ID],Wrapup31[[#This Row],[Framework ID]],Currentinvoices[Invoices Submitted Without VAT])</f>
        <v>15054089</v>
      </c>
      <c r="L6" s="1203">
        <f>SUMIF(Currentinvoices[Framework ID],Wrapup31[[#This Row],[Framework ID]],Currentinvoices[Earned Value])</f>
        <v>15054089</v>
      </c>
      <c r="M6" s="1236">
        <f>Wrapup31[[#This Row],[Earned value]]-Wrapup31[[#This Row],[Invoices w/out VAT]]</f>
        <v>0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3"/>
      <c r="BH6" s="3"/>
      <c r="BI6" s="3"/>
      <c r="BJ6" s="3"/>
      <c r="BK6" s="3"/>
      <c r="BL6" s="3"/>
      <c r="BM6" s="3"/>
      <c r="BN6" s="3"/>
    </row>
    <row r="7" spans="1:70" ht="15.6">
      <c r="A7" s="1202" t="s">
        <v>235</v>
      </c>
      <c r="B7" s="1202" t="s">
        <v>553</v>
      </c>
      <c r="C7" t="s">
        <v>117</v>
      </c>
      <c r="D7" s="1193">
        <v>2709</v>
      </c>
      <c r="E7" s="1194">
        <v>19979840</v>
      </c>
      <c r="F7" s="1195" t="s">
        <v>11</v>
      </c>
      <c r="G7" s="1196">
        <v>45421</v>
      </c>
      <c r="H7" s="1196">
        <v>46882</v>
      </c>
      <c r="I7" s="1194">
        <f>SUMIF(Maindata[Framework ID],Wrapup31[[#This Row],[Framework ID]],Maindata[Project Total amount])</f>
        <v>18497269</v>
      </c>
      <c r="J7" s="1194">
        <f t="shared" si="0"/>
        <v>1482571</v>
      </c>
      <c r="K7" s="1203">
        <f>SUMIF(Currentinvoices[Framework ID],Wrapup31[[#This Row],[Framework ID]],Currentinvoices[Invoices Submitted Without VAT])</f>
        <v>18147017.549995001</v>
      </c>
      <c r="L7" s="1203">
        <f>SUMIF(Currentinvoices[Framework ID],Wrapup31[[#This Row],[Framework ID]],Currentinvoices[Earned Value])</f>
        <v>18467769</v>
      </c>
      <c r="M7" s="1236">
        <f>Wrapup31[[#This Row],[Earned value]]-Wrapup31[[#This Row],[Invoices w/out VAT]]</f>
        <v>320751.45000499859</v>
      </c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997"/>
      <c r="AQ7" s="997"/>
      <c r="AR7" s="997"/>
      <c r="AS7" s="997"/>
      <c r="AT7" s="997"/>
      <c r="AU7" s="997"/>
      <c r="AV7" s="997"/>
      <c r="AW7" s="997"/>
      <c r="AX7" s="997"/>
      <c r="AY7" s="997"/>
      <c r="AZ7" s="997"/>
      <c r="BA7" s="997"/>
      <c r="BB7" s="997"/>
      <c r="BC7" s="997"/>
      <c r="BD7" s="997"/>
      <c r="BE7" s="997"/>
      <c r="BF7" s="24"/>
      <c r="BG7" s="3"/>
      <c r="BH7" s="3"/>
      <c r="BI7" s="3"/>
      <c r="BJ7" s="3"/>
      <c r="BK7" s="3"/>
      <c r="BL7" s="3"/>
      <c r="BM7" s="3"/>
      <c r="BN7" s="3"/>
    </row>
    <row r="8" spans="1:70" hidden="1">
      <c r="A8" s="1202" t="s">
        <v>122</v>
      </c>
      <c r="B8" s="1201" t="s">
        <v>551</v>
      </c>
      <c r="C8" t="s">
        <v>307</v>
      </c>
      <c r="D8" s="1193">
        <v>2666</v>
      </c>
      <c r="E8" s="1194">
        <v>27837620</v>
      </c>
      <c r="F8" s="1195" t="s">
        <v>125</v>
      </c>
      <c r="G8" s="1196">
        <f>EDATE(Wrapup31[[#This Row],[Finsih Date]], - 10)</f>
        <v>45444</v>
      </c>
      <c r="H8" s="1196">
        <v>45748</v>
      </c>
      <c r="I8" s="1194">
        <f>SUMIF(Maindata[Framework ID],Wrapup31[[#This Row],[Framework ID]],Maindata[Project Total amount])</f>
        <v>27837620</v>
      </c>
      <c r="J8" s="1194">
        <f t="shared" si="0"/>
        <v>0</v>
      </c>
      <c r="K8" s="1203">
        <f>SUMIF(Currentinvoices[Framework ID],Wrapup31[[#This Row],[Framework ID]],Currentinvoices[Invoices Submitted Without VAT])</f>
        <v>25053857.995000001</v>
      </c>
      <c r="L8" s="1203">
        <f>SUMIF(Currentinvoices[Framework ID],Wrapup31[[#This Row],[Framework ID]],Currentinvoices[Earned Value])</f>
        <v>27837620</v>
      </c>
      <c r="M8" s="1236">
        <f>Wrapup31[[#This Row],[Earned value]]-Wrapup31[[#This Row],[Invoices w/out VAT]]</f>
        <v>2783762.004999999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3"/>
      <c r="BH8" s="3"/>
      <c r="BI8" s="3"/>
      <c r="BJ8" s="3"/>
      <c r="BK8" s="3"/>
      <c r="BL8" s="3"/>
      <c r="BM8" s="3"/>
      <c r="BN8" s="3"/>
    </row>
    <row r="9" spans="1:70">
      <c r="A9" s="1202" t="s">
        <v>234</v>
      </c>
      <c r="B9" s="1202" t="s">
        <v>553</v>
      </c>
      <c r="C9" t="s">
        <v>308</v>
      </c>
      <c r="D9" s="1193" t="s">
        <v>232</v>
      </c>
      <c r="E9" s="1194">
        <v>9799000</v>
      </c>
      <c r="F9" s="1195" t="s">
        <v>13</v>
      </c>
      <c r="G9" s="1196">
        <v>45608</v>
      </c>
      <c r="H9" s="1196">
        <v>46338</v>
      </c>
      <c r="I9" s="1194">
        <f>SUMIF(Maindata[Framework ID],Wrapup31[[#This Row],[Framework ID]],Maindata[Project Total amount])</f>
        <v>7075670</v>
      </c>
      <c r="J9" s="1194">
        <f t="shared" si="0"/>
        <v>2723330</v>
      </c>
      <c r="K9" s="1203">
        <f>SUMIF(Currentinvoices[Framework ID],Wrapup31[[#This Row],[Framework ID]],Currentinvoices[Invoices Submitted Without VAT])</f>
        <v>7075670.8999999994</v>
      </c>
      <c r="L9" s="1203">
        <f>SUMIF(Currentinvoices[Framework ID],Wrapup31[[#This Row],[Framework ID]],Currentinvoices[Earned Value])</f>
        <v>7075670</v>
      </c>
      <c r="M9" s="1236">
        <f>Wrapup31[[#This Row],[Earned value]]-Wrapup31[[#This Row],[Invoices w/out VAT]]</f>
        <v>-0.89999999944120646</v>
      </c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3"/>
      <c r="BH9" s="3"/>
      <c r="BI9" s="3"/>
      <c r="BJ9" s="3"/>
      <c r="BK9" s="3"/>
      <c r="BL9" s="3"/>
      <c r="BM9" s="3"/>
      <c r="BN9" s="3"/>
    </row>
    <row r="10" spans="1:70">
      <c r="A10" s="1202" t="s">
        <v>316</v>
      </c>
      <c r="B10" s="1202" t="s">
        <v>553</v>
      </c>
      <c r="C10" t="s">
        <v>317</v>
      </c>
      <c r="D10" s="1193">
        <v>2891</v>
      </c>
      <c r="E10" s="1194">
        <v>19856000</v>
      </c>
      <c r="F10" s="1195" t="s">
        <v>237</v>
      </c>
      <c r="G10" s="1196">
        <v>45700</v>
      </c>
      <c r="H10" s="1196">
        <v>47526</v>
      </c>
      <c r="I10" s="1194">
        <f>SUMIF(Maindata[Framework ID],Wrapup31[[#This Row],[Framework ID]],Maindata[Project Total amount])</f>
        <v>16551382</v>
      </c>
      <c r="J10" s="1194">
        <f t="shared" si="0"/>
        <v>3304618</v>
      </c>
      <c r="K10" s="1203">
        <f>SUMIF(Currentinvoices[Framework ID],Wrapup31[[#This Row],[Framework ID]],Currentinvoices[Invoices Submitted Without VAT])</f>
        <v>14962620.510000002</v>
      </c>
      <c r="L10" s="1203">
        <f>SUMIF(Currentinvoices[Framework ID],Wrapup31[[#This Row],[Framework ID]],Currentinvoices[Earned Value])</f>
        <v>15549822.66</v>
      </c>
      <c r="M10" s="1237">
        <f>Wrapup31[[#This Row],[Earned value]]-Wrapup31[[#This Row],[Invoices w/out VAT]]</f>
        <v>587202.14999999851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3"/>
      <c r="BH10" s="3"/>
      <c r="BI10" s="3"/>
      <c r="BJ10" s="3"/>
      <c r="BK10" s="3"/>
      <c r="BL10" s="3"/>
      <c r="BM10" s="3"/>
      <c r="BN10" s="3"/>
      <c r="BP10" t="s">
        <v>538</v>
      </c>
      <c r="BQ10" t="s">
        <v>539</v>
      </c>
      <c r="BR10" t="s">
        <v>540</v>
      </c>
    </row>
    <row r="11" spans="1:70" hidden="1">
      <c r="A11" s="1202" t="s">
        <v>233</v>
      </c>
      <c r="B11" s="1201" t="s">
        <v>551</v>
      </c>
      <c r="C11" t="s">
        <v>306</v>
      </c>
      <c r="D11" s="1193" t="s">
        <v>232</v>
      </c>
      <c r="E11" s="1194">
        <v>7025000</v>
      </c>
      <c r="F11" s="1195" t="s">
        <v>13</v>
      </c>
      <c r="G11" s="1196">
        <f>EDATE(Wrapup31[[#This Row],[Finsih Date]], - 24)</f>
        <v>45617</v>
      </c>
      <c r="H11" s="1196">
        <v>46347</v>
      </c>
      <c r="I11" s="1194">
        <f>SUMIF(Maindata[Framework ID],Wrapup31[[#This Row],[Framework ID]],Maindata[Project Total amount])</f>
        <v>7025000</v>
      </c>
      <c r="J11" s="1194">
        <f t="shared" si="0"/>
        <v>0</v>
      </c>
      <c r="K11" s="1203">
        <f>SUMIF(Currentinvoices[Framework ID],Wrapup31[[#This Row],[Framework ID]],Currentinvoices[Invoices Submitted Without VAT])</f>
        <v>7024999.8499999996</v>
      </c>
      <c r="L11" s="1203">
        <f>SUMIF(Currentinvoices[Framework ID],Wrapup31[[#This Row],[Framework ID]],Currentinvoices[Earned Value])</f>
        <v>14050000</v>
      </c>
      <c r="M11" s="1236">
        <f>Wrapup31[[#This Row],[Earned value]]-Wrapup31[[#This Row],[Invoices w/out VAT]]</f>
        <v>7025000.1500000004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3"/>
      <c r="BH11" s="3"/>
      <c r="BI11" s="3"/>
      <c r="BJ11" s="3"/>
      <c r="BK11" s="3"/>
      <c r="BL11" s="3"/>
      <c r="BM11" s="3"/>
      <c r="BN11" s="3"/>
      <c r="BO11" t="s">
        <v>538</v>
      </c>
      <c r="BP11">
        <v>15</v>
      </c>
      <c r="BQ11">
        <v>13</v>
      </c>
      <c r="BR11">
        <v>15</v>
      </c>
    </row>
    <row r="12" spans="1:70">
      <c r="A12" s="1202" t="s">
        <v>236</v>
      </c>
      <c r="B12" s="1202" t="s">
        <v>553</v>
      </c>
      <c r="C12" t="s">
        <v>313</v>
      </c>
      <c r="D12" s="1193">
        <v>2814</v>
      </c>
      <c r="E12" s="1194">
        <v>59999685.82</v>
      </c>
      <c r="F12" s="1195" t="s">
        <v>237</v>
      </c>
      <c r="G12" s="1196">
        <v>45567</v>
      </c>
      <c r="H12" s="1196">
        <v>47393</v>
      </c>
      <c r="I12" s="1194">
        <f>SUMIF(Maindata[Framework ID],Wrapup31[[#This Row],[Framework ID]],Maindata[Project Total amount])</f>
        <v>0</v>
      </c>
      <c r="J12" s="1194">
        <f t="shared" si="0"/>
        <v>59999685.82</v>
      </c>
      <c r="K12" s="1203">
        <f>SUMIF(Currentinvoices[Framework ID],Wrapup31[[#This Row],[Framework ID]],Currentinvoices[Invoices Submitted Without VAT])</f>
        <v>22554552.330000002</v>
      </c>
      <c r="L12" s="1203">
        <f>SUMIF(Currentinvoices[Framework ID],Wrapup31[[#This Row],[Framework ID]],Currentinvoices[Earned Value])</f>
        <v>0</v>
      </c>
      <c r="M12" s="1238">
        <f>Wrapup31[[#This Row],[Earned value]]-Wrapup31[[#This Row],[Invoices w/out VAT]]</f>
        <v>-22554552.330000002</v>
      </c>
      <c r="N12" s="257"/>
      <c r="O12" s="26"/>
      <c r="P12" s="691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3"/>
      <c r="BH12" s="3"/>
      <c r="BI12" s="3"/>
      <c r="BJ12" s="3"/>
      <c r="BK12" s="3"/>
      <c r="BL12" s="3"/>
      <c r="BM12" s="3"/>
      <c r="BN12" s="3"/>
    </row>
    <row r="13" spans="1:70">
      <c r="A13" s="1202" t="s">
        <v>367</v>
      </c>
      <c r="B13" s="1202" t="s">
        <v>553</v>
      </c>
      <c r="C13" t="s">
        <v>362</v>
      </c>
      <c r="D13" s="1193">
        <v>2966</v>
      </c>
      <c r="E13" s="1194">
        <v>14990000</v>
      </c>
      <c r="F13" s="1195" t="s">
        <v>13</v>
      </c>
      <c r="G13" s="1196">
        <v>45832</v>
      </c>
      <c r="H13" s="1196">
        <v>46562</v>
      </c>
      <c r="I13" s="1194">
        <f>SUMIF(Maindata[Framework ID],Wrapup31[[#This Row],[Framework ID]],Maindata[Project Total amount])</f>
        <v>11685630</v>
      </c>
      <c r="J13" s="1194">
        <f>E13-I13</f>
        <v>3304370</v>
      </c>
      <c r="K13" s="1203">
        <f>SUMIF(Currentinvoices[Framework ID],Wrapup31[[#This Row],[Framework ID]],Currentinvoices[Invoices Submitted Without VAT])</f>
        <v>3939904.9300000006</v>
      </c>
      <c r="L13" s="1203">
        <f>SUMIF(Currentinvoices[Framework ID],Wrapup31[[#This Row],[Framework ID]],Currentinvoices[Earned Value])</f>
        <v>4469255</v>
      </c>
      <c r="M13" s="1238">
        <f>Wrapup31[[#This Row],[Earned value]]-Wrapup31[[#This Row],[Invoices w/out VAT]]</f>
        <v>529350.06999999937</v>
      </c>
      <c r="N13" s="257"/>
      <c r="O13" s="26"/>
      <c r="P13" s="691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3"/>
      <c r="BH13" s="3"/>
      <c r="BI13" s="3"/>
      <c r="BJ13" s="3"/>
      <c r="BK13" s="3"/>
      <c r="BL13" s="3"/>
      <c r="BM13" s="3"/>
      <c r="BN13" s="3"/>
    </row>
    <row r="14" spans="1:70">
      <c r="A14" s="1202" t="s">
        <v>637</v>
      </c>
      <c r="B14" s="1202" t="s">
        <v>553</v>
      </c>
      <c r="C14" t="s">
        <v>664</v>
      </c>
      <c r="D14" s="1193">
        <v>3172</v>
      </c>
      <c r="E14" s="1194">
        <v>25298852.170000002</v>
      </c>
      <c r="F14" s="1271"/>
      <c r="G14" s="1196">
        <v>46057</v>
      </c>
      <c r="H14" s="1196">
        <v>46602</v>
      </c>
      <c r="I14" s="1272">
        <f>SUMIF(Maindata[Framework ID],Wrapup31[[#This Row],[Framework ID]],Maindata[Project Total amount])</f>
        <v>25298852</v>
      </c>
      <c r="J14" s="1272">
        <f>E14-I14</f>
        <v>0.17000000178813934</v>
      </c>
      <c r="K14" s="1273">
        <f>SUMIF(Currentinvoices[Framework ID],Wrapup31[[#This Row],[Framework ID]],Currentinvoices[Invoices Submitted Without VAT])</f>
        <v>7469770.1199999992</v>
      </c>
      <c r="L14" s="1203">
        <f>SUMIF(Currentinvoices[Framework ID],Wrapup31[[#This Row],[Framework ID]],Currentinvoices[Earned Value])</f>
        <v>12009586.719999999</v>
      </c>
      <c r="M14" s="1238">
        <f>Wrapup31[[#This Row],[Earned value]]-Wrapup31[[#This Row],[Invoices w/out VAT]]</f>
        <v>4539816.5999999996</v>
      </c>
      <c r="N14" s="257"/>
      <c r="O14" s="26"/>
      <c r="P14" s="691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3"/>
      <c r="BH14" s="3"/>
      <c r="BI14" s="3"/>
      <c r="BJ14" s="3"/>
      <c r="BK14" s="3"/>
      <c r="BL14" s="3"/>
      <c r="BM14" s="3"/>
      <c r="BN14" s="3"/>
    </row>
    <row r="15" spans="1:70">
      <c r="A15" s="1202" t="s">
        <v>364</v>
      </c>
      <c r="B15" s="1202" t="s">
        <v>553</v>
      </c>
      <c r="C15" t="s">
        <v>370</v>
      </c>
      <c r="D15" s="1193">
        <v>3026</v>
      </c>
      <c r="E15" s="1194">
        <v>59500000</v>
      </c>
      <c r="F15" s="1195" t="s">
        <v>365</v>
      </c>
      <c r="G15" s="1196">
        <v>45858</v>
      </c>
      <c r="H15" s="1196">
        <v>46954</v>
      </c>
      <c r="I15" s="1194">
        <f>SUMIF(Maindata[Framework ID],Wrapup31[[#This Row],[Framework ID]],Maindata[Project Total amount])</f>
        <v>39471610</v>
      </c>
      <c r="J15" s="1194">
        <f t="shared" si="0"/>
        <v>20028390</v>
      </c>
      <c r="K15" s="1203">
        <f>SUMIF(Currentinvoices[Framework ID],Wrapup31[[#This Row],[Framework ID]],Currentinvoices[Invoices Submitted Without VAT])</f>
        <v>27536518</v>
      </c>
      <c r="L15" s="1203">
        <f>SUMIF(Currentinvoices[Framework ID],Wrapup31[[#This Row],[Framework ID]],Currentinvoices[Earned Value])</f>
        <v>28199914.91</v>
      </c>
      <c r="M15" s="1238">
        <f>Wrapup31[[#This Row],[Earned value]]-Wrapup31[[#This Row],[Invoices w/out VAT]]</f>
        <v>663396.91000000015</v>
      </c>
      <c r="N15" s="257"/>
      <c r="O15" s="26"/>
      <c r="P15" s="69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3"/>
      <c r="BH15" s="3"/>
      <c r="BI15" s="3"/>
      <c r="BJ15" s="3"/>
      <c r="BK15" s="3"/>
      <c r="BL15" s="3"/>
      <c r="BM15" s="3"/>
      <c r="BN15" s="3"/>
      <c r="BP15">
        <f>MOD(SUM(BP11:BR11),2)</f>
        <v>1</v>
      </c>
    </row>
    <row r="16" spans="1:70">
      <c r="A16" s="1202" t="s">
        <v>366</v>
      </c>
      <c r="B16" s="1202" t="s">
        <v>553</v>
      </c>
      <c r="C16" t="s">
        <v>373</v>
      </c>
      <c r="D16" s="1193">
        <v>3041</v>
      </c>
      <c r="E16" s="1194">
        <v>11637180</v>
      </c>
      <c r="F16" s="1195" t="s">
        <v>13</v>
      </c>
      <c r="G16" s="1196">
        <f>EDATE(Wrapup31[[#This Row],[Finsih Date]], - 24)</f>
        <v>45879</v>
      </c>
      <c r="H16" s="1196">
        <v>46609</v>
      </c>
      <c r="I16" s="1194">
        <f>SUMIF(Maindata[Framework ID],Wrapup31[[#This Row],[Framework ID]],Maindata[Project Total amount])</f>
        <v>7146100</v>
      </c>
      <c r="J16" s="1194">
        <f t="shared" si="0"/>
        <v>4491080</v>
      </c>
      <c r="K16" s="1203">
        <f>SUMIF(Currentinvoices[Framework ID],Wrapup31[[#This Row],[Framework ID]],Currentinvoices[Invoices Submitted Without VAT])</f>
        <v>6043100.3344446002</v>
      </c>
      <c r="L16" s="1203">
        <f>SUMIF(Currentinvoices[Framework ID],Wrapup31[[#This Row],[Framework ID]],Currentinvoices[Earned Value])</f>
        <v>7146100</v>
      </c>
      <c r="M16" s="1238">
        <f>Wrapup31[[#This Row],[Earned value]]-Wrapup31[[#This Row],[Invoices w/out VAT]]</f>
        <v>1102999.6655553998</v>
      </c>
      <c r="N16" s="257"/>
      <c r="O16" s="26"/>
      <c r="P16" s="691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3"/>
      <c r="BH16" s="3"/>
      <c r="BI16" s="3"/>
      <c r="BJ16" s="3"/>
      <c r="BK16" s="3"/>
      <c r="BL16" s="3"/>
      <c r="BM16" s="3"/>
      <c r="BN16" s="3"/>
    </row>
    <row r="17" spans="1:66">
      <c r="A17" s="1202" t="s">
        <v>368</v>
      </c>
      <c r="B17" s="1202" t="s">
        <v>553</v>
      </c>
      <c r="C17" t="s">
        <v>371</v>
      </c>
      <c r="D17" s="1193">
        <v>3042</v>
      </c>
      <c r="E17" s="1194">
        <v>27800000</v>
      </c>
      <c r="F17" s="1195" t="s">
        <v>13</v>
      </c>
      <c r="G17" s="1196">
        <f>EDATE(Wrapup31[[#This Row],[Finsih Date]], - 24)</f>
        <v>45868</v>
      </c>
      <c r="H17" s="1196">
        <v>46598</v>
      </c>
      <c r="I17" s="1194">
        <f>SUMIF(Maindata[Framework ID],Wrapup31[[#This Row],[Framework ID]],Maindata[Project Total amount])</f>
        <v>23907174</v>
      </c>
      <c r="J17" s="1194">
        <f t="shared" si="0"/>
        <v>3892826</v>
      </c>
      <c r="K17" s="1203">
        <f>SUMIF(Currentinvoices[Framework ID],Wrapup31[[#This Row],[Framework ID]],Currentinvoices[Invoices Submitted Without VAT])</f>
        <v>19924324.700000003</v>
      </c>
      <c r="L17" s="1203">
        <f>SUMIF(Currentinvoices[Framework ID],Wrapup31[[#This Row],[Framework ID]],Currentinvoices[Earned Value])</f>
        <v>22967071.600000001</v>
      </c>
      <c r="M17" s="1238">
        <f>Wrapup31[[#This Row],[Earned value]]-Wrapup31[[#This Row],[Invoices w/out VAT]]</f>
        <v>3042746.8999999985</v>
      </c>
      <c r="N17" s="257"/>
      <c r="O17" s="26"/>
      <c r="P17" s="691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3"/>
      <c r="BH17" s="3"/>
      <c r="BI17" s="3"/>
      <c r="BJ17" s="3"/>
      <c r="BK17" s="3"/>
      <c r="BL17" s="3"/>
      <c r="BM17" s="3"/>
      <c r="BN17" s="3"/>
    </row>
    <row r="18" spans="1:66">
      <c r="A18" s="1200" t="s">
        <v>369</v>
      </c>
      <c r="B18" s="1202" t="s">
        <v>553</v>
      </c>
      <c r="C18" s="1200"/>
      <c r="D18" s="1197">
        <v>3020</v>
      </c>
      <c r="E18" s="1198">
        <v>19955000</v>
      </c>
      <c r="F18" s="1195" t="s">
        <v>11</v>
      </c>
      <c r="G18" s="1199">
        <f>EDATE(Wrapup31[[#This Row],[Finsih Date]], - 48)</f>
        <v>45848</v>
      </c>
      <c r="H18" s="1199">
        <v>47309</v>
      </c>
      <c r="I18" s="1194">
        <f>SUMIF(Maindata[Framework ID],Wrapup31[[#This Row],[Framework ID]],Maindata[Project Total amount])</f>
        <v>0</v>
      </c>
      <c r="J18" s="1198">
        <f t="shared" si="0"/>
        <v>19955000</v>
      </c>
      <c r="K18" s="1203">
        <f>SUMIF(Currentinvoices[Framework ID],Wrapup31[[#This Row],[Framework ID]],Currentinvoices[Invoices Submitted Without VAT])</f>
        <v>0</v>
      </c>
      <c r="L18" s="1203">
        <f>SUMIF(Currentinvoices[Framework ID],Wrapup31[[#This Row],[Framework ID]],Currentinvoices[Earned Value])</f>
        <v>0</v>
      </c>
      <c r="M18" s="1238">
        <f>Wrapup31[[#This Row],[Earned value]]-Wrapup31[[#This Row],[Invoices w/out VAT]]</f>
        <v>0</v>
      </c>
      <c r="N18" s="257"/>
      <c r="O18" s="26"/>
      <c r="P18" s="691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3"/>
      <c r="BH18" s="3"/>
      <c r="BI18" s="3"/>
      <c r="BJ18" s="3"/>
      <c r="BK18" s="3"/>
      <c r="BL18" s="3"/>
      <c r="BM18" s="3"/>
      <c r="BN18" s="3"/>
    </row>
    <row r="19" spans="1:66">
      <c r="A19" t="s">
        <v>536</v>
      </c>
      <c r="B19" s="1202" t="s">
        <v>553</v>
      </c>
      <c r="C19" t="s">
        <v>537</v>
      </c>
      <c r="D19" s="1193"/>
      <c r="E19" s="1194">
        <v>57332139</v>
      </c>
      <c r="F19" s="1195"/>
      <c r="G19" s="1195"/>
      <c r="H19" s="1199"/>
      <c r="I19" s="1194">
        <f>SUMIF(Maindata[Framework ID],Wrapup31[[#This Row],[Framework ID]],Maindata[Project Total amount])</f>
        <v>51542408.520000003</v>
      </c>
      <c r="J19" s="1234">
        <f>E19-I19</f>
        <v>5789730.4799999967</v>
      </c>
      <c r="K19" s="1203">
        <f>SUMIF(Currentinvoices[Framework ID],Wrapup31[[#This Row],[Framework ID]],Currentinvoices[Invoices Submitted Without VAT])</f>
        <v>7579488.4100000001</v>
      </c>
      <c r="L19" s="1203">
        <f>SUMIF(Currentinvoices[Framework ID],Wrapup31[[#This Row],[Framework ID]],Currentinvoices[Earned Value])</f>
        <v>5647031.8799200011</v>
      </c>
      <c r="M19" s="1236">
        <f>Wrapup31[[#This Row],[Earned value]]-Wrapup31[[#This Row],[Invoices w/out VAT]]</f>
        <v>-1932456.530079999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</row>
    <row r="20" spans="1:66">
      <c r="A20" s="1274" t="s">
        <v>25</v>
      </c>
      <c r="B20" s="1275"/>
      <c r="C20" s="1276"/>
      <c r="D20" s="1277"/>
      <c r="E20" s="1278">
        <f>SUBTOTAL(109,Wrapup31[Value])</f>
        <v>326147696.99000001</v>
      </c>
      <c r="F20" s="1279"/>
      <c r="G20" s="1279"/>
      <c r="H20" s="1280"/>
      <c r="I20" s="1281">
        <f>SUBTOTAL(109,Wrapup31[[Committed ]])</f>
        <v>201176095.52000001</v>
      </c>
      <c r="J20" s="1281">
        <f>SUBTOTAL(109,Wrapup31[Remaining from framework])</f>
        <v>124971601.47</v>
      </c>
      <c r="K20" s="1282">
        <f>SUBTOTAL(109,Wrapup31[Invoices w/out VAT])</f>
        <v>135232967.78443959</v>
      </c>
      <c r="L20" s="1282">
        <f>SUBTOTAL(109,Wrapup31[Earned value])</f>
        <v>121532221.76991999</v>
      </c>
      <c r="M20" s="1192"/>
    </row>
    <row r="21" spans="1:66">
      <c r="D21" s="179"/>
      <c r="E21" s="179"/>
      <c r="F21" s="179"/>
      <c r="G21" s="179"/>
      <c r="H21" s="179"/>
      <c r="I21" s="179"/>
      <c r="J21" s="179"/>
      <c r="K21" s="179"/>
    </row>
    <row r="22" spans="1:66">
      <c r="D22" s="179"/>
      <c r="E22" s="179"/>
      <c r="F22" s="179"/>
      <c r="G22" s="179"/>
      <c r="H22" s="179"/>
      <c r="I22" s="179"/>
      <c r="J22" s="179"/>
      <c r="K22" s="179"/>
    </row>
    <row r="25" spans="1:66">
      <c r="K25" s="179"/>
    </row>
  </sheetData>
  <mergeCells count="1">
    <mergeCell ref="A1:L3"/>
  </mergeCells>
  <pageMargins left="0.7" right="0.7" top="0.75" bottom="0.75" header="0.3" footer="0.3"/>
  <pageSetup scale="11" fitToHeight="0" orientation="landscape" r:id="rId1"/>
  <ignoredErrors>
    <ignoredError sqref="E5 J5:K5 I19:L19 M15:M16 M5:M6 J6:L6 I5:I6 M18 M8:M11 I8 I15:K18 I10:I11 J8:L12 J7:K7" unlockedFormula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K98"/>
  <sheetViews>
    <sheetView topLeftCell="A64" zoomScaleNormal="100" workbookViewId="0">
      <pane xSplit="4" topLeftCell="AC1" activePane="topRight" state="frozen"/>
      <selection activeCell="A19" sqref="A19"/>
      <selection pane="topRight" activeCell="D77" sqref="D77"/>
    </sheetView>
  </sheetViews>
  <sheetFormatPr defaultColWidth="8.88671875" defaultRowHeight="14.4"/>
  <cols>
    <col min="1" max="1" width="38.5546875" style="179" customWidth="1"/>
    <col min="2" max="2" width="15.33203125" style="179" bestFit="1" customWidth="1"/>
    <col min="3" max="3" width="15.109375" style="179" bestFit="1" customWidth="1"/>
    <col min="4" max="4" width="73.5546875" style="179" customWidth="1"/>
    <col min="5" max="5" width="19.5546875" style="179" bestFit="1" customWidth="1"/>
    <col min="6" max="6" width="16.33203125" style="179" bestFit="1" customWidth="1"/>
    <col min="7" max="7" width="19.44140625" style="179" customWidth="1"/>
    <col min="8" max="8" width="31.88671875" style="179" customWidth="1"/>
    <col min="9" max="9" width="25.88671875" style="179" bestFit="1" customWidth="1"/>
    <col min="10" max="10" width="22" style="179" bestFit="1" customWidth="1"/>
    <col min="11" max="11" width="26" style="179" customWidth="1"/>
    <col min="12" max="12" width="20" style="179" customWidth="1"/>
    <col min="13" max="13" width="15" style="179" customWidth="1"/>
    <col min="14" max="14" width="20" style="179" customWidth="1"/>
    <col min="15" max="15" width="29.6640625" style="179" customWidth="1"/>
    <col min="16" max="16" width="19" style="179" customWidth="1"/>
    <col min="17" max="17" width="15" style="179" customWidth="1"/>
    <col min="18" max="18" width="20" style="179" customWidth="1"/>
    <col min="19" max="19" width="21.6640625" style="179" bestFit="1" customWidth="1"/>
    <col min="20" max="20" width="19" style="179" customWidth="1"/>
    <col min="21" max="21" width="20.109375" style="179" bestFit="1" customWidth="1"/>
    <col min="22" max="22" width="16.44140625" style="179" customWidth="1"/>
    <col min="23" max="23" width="16.33203125" style="179" customWidth="1"/>
    <col min="24" max="24" width="19" style="179" customWidth="1"/>
    <col min="25" max="25" width="15" style="179" customWidth="1"/>
    <col min="26" max="26" width="20" style="179" customWidth="1"/>
    <col min="27" max="27" width="16.33203125" style="179" customWidth="1"/>
    <col min="28" max="28" width="19" style="179" customWidth="1"/>
    <col min="29" max="29" width="15" style="179" customWidth="1"/>
    <col min="30" max="30" width="17.33203125" style="179" customWidth="1"/>
    <col min="31" max="31" width="16.33203125" style="179" customWidth="1"/>
    <col min="32" max="32" width="19" style="179" customWidth="1"/>
    <col min="33" max="33" width="15" style="179" customWidth="1"/>
    <col min="34" max="34" width="16.88671875" style="179" customWidth="1"/>
    <col min="35" max="35" width="16.33203125" style="179" customWidth="1"/>
    <col min="36" max="36" width="19" style="179" customWidth="1"/>
    <col min="37" max="37" width="15" style="179" customWidth="1"/>
    <col min="38" max="38" width="16.88671875" style="179" customWidth="1"/>
    <col min="39" max="39" width="16.33203125" style="179" customWidth="1"/>
    <col min="40" max="40" width="19" style="179" customWidth="1"/>
    <col min="41" max="41" width="15" style="179" customWidth="1"/>
    <col min="42" max="43" width="17.33203125" style="179" customWidth="1"/>
    <col min="44" max="44" width="20" style="179" customWidth="1"/>
    <col min="45" max="45" width="16" style="179" customWidth="1"/>
    <col min="46" max="47" width="17.33203125" style="179" customWidth="1"/>
    <col min="48" max="48" width="20" style="179" customWidth="1"/>
    <col min="49" max="49" width="16" style="179" customWidth="1"/>
    <col min="50" max="50" width="20.5546875" style="179" customWidth="1"/>
    <col min="51" max="51" width="17.33203125" style="179" bestFit="1" customWidth="1"/>
    <col min="52" max="52" width="20" style="179" customWidth="1"/>
    <col min="53" max="53" width="16" style="179" customWidth="1"/>
    <col min="54" max="55" width="17.33203125" style="179" customWidth="1"/>
    <col min="56" max="56" width="20" style="179" customWidth="1"/>
    <col min="57" max="57" width="16" style="179" customWidth="1"/>
    <col min="58" max="58" width="21" style="179" customWidth="1"/>
    <col min="59" max="59" width="17.33203125" style="179" customWidth="1"/>
    <col min="60" max="60" width="20" style="179" customWidth="1"/>
    <col min="61" max="61" width="16" style="179" customWidth="1"/>
    <col min="62" max="63" width="17.33203125" style="179" customWidth="1"/>
    <col min="64" max="64" width="20" style="179" customWidth="1"/>
    <col min="65" max="65" width="16" style="179" customWidth="1"/>
    <col min="66" max="67" width="17.33203125" style="179" customWidth="1"/>
    <col min="68" max="68" width="20" style="179" customWidth="1"/>
    <col min="69" max="69" width="16" style="179" customWidth="1"/>
    <col min="70" max="70" width="17.33203125" style="179" customWidth="1"/>
    <col min="71" max="71" width="22.33203125" style="179" customWidth="1"/>
    <col min="72" max="72" width="20" style="179" customWidth="1"/>
    <col min="73" max="73" width="16" style="179" customWidth="1"/>
    <col min="74" max="74" width="17.33203125" style="179" customWidth="1"/>
    <col min="75" max="75" width="17.88671875" style="179" customWidth="1"/>
    <col min="76" max="76" width="20" style="179" customWidth="1"/>
    <col min="77" max="77" width="16" style="179" customWidth="1"/>
    <col min="78" max="79" width="17.33203125" style="179" customWidth="1"/>
    <col min="80" max="80" width="20" style="179" customWidth="1"/>
    <col min="81" max="81" width="16" style="179" customWidth="1"/>
    <col min="82" max="83" width="17.33203125" style="179" customWidth="1"/>
    <col min="84" max="84" width="20" style="179" customWidth="1"/>
    <col min="85" max="85" width="16" style="179" customWidth="1"/>
    <col min="86" max="87" width="17.33203125" style="179" customWidth="1"/>
    <col min="88" max="88" width="20" style="179" customWidth="1"/>
    <col min="89" max="89" width="16" style="179" customWidth="1"/>
    <col min="90" max="91" width="17.33203125" style="179" customWidth="1"/>
    <col min="92" max="92" width="20" style="179" customWidth="1"/>
    <col min="93" max="93" width="16" style="179" customWidth="1"/>
    <col min="94" max="95" width="17.33203125" style="179" customWidth="1"/>
    <col min="96" max="96" width="20" style="179" customWidth="1"/>
    <col min="97" max="97" width="16" style="179" customWidth="1"/>
    <col min="98" max="98" width="21.5546875" style="179" customWidth="1"/>
    <col min="99" max="99" width="17.33203125" style="179" customWidth="1"/>
    <col min="100" max="100" width="20" style="179" customWidth="1"/>
    <col min="101" max="101" width="16" style="179" customWidth="1"/>
    <col min="102" max="106" width="21.5546875" style="179" customWidth="1"/>
    <col min="107" max="107" width="17" style="179" customWidth="1"/>
    <col min="108" max="108" width="20.109375" style="179" customWidth="1"/>
    <col min="109" max="109" width="17.44140625" style="179" customWidth="1"/>
    <col min="110" max="110" width="21.109375" style="179" customWidth="1"/>
    <col min="111" max="111" width="31" style="179" customWidth="1"/>
    <col min="112" max="112" width="28.109375" style="179" customWidth="1"/>
    <col min="113" max="113" width="15" style="179" customWidth="1"/>
    <col min="114" max="114" width="14.33203125" style="179" bestFit="1" customWidth="1"/>
    <col min="115" max="115" width="17.5546875" style="179" customWidth="1"/>
    <col min="116" max="16384" width="8.88671875" style="179"/>
  </cols>
  <sheetData>
    <row r="1" spans="1:141" ht="25.8">
      <c r="A1" s="1206" t="s">
        <v>17</v>
      </c>
      <c r="B1" s="1206"/>
      <c r="C1" s="1206"/>
      <c r="D1" s="1206"/>
      <c r="E1" s="1206"/>
      <c r="F1" s="1206"/>
      <c r="G1" s="1206"/>
      <c r="H1" s="1206"/>
      <c r="I1" s="1206"/>
      <c r="J1" s="1206"/>
      <c r="K1" s="1206"/>
      <c r="L1" s="1206"/>
      <c r="M1" s="1206"/>
      <c r="N1" s="1206"/>
      <c r="O1" s="1206"/>
      <c r="P1" s="1206"/>
      <c r="Q1" s="1206"/>
      <c r="R1" s="1206"/>
      <c r="S1" s="1206"/>
      <c r="T1" s="1206"/>
      <c r="U1" s="1206"/>
      <c r="V1" s="1206"/>
      <c r="W1" s="1206"/>
      <c r="X1" s="1206"/>
      <c r="Y1" s="1206"/>
      <c r="Z1" s="1206"/>
      <c r="AA1" s="1206"/>
      <c r="AB1" s="1206"/>
      <c r="AC1" s="1206"/>
      <c r="AD1" s="1206"/>
      <c r="AE1" s="1206"/>
      <c r="AF1" s="1206"/>
      <c r="AG1" s="1206"/>
      <c r="AH1" s="1206"/>
      <c r="AI1" s="1206"/>
      <c r="AJ1" s="1206"/>
      <c r="AK1" s="1206"/>
      <c r="AL1" s="1206"/>
      <c r="AM1" s="1206"/>
      <c r="AN1" s="1206"/>
      <c r="AO1" s="1206"/>
      <c r="AP1" s="1206"/>
      <c r="AQ1" s="1206"/>
      <c r="AR1" s="1206"/>
      <c r="AS1" s="1206"/>
      <c r="AT1" s="1206"/>
      <c r="AU1" s="1206"/>
      <c r="AV1" s="1206"/>
      <c r="AW1" s="1206"/>
      <c r="AX1" s="1206"/>
      <c r="AY1" s="1206"/>
      <c r="AZ1" s="1206"/>
      <c r="BA1" s="1206"/>
      <c r="BB1" s="1206"/>
      <c r="BC1" s="1206"/>
      <c r="BD1" s="1206"/>
      <c r="BE1" s="1206"/>
      <c r="BF1" s="1206"/>
      <c r="BG1" s="1206"/>
      <c r="BH1" s="1206"/>
      <c r="BI1" s="1206"/>
      <c r="BJ1" s="1206"/>
      <c r="BK1" s="1206"/>
      <c r="BL1" s="178"/>
      <c r="BM1" s="1231"/>
      <c r="BN1" s="1231"/>
      <c r="BO1" s="1231"/>
      <c r="BP1" s="1231"/>
      <c r="BQ1" s="1231"/>
      <c r="BR1" s="1231"/>
      <c r="BS1" s="1231"/>
      <c r="BT1" s="1231"/>
      <c r="BU1" s="1231"/>
      <c r="BV1" s="1231"/>
      <c r="BW1" s="1231"/>
      <c r="BX1" s="1231"/>
      <c r="BY1" s="1231"/>
      <c r="BZ1" s="1231"/>
      <c r="CA1" s="1231"/>
      <c r="CB1" s="1231"/>
      <c r="CC1" s="1231"/>
      <c r="CD1" s="1231"/>
      <c r="CE1" s="1231"/>
      <c r="CF1" s="1231"/>
      <c r="CG1" s="1231"/>
      <c r="CH1" s="1231"/>
      <c r="CI1" s="1231"/>
      <c r="CJ1" s="1231"/>
      <c r="CK1" s="1231"/>
      <c r="CL1" s="1231"/>
      <c r="CM1" s="1231"/>
      <c r="CN1" s="1231"/>
      <c r="CO1" s="1231"/>
      <c r="CP1" s="1231"/>
      <c r="CQ1" s="1231"/>
      <c r="CR1" s="1231"/>
      <c r="CS1" s="1231"/>
      <c r="CT1" s="1231"/>
      <c r="CU1" s="1231"/>
      <c r="CV1" s="1231"/>
      <c r="CW1" s="1231"/>
      <c r="CX1" s="1231"/>
      <c r="CY1" s="1231"/>
      <c r="CZ1" s="1231"/>
      <c r="DA1" s="1231"/>
      <c r="DB1" s="1231"/>
      <c r="DC1" s="1232"/>
      <c r="DD1" s="1231"/>
      <c r="DE1" s="1233"/>
      <c r="DF1" s="1231"/>
      <c r="DG1" s="1231"/>
      <c r="DH1" s="1231"/>
      <c r="DI1" s="1231"/>
      <c r="DJ1" s="1231"/>
      <c r="DK1" s="1231"/>
      <c r="DL1" s="1231"/>
      <c r="DM1" s="1231"/>
      <c r="DN1" s="1231"/>
      <c r="DO1" s="1231"/>
      <c r="DP1" s="1231"/>
      <c r="DQ1" s="1231"/>
      <c r="DR1" s="1231"/>
      <c r="DS1" s="1231"/>
      <c r="DT1" s="1231"/>
      <c r="DU1" s="1231"/>
      <c r="DV1" s="1231"/>
      <c r="DW1" s="1231"/>
      <c r="DX1" s="1231"/>
      <c r="DY1" s="1231"/>
      <c r="DZ1" s="1231"/>
      <c r="EA1" s="1231"/>
      <c r="EB1" s="1231"/>
      <c r="EC1" s="1231"/>
      <c r="ED1" s="1231"/>
      <c r="EE1" s="1231"/>
      <c r="EF1" s="1231"/>
      <c r="EG1" s="1231"/>
      <c r="EH1" s="1231"/>
      <c r="EI1" s="1231"/>
      <c r="EJ1" s="1231"/>
      <c r="EK1" s="1231"/>
    </row>
    <row r="2" spans="1:141" ht="25.8">
      <c r="A2" s="1206"/>
      <c r="B2" s="1206"/>
      <c r="C2" s="1206"/>
      <c r="D2" s="1206"/>
      <c r="E2" s="1206"/>
      <c r="F2" s="1206"/>
      <c r="G2" s="1206"/>
      <c r="H2" s="1206"/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  <c r="T2" s="1206"/>
      <c r="U2" s="1206"/>
      <c r="V2" s="1206"/>
      <c r="W2" s="1206"/>
      <c r="X2" s="1206"/>
      <c r="Y2" s="1206"/>
      <c r="Z2" s="1206"/>
      <c r="AA2" s="1206"/>
      <c r="AB2" s="1206"/>
      <c r="AC2" s="1206"/>
      <c r="AD2" s="1206"/>
      <c r="AE2" s="1206"/>
      <c r="AF2" s="1206"/>
      <c r="AG2" s="1206"/>
      <c r="AH2" s="1206"/>
      <c r="AI2" s="1206"/>
      <c r="AJ2" s="1206"/>
      <c r="AK2" s="1206"/>
      <c r="AL2" s="1206"/>
      <c r="AM2" s="1206"/>
      <c r="AN2" s="1206"/>
      <c r="AO2" s="1206"/>
      <c r="AP2" s="1206"/>
      <c r="AQ2" s="1206"/>
      <c r="AR2" s="1206"/>
      <c r="AS2" s="1206"/>
      <c r="AT2" s="1206"/>
      <c r="AU2" s="1206"/>
      <c r="AV2" s="1206"/>
      <c r="AW2" s="1206"/>
      <c r="AX2" s="1206"/>
      <c r="AY2" s="1206"/>
      <c r="AZ2" s="1206"/>
      <c r="BA2" s="1206"/>
      <c r="BB2" s="1206"/>
      <c r="BC2" s="1206"/>
      <c r="BD2" s="1206"/>
      <c r="BE2" s="1206"/>
      <c r="BF2" s="1206"/>
      <c r="BG2" s="1206"/>
      <c r="BH2" s="1206"/>
      <c r="BI2" s="1206"/>
      <c r="BJ2" s="1206"/>
      <c r="BK2" s="1206"/>
      <c r="BL2" s="178"/>
      <c r="BM2" s="1231"/>
      <c r="BN2" s="1231"/>
      <c r="BO2" s="1231"/>
      <c r="BP2" s="1231"/>
      <c r="BQ2" s="1231"/>
      <c r="BR2" s="1231"/>
      <c r="BS2" s="1231"/>
      <c r="BT2" s="1231"/>
      <c r="BU2" s="1231"/>
      <c r="BV2" s="1231"/>
      <c r="BW2" s="1231"/>
      <c r="BX2" s="1231"/>
      <c r="BY2" s="1231"/>
      <c r="BZ2" s="1231"/>
      <c r="CA2" s="1231"/>
      <c r="CB2" s="1231"/>
      <c r="CC2" s="1231"/>
      <c r="CD2" s="1231"/>
      <c r="CE2" s="1231"/>
      <c r="CF2" s="1231"/>
      <c r="CG2" s="1231"/>
      <c r="CH2" s="1231"/>
      <c r="CI2" s="1231"/>
      <c r="CJ2" s="1231"/>
      <c r="CK2" s="1231"/>
      <c r="CL2" s="1231"/>
      <c r="CM2" s="1231"/>
      <c r="CN2" s="1231"/>
      <c r="CO2" s="1231"/>
      <c r="CP2" s="1231"/>
      <c r="CQ2" s="1231"/>
      <c r="CR2" s="1231"/>
      <c r="CS2" s="1231"/>
      <c r="CT2" s="1231"/>
      <c r="CU2" s="1231"/>
      <c r="CV2" s="1231"/>
      <c r="CW2" s="1231"/>
      <c r="CX2" s="1231"/>
      <c r="CY2" s="1231"/>
      <c r="CZ2" s="1231"/>
      <c r="DA2" s="1231"/>
      <c r="DB2" s="1231"/>
      <c r="DC2" s="1231"/>
      <c r="DD2" s="1233"/>
      <c r="DE2" s="1233"/>
      <c r="DF2" s="1231"/>
      <c r="DG2" s="1231"/>
      <c r="DH2" s="1231"/>
      <c r="DI2" s="1231"/>
      <c r="DJ2" s="1231"/>
      <c r="DK2" s="1231"/>
      <c r="DL2" s="1231"/>
      <c r="DM2" s="1231"/>
      <c r="DN2" s="1231"/>
      <c r="DO2" s="1231"/>
      <c r="DP2" s="1231"/>
      <c r="DQ2" s="1231"/>
      <c r="DR2" s="1231"/>
      <c r="DS2" s="1231"/>
      <c r="DT2" s="1231"/>
      <c r="DU2" s="1231"/>
      <c r="DV2" s="1231"/>
      <c r="DW2" s="1231"/>
      <c r="DX2" s="1231"/>
      <c r="DY2" s="1231"/>
      <c r="DZ2" s="1231"/>
      <c r="EA2" s="1231"/>
      <c r="EB2" s="1231"/>
      <c r="EC2" s="1231"/>
      <c r="ED2" s="1231"/>
      <c r="EE2" s="1231"/>
      <c r="EF2" s="1231"/>
      <c r="EG2" s="1231"/>
      <c r="EH2" s="1231"/>
      <c r="EI2" s="1231"/>
      <c r="EJ2" s="1231"/>
      <c r="EK2" s="1231"/>
    </row>
    <row r="3" spans="1:141">
      <c r="A3" s="1207" t="s">
        <v>1</v>
      </c>
      <c r="B3" s="1207" t="s">
        <v>543</v>
      </c>
      <c r="C3" s="1207" t="s">
        <v>19</v>
      </c>
      <c r="D3" s="1208" t="s">
        <v>20</v>
      </c>
      <c r="E3" s="1207" t="s">
        <v>21</v>
      </c>
      <c r="F3" s="1207" t="s">
        <v>22</v>
      </c>
      <c r="G3" s="1207" t="s">
        <v>46</v>
      </c>
      <c r="H3" s="1207" t="s">
        <v>47</v>
      </c>
      <c r="I3" s="1207" t="s">
        <v>48</v>
      </c>
      <c r="J3" s="1207" t="s">
        <v>49</v>
      </c>
      <c r="K3" s="1207" t="s">
        <v>50</v>
      </c>
      <c r="L3" s="1207" t="s">
        <v>51</v>
      </c>
      <c r="M3" s="1207" t="s">
        <v>52</v>
      </c>
      <c r="N3" s="1207" t="s">
        <v>53</v>
      </c>
      <c r="O3" s="1207" t="s">
        <v>54</v>
      </c>
      <c r="P3" s="1207" t="s">
        <v>55</v>
      </c>
      <c r="Q3" s="1207" t="s">
        <v>56</v>
      </c>
      <c r="R3" s="1207" t="s">
        <v>57</v>
      </c>
      <c r="S3" s="1207" t="s">
        <v>58</v>
      </c>
      <c r="T3" s="1207" t="s">
        <v>59</v>
      </c>
      <c r="U3" s="1207" t="s">
        <v>60</v>
      </c>
      <c r="V3" s="1207" t="s">
        <v>61</v>
      </c>
      <c r="W3" s="1207" t="s">
        <v>62</v>
      </c>
      <c r="X3" s="1207" t="s">
        <v>63</v>
      </c>
      <c r="Y3" s="1207" t="s">
        <v>64</v>
      </c>
      <c r="Z3" s="1207" t="s">
        <v>65</v>
      </c>
      <c r="AA3" s="1207" t="s">
        <v>66</v>
      </c>
      <c r="AB3" s="1207" t="s">
        <v>67</v>
      </c>
      <c r="AC3" s="1207" t="s">
        <v>68</v>
      </c>
      <c r="AD3" s="1207" t="s">
        <v>69</v>
      </c>
      <c r="AE3" s="1207" t="s">
        <v>70</v>
      </c>
      <c r="AF3" s="1207" t="s">
        <v>71</v>
      </c>
      <c r="AG3" s="1207" t="s">
        <v>72</v>
      </c>
      <c r="AH3" s="1207" t="s">
        <v>73</v>
      </c>
      <c r="AI3" s="1207" t="s">
        <v>74</v>
      </c>
      <c r="AJ3" s="1207" t="s">
        <v>75</v>
      </c>
      <c r="AK3" s="1207" t="s">
        <v>76</v>
      </c>
      <c r="AL3" s="1207" t="s">
        <v>77</v>
      </c>
      <c r="AM3" s="1207" t="s">
        <v>78</v>
      </c>
      <c r="AN3" s="1207" t="s">
        <v>79</v>
      </c>
      <c r="AO3" s="1207" t="s">
        <v>80</v>
      </c>
      <c r="AP3" s="1207" t="s">
        <v>81</v>
      </c>
      <c r="AQ3" s="1207" t="s">
        <v>82</v>
      </c>
      <c r="AR3" s="1207" t="s">
        <v>83</v>
      </c>
      <c r="AS3" s="1207" t="s">
        <v>84</v>
      </c>
      <c r="AT3" s="1207" t="s">
        <v>85</v>
      </c>
      <c r="AU3" s="1207" t="s">
        <v>86</v>
      </c>
      <c r="AV3" s="1207" t="s">
        <v>87</v>
      </c>
      <c r="AW3" s="1207" t="s">
        <v>88</v>
      </c>
      <c r="AX3" s="1207" t="s">
        <v>89</v>
      </c>
      <c r="AY3" s="1207" t="s">
        <v>90</v>
      </c>
      <c r="AZ3" s="1207" t="s">
        <v>91</v>
      </c>
      <c r="BA3" s="1207" t="s">
        <v>92</v>
      </c>
      <c r="BB3" s="1207" t="s">
        <v>93</v>
      </c>
      <c r="BC3" s="1207" t="s">
        <v>94</v>
      </c>
      <c r="BD3" s="1207" t="s">
        <v>95</v>
      </c>
      <c r="BE3" s="1207" t="s">
        <v>96</v>
      </c>
      <c r="BF3" s="1207" t="s">
        <v>97</v>
      </c>
      <c r="BG3" s="1207" t="s">
        <v>98</v>
      </c>
      <c r="BH3" s="1207" t="s">
        <v>99</v>
      </c>
      <c r="BI3" s="1207" t="s">
        <v>100</v>
      </c>
      <c r="BJ3" s="1207" t="s">
        <v>101</v>
      </c>
      <c r="BK3" s="1207" t="s">
        <v>103</v>
      </c>
      <c r="BL3" s="1207" t="s">
        <v>104</v>
      </c>
      <c r="BM3" s="1207" t="s">
        <v>105</v>
      </c>
      <c r="BN3" s="1207" t="s">
        <v>106</v>
      </c>
      <c r="BO3" s="1207" t="s">
        <v>108</v>
      </c>
      <c r="BP3" s="1207" t="s">
        <v>109</v>
      </c>
      <c r="BQ3" s="1207" t="s">
        <v>110</v>
      </c>
      <c r="BR3" s="1207" t="s">
        <v>111</v>
      </c>
      <c r="BS3" s="1207" t="s">
        <v>126</v>
      </c>
      <c r="BT3" s="1207" t="s">
        <v>127</v>
      </c>
      <c r="BU3" s="1207" t="s">
        <v>128</v>
      </c>
      <c r="BV3" s="1207" t="s">
        <v>129</v>
      </c>
      <c r="BW3" s="1207" t="s">
        <v>136</v>
      </c>
      <c r="BX3" s="1207" t="s">
        <v>137</v>
      </c>
      <c r="BY3" s="1207" t="s">
        <v>138</v>
      </c>
      <c r="BZ3" s="1207" t="s">
        <v>139</v>
      </c>
      <c r="CA3" s="1207" t="s">
        <v>165</v>
      </c>
      <c r="CB3" s="1207" t="s">
        <v>166</v>
      </c>
      <c r="CC3" s="1207" t="s">
        <v>167</v>
      </c>
      <c r="CD3" s="1207" t="s">
        <v>168</v>
      </c>
      <c r="CE3" s="1207" t="s">
        <v>174</v>
      </c>
      <c r="CF3" s="1207" t="s">
        <v>175</v>
      </c>
      <c r="CG3" s="1207" t="s">
        <v>176</v>
      </c>
      <c r="CH3" s="1207" t="s">
        <v>177</v>
      </c>
      <c r="CI3" s="1207" t="s">
        <v>228</v>
      </c>
      <c r="CJ3" s="1207" t="s">
        <v>229</v>
      </c>
      <c r="CK3" s="1207" t="s">
        <v>230</v>
      </c>
      <c r="CL3" s="1207" t="s">
        <v>231</v>
      </c>
      <c r="CM3" s="1207" t="s">
        <v>238</v>
      </c>
      <c r="CN3" s="1207" t="s">
        <v>239</v>
      </c>
      <c r="CO3" s="1207" t="s">
        <v>240</v>
      </c>
      <c r="CP3" s="1207" t="s">
        <v>241</v>
      </c>
      <c r="CQ3" s="1207" t="s">
        <v>242</v>
      </c>
      <c r="CR3" s="1207" t="s">
        <v>243</v>
      </c>
      <c r="CS3" s="1207" t="s">
        <v>244</v>
      </c>
      <c r="CT3" s="1207" t="s">
        <v>245</v>
      </c>
      <c r="CU3" s="1207" t="s">
        <v>246</v>
      </c>
      <c r="CV3" s="1207" t="s">
        <v>247</v>
      </c>
      <c r="CW3" s="1207" t="s">
        <v>248</v>
      </c>
      <c r="CX3" s="1207" t="s">
        <v>249</v>
      </c>
      <c r="CY3" s="1207" t="s">
        <v>262</v>
      </c>
      <c r="CZ3" s="1207" t="s">
        <v>263</v>
      </c>
      <c r="DA3" s="1207" t="s">
        <v>264</v>
      </c>
      <c r="DB3" s="1207" t="s">
        <v>265</v>
      </c>
      <c r="DC3" s="1207" t="s">
        <v>23</v>
      </c>
      <c r="DD3" s="1209" t="s">
        <v>548</v>
      </c>
      <c r="DE3" s="1209" t="s">
        <v>24</v>
      </c>
      <c r="DF3" s="1209" t="s">
        <v>25</v>
      </c>
      <c r="DG3" s="1209" t="s">
        <v>26</v>
      </c>
      <c r="DH3" s="1209" t="s">
        <v>27</v>
      </c>
      <c r="DI3" s="1209" t="s">
        <v>28</v>
      </c>
      <c r="DJ3" s="1209" t="s">
        <v>29</v>
      </c>
      <c r="DK3" s="1209" t="s">
        <v>30</v>
      </c>
    </row>
    <row r="4" spans="1:141" ht="15.6">
      <c r="A4" s="1210" t="s">
        <v>12</v>
      </c>
      <c r="B4" t="s">
        <v>31</v>
      </c>
      <c r="C4" s="1210">
        <v>1</v>
      </c>
      <c r="D4" s="1211" t="s">
        <v>32</v>
      </c>
      <c r="E4" s="1210" t="s">
        <v>33</v>
      </c>
      <c r="F4" s="1212">
        <v>877779</v>
      </c>
      <c r="G4" s="1213">
        <v>45225</v>
      </c>
      <c r="H4" s="1214">
        <v>416905</v>
      </c>
      <c r="I4" s="45">
        <f>H4*15%</f>
        <v>62535.75</v>
      </c>
      <c r="J4" s="45">
        <f>H4+I4</f>
        <v>479440.75</v>
      </c>
      <c r="K4" s="247"/>
      <c r="L4" s="247"/>
      <c r="M4" s="247"/>
      <c r="N4" s="45"/>
      <c r="O4" s="1213">
        <v>45398</v>
      </c>
      <c r="P4" s="1215">
        <v>368699</v>
      </c>
      <c r="Q4" s="45">
        <f>P4*15%</f>
        <v>55304.85</v>
      </c>
      <c r="R4" s="45">
        <f>P4+Q4</f>
        <v>424003.85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247"/>
      <c r="AJ4" s="247"/>
      <c r="AK4" s="247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1216"/>
      <c r="DD4" s="1217">
        <f t="shared" ref="DD4:DD13" si="0">F4</f>
        <v>877779</v>
      </c>
      <c r="DE4" s="1217">
        <f t="shared" ref="DE4:DE13" si="1">DD4*15%</f>
        <v>131666.85</v>
      </c>
      <c r="DF4" s="1217">
        <f t="shared" ref="DF4:DF13" si="2">DD4+DE4</f>
        <v>1009445.85</v>
      </c>
      <c r="DG4" s="1217">
        <f>SUMPRODUCT((MOD(COLUMN(G4:DB4)-COLUMN(G4),4)=1)*G4:DB4)</f>
        <v>785604</v>
      </c>
      <c r="DH4" s="1217">
        <f t="shared" ref="DH4:DH15" si="3">SUMPRODUCT((MOD(COLUMN(G4:DB4)-COLUMN(H4),4)=2)*G4:DB4)</f>
        <v>903444.6</v>
      </c>
      <c r="DI4" s="1218">
        <v>1</v>
      </c>
      <c r="DJ4" s="1219">
        <f t="shared" ref="DJ4:DJ13" si="4">DI4*DD4</f>
        <v>877779</v>
      </c>
      <c r="DK4" s="1217">
        <f t="shared" ref="DK4:DK13" si="5">DJ4-DG4</f>
        <v>92175</v>
      </c>
    </row>
    <row r="5" spans="1:141" ht="15.6">
      <c r="A5" s="1210" t="s">
        <v>12</v>
      </c>
      <c r="B5" t="s">
        <v>31</v>
      </c>
      <c r="C5" s="1210">
        <v>2</v>
      </c>
      <c r="D5" s="1211" t="s">
        <v>34</v>
      </c>
      <c r="E5" s="1210" t="s">
        <v>35</v>
      </c>
      <c r="F5" s="1212">
        <v>1403611</v>
      </c>
      <c r="G5" s="1213">
        <v>45225</v>
      </c>
      <c r="H5" s="1220">
        <v>1403611</v>
      </c>
      <c r="I5" s="45">
        <f>H5*15%</f>
        <v>210541.65</v>
      </c>
      <c r="J5" s="45">
        <f>H5+I5</f>
        <v>1614152.65</v>
      </c>
      <c r="K5" s="247"/>
      <c r="L5" s="247"/>
      <c r="M5" s="247"/>
      <c r="N5" s="45"/>
      <c r="O5" s="247"/>
      <c r="P5" s="1221"/>
      <c r="Q5" s="247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247"/>
      <c r="AJ5" s="247"/>
      <c r="AK5" s="247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1216"/>
      <c r="DD5" s="1217">
        <f t="shared" si="0"/>
        <v>1403611</v>
      </c>
      <c r="DE5" s="1217">
        <f t="shared" si="1"/>
        <v>210541.65</v>
      </c>
      <c r="DF5" s="1217">
        <f t="shared" si="2"/>
        <v>1614152.65</v>
      </c>
      <c r="DG5" s="1217">
        <f t="shared" ref="DG5:DG78" si="6">SUMPRODUCT((MOD(COLUMN(G5:DB5)-COLUMN(G5),4)=1)*G5:DB5)</f>
        <v>1403611</v>
      </c>
      <c r="DH5" s="1217">
        <f t="shared" si="3"/>
        <v>1614152.65</v>
      </c>
      <c r="DI5" s="1218">
        <v>1</v>
      </c>
      <c r="DJ5" s="1219">
        <f t="shared" si="4"/>
        <v>1403611</v>
      </c>
      <c r="DK5" s="1217">
        <f t="shared" si="5"/>
        <v>0</v>
      </c>
    </row>
    <row r="6" spans="1:141" ht="15.6">
      <c r="A6" s="1210" t="s">
        <v>12</v>
      </c>
      <c r="B6" t="s">
        <v>31</v>
      </c>
      <c r="C6" s="1210">
        <v>3</v>
      </c>
      <c r="D6" s="1211" t="s">
        <v>36</v>
      </c>
      <c r="E6" s="1210" t="s">
        <v>37</v>
      </c>
      <c r="F6" s="1212">
        <v>2999654</v>
      </c>
      <c r="G6" s="1213">
        <v>45225</v>
      </c>
      <c r="H6" s="1214">
        <v>1377997</v>
      </c>
      <c r="I6" s="45">
        <f>H6*15%</f>
        <v>206699.55</v>
      </c>
      <c r="J6" s="45">
        <f>H6+I6</f>
        <v>1584696.55</v>
      </c>
      <c r="K6" s="247"/>
      <c r="L6" s="247"/>
      <c r="M6" s="247"/>
      <c r="N6" s="45"/>
      <c r="O6" s="1213">
        <v>45398</v>
      </c>
      <c r="P6" s="1215">
        <v>1297326</v>
      </c>
      <c r="Q6" s="45">
        <f>P6*15%</f>
        <v>194598.9</v>
      </c>
      <c r="R6" s="45">
        <f>P6+Q6</f>
        <v>1491924.9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247"/>
      <c r="AJ6" s="247"/>
      <c r="AK6" s="247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1216"/>
      <c r="DD6" s="1217">
        <f t="shared" si="0"/>
        <v>2999654</v>
      </c>
      <c r="DE6" s="1217">
        <f t="shared" si="1"/>
        <v>449948.1</v>
      </c>
      <c r="DF6" s="1217">
        <f t="shared" si="2"/>
        <v>3449602.1</v>
      </c>
      <c r="DG6" s="1217">
        <f t="shared" si="6"/>
        <v>2675323</v>
      </c>
      <c r="DH6" s="1217">
        <f t="shared" si="3"/>
        <v>3076621.45</v>
      </c>
      <c r="DI6" s="1218">
        <v>1</v>
      </c>
      <c r="DJ6" s="1219">
        <f t="shared" si="4"/>
        <v>2999654</v>
      </c>
      <c r="DK6" s="1217">
        <f t="shared" si="5"/>
        <v>324331</v>
      </c>
    </row>
    <row r="7" spans="1:141" ht="15.6">
      <c r="A7" s="1210" t="s">
        <v>12</v>
      </c>
      <c r="B7" t="s">
        <v>31</v>
      </c>
      <c r="C7" s="1210">
        <v>4</v>
      </c>
      <c r="D7" s="1211" t="s">
        <v>38</v>
      </c>
      <c r="E7" s="1210" t="s">
        <v>39</v>
      </c>
      <c r="F7" s="1212">
        <v>4125000</v>
      </c>
      <c r="G7" s="1222"/>
      <c r="H7" s="1222"/>
      <c r="I7" s="1222"/>
      <c r="J7" s="45"/>
      <c r="K7" s="1213">
        <v>45370</v>
      </c>
      <c r="L7" s="1223">
        <v>682683</v>
      </c>
      <c r="M7" s="45">
        <f>L7*15%</f>
        <v>102402.45</v>
      </c>
      <c r="N7" s="45">
        <f>L7+M7</f>
        <v>785085.45</v>
      </c>
      <c r="O7" s="247"/>
      <c r="P7" s="247"/>
      <c r="Q7" s="247"/>
      <c r="R7" s="45"/>
      <c r="S7" s="1213">
        <v>45435</v>
      </c>
      <c r="T7" s="1223">
        <v>1379810.1</v>
      </c>
      <c r="U7" s="45">
        <f>T7*15%</f>
        <v>206971.51500000001</v>
      </c>
      <c r="V7" s="45">
        <f>T7+U7</f>
        <v>1586781.6150000002</v>
      </c>
      <c r="W7" s="45"/>
      <c r="X7" s="45"/>
      <c r="Y7" s="45"/>
      <c r="Z7" s="45"/>
      <c r="AA7" s="1213">
        <v>45471</v>
      </c>
      <c r="AB7" s="45">
        <v>2062506.53</v>
      </c>
      <c r="AC7" s="45">
        <f>AB7*15%</f>
        <v>309375.97950000002</v>
      </c>
      <c r="AD7" s="45">
        <f>AB7+AC7</f>
        <v>2371882.5095000002</v>
      </c>
      <c r="AE7" s="45"/>
      <c r="AF7" s="45"/>
      <c r="AG7" s="45"/>
      <c r="AH7" s="45"/>
      <c r="AI7" s="247"/>
      <c r="AJ7" s="247"/>
      <c r="AK7" s="247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1216"/>
      <c r="DD7" s="1217">
        <f t="shared" si="0"/>
        <v>4125000</v>
      </c>
      <c r="DE7" s="1217">
        <f t="shared" si="1"/>
        <v>618750</v>
      </c>
      <c r="DF7" s="1217">
        <f t="shared" si="2"/>
        <v>4743750</v>
      </c>
      <c r="DG7" s="1217">
        <f t="shared" si="6"/>
        <v>4124999.63</v>
      </c>
      <c r="DH7" s="1217">
        <f t="shared" si="3"/>
        <v>4743749.5745000001</v>
      </c>
      <c r="DI7" s="1218">
        <v>1</v>
      </c>
      <c r="DJ7" s="1219">
        <f t="shared" si="4"/>
        <v>4125000</v>
      </c>
      <c r="DK7" s="1217">
        <f t="shared" si="5"/>
        <v>0.37000000011175871</v>
      </c>
    </row>
    <row r="8" spans="1:141" ht="15.6">
      <c r="A8" s="1210" t="s">
        <v>12</v>
      </c>
      <c r="B8" t="s">
        <v>31</v>
      </c>
      <c r="C8" s="1210">
        <v>5</v>
      </c>
      <c r="D8" s="1211" t="s">
        <v>40</v>
      </c>
      <c r="E8" s="1210" t="s">
        <v>41</v>
      </c>
      <c r="F8" s="1212">
        <v>404258</v>
      </c>
      <c r="G8" s="1222"/>
      <c r="H8" s="45"/>
      <c r="I8" s="1222"/>
      <c r="J8" s="45"/>
      <c r="K8" s="247"/>
      <c r="L8" s="247"/>
      <c r="M8" s="247"/>
      <c r="N8" s="45"/>
      <c r="O8" s="247"/>
      <c r="P8" s="247"/>
      <c r="Q8" s="247"/>
      <c r="R8" s="45"/>
      <c r="S8" s="1213">
        <v>45435</v>
      </c>
      <c r="T8" s="1215">
        <v>125226</v>
      </c>
      <c r="U8" s="45">
        <f>T8*15%</f>
        <v>18783.899999999998</v>
      </c>
      <c r="V8" s="45">
        <f>T8+U8</f>
        <v>144009.9</v>
      </c>
      <c r="W8" s="45"/>
      <c r="X8" s="45"/>
      <c r="Y8" s="45"/>
      <c r="Z8" s="45"/>
      <c r="AA8" s="45"/>
      <c r="AB8" s="45"/>
      <c r="AC8" s="45"/>
      <c r="AD8" s="45"/>
      <c r="AE8" s="1213">
        <v>45537</v>
      </c>
      <c r="AF8" s="45">
        <v>279032</v>
      </c>
      <c r="AG8" s="45">
        <f>AF8*15%</f>
        <v>41854.799999999996</v>
      </c>
      <c r="AH8" s="45">
        <f>AF8+AG8</f>
        <v>320886.8</v>
      </c>
      <c r="AI8" s="247"/>
      <c r="AJ8" s="247"/>
      <c r="AK8" s="247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1216"/>
      <c r="DD8" s="1217">
        <f t="shared" si="0"/>
        <v>404258</v>
      </c>
      <c r="DE8" s="1217">
        <f t="shared" si="1"/>
        <v>60638.7</v>
      </c>
      <c r="DF8" s="1217">
        <f t="shared" si="2"/>
        <v>464896.7</v>
      </c>
      <c r="DG8" s="1217">
        <f t="shared" si="6"/>
        <v>404258</v>
      </c>
      <c r="DH8" s="1217">
        <f t="shared" si="3"/>
        <v>464896.69999999995</v>
      </c>
      <c r="DI8" s="1218">
        <v>1</v>
      </c>
      <c r="DJ8" s="1219">
        <f t="shared" si="4"/>
        <v>404258</v>
      </c>
      <c r="DK8" s="1217">
        <f t="shared" si="5"/>
        <v>0</v>
      </c>
    </row>
    <row r="9" spans="1:141" ht="15.6">
      <c r="A9" s="1210" t="s">
        <v>12</v>
      </c>
      <c r="B9" t="s">
        <v>31</v>
      </c>
      <c r="C9" s="1210">
        <v>6</v>
      </c>
      <c r="D9" s="1224" t="s">
        <v>215</v>
      </c>
      <c r="E9" s="1210" t="s">
        <v>107</v>
      </c>
      <c r="F9" s="1212">
        <v>6968306</v>
      </c>
      <c r="G9" s="1222"/>
      <c r="H9" s="1222"/>
      <c r="I9" s="1222"/>
      <c r="J9" s="45"/>
      <c r="K9" s="247"/>
      <c r="L9" s="247"/>
      <c r="M9" s="247"/>
      <c r="N9" s="45"/>
      <c r="O9" s="247"/>
      <c r="P9" s="247"/>
      <c r="Q9" s="247"/>
      <c r="R9" s="45"/>
      <c r="S9" s="45"/>
      <c r="T9" s="45"/>
      <c r="U9" s="45"/>
      <c r="V9" s="45"/>
      <c r="W9" s="1213">
        <v>45451</v>
      </c>
      <c r="X9" s="45">
        <v>2539503</v>
      </c>
      <c r="Y9" s="45">
        <f>X9*15%</f>
        <v>380925.45</v>
      </c>
      <c r="Z9" s="45">
        <f>X9+Y9</f>
        <v>2920428.45</v>
      </c>
      <c r="AA9" s="45"/>
      <c r="AB9" s="45"/>
      <c r="AC9" s="45"/>
      <c r="AD9" s="45"/>
      <c r="AE9" s="1213"/>
      <c r="AF9" s="45"/>
      <c r="AG9" s="45"/>
      <c r="AH9" s="45"/>
      <c r="AI9" s="1213">
        <v>45540</v>
      </c>
      <c r="AJ9" s="45">
        <v>1602086</v>
      </c>
      <c r="AK9" s="45">
        <f>AJ9*15%</f>
        <v>240312.9</v>
      </c>
      <c r="AL9" s="45">
        <f>AJ9+AK9</f>
        <v>1842398.9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247">
        <v>45728</v>
      </c>
      <c r="BD9" s="328">
        <v>2826717.95</v>
      </c>
      <c r="BE9" s="45">
        <f>BD9*15%</f>
        <v>424007.6925</v>
      </c>
      <c r="BF9" s="45">
        <f>BD9+BE9</f>
        <v>3250725.6425000001</v>
      </c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1216"/>
      <c r="DD9" s="1217">
        <f t="shared" si="0"/>
        <v>6968306</v>
      </c>
      <c r="DE9" s="1217">
        <f t="shared" si="1"/>
        <v>1045245.8999999999</v>
      </c>
      <c r="DF9" s="1217">
        <f t="shared" si="2"/>
        <v>8013551.9000000004</v>
      </c>
      <c r="DG9" s="1217">
        <f t="shared" si="6"/>
        <v>6968306.9500000002</v>
      </c>
      <c r="DH9" s="1217">
        <f t="shared" si="3"/>
        <v>8013552.9924999997</v>
      </c>
      <c r="DI9" s="1218">
        <v>1</v>
      </c>
      <c r="DJ9" s="1219">
        <f t="shared" si="4"/>
        <v>6968306</v>
      </c>
      <c r="DK9" s="1217">
        <f t="shared" si="5"/>
        <v>-0.95000000018626451</v>
      </c>
    </row>
    <row r="10" spans="1:141" ht="15.6">
      <c r="A10" s="1210" t="s">
        <v>12</v>
      </c>
      <c r="B10" t="s">
        <v>31</v>
      </c>
      <c r="C10" s="1210">
        <v>7</v>
      </c>
      <c r="D10" s="1211" t="s">
        <v>112</v>
      </c>
      <c r="E10" s="1210"/>
      <c r="F10" s="1212">
        <v>174000</v>
      </c>
      <c r="G10" s="1222"/>
      <c r="H10" s="45"/>
      <c r="I10" s="45"/>
      <c r="J10" s="45"/>
      <c r="K10" s="247"/>
      <c r="L10" s="247"/>
      <c r="M10" s="247"/>
      <c r="N10" s="45"/>
      <c r="O10" s="247"/>
      <c r="P10" s="247"/>
      <c r="Q10" s="247"/>
      <c r="R10" s="45"/>
      <c r="S10" s="45"/>
      <c r="T10" s="45"/>
      <c r="U10" s="45"/>
      <c r="V10" s="45"/>
      <c r="W10" s="1213">
        <v>45451</v>
      </c>
      <c r="X10" s="1215">
        <v>58000.11</v>
      </c>
      <c r="Y10" s="45">
        <f>X10*15%</f>
        <v>8700.0164999999997</v>
      </c>
      <c r="Z10" s="45">
        <f>X10+Y10</f>
        <v>66700.126499999998</v>
      </c>
      <c r="AA10" s="1213">
        <v>45471</v>
      </c>
      <c r="AB10" s="45">
        <v>115999.89</v>
      </c>
      <c r="AC10" s="45">
        <f>AB10*15%</f>
        <v>17399.983499999998</v>
      </c>
      <c r="AD10" s="45">
        <f>AB10+AC10</f>
        <v>133399.87349999999</v>
      </c>
      <c r="AE10" s="45"/>
      <c r="AF10" s="45"/>
      <c r="AG10" s="45"/>
      <c r="AH10" s="45"/>
      <c r="AI10" s="45"/>
      <c r="AJ10" s="45"/>
      <c r="AK10" s="45"/>
      <c r="AL10" s="45"/>
      <c r="AM10" s="328"/>
      <c r="AN10" s="328"/>
      <c r="AO10" s="328"/>
      <c r="AP10" s="328"/>
      <c r="AQ10" s="328"/>
      <c r="AR10" s="328"/>
      <c r="AS10" s="328"/>
      <c r="AT10" s="328"/>
      <c r="AU10" s="328"/>
      <c r="AV10" s="328"/>
      <c r="AW10" s="328"/>
      <c r="AX10" s="328"/>
      <c r="AY10" s="328"/>
      <c r="AZ10" s="328"/>
      <c r="BA10" s="328"/>
      <c r="BB10" s="328"/>
      <c r="BC10" s="328"/>
      <c r="BD10" s="328"/>
      <c r="BE10" s="328"/>
      <c r="BF10" s="328"/>
      <c r="BG10" s="328"/>
      <c r="BH10" s="328"/>
      <c r="BI10" s="328"/>
      <c r="BJ10" s="328"/>
      <c r="BK10" s="328"/>
      <c r="BL10" s="328"/>
      <c r="BM10" s="328"/>
      <c r="BN10" s="328"/>
      <c r="BO10" s="328"/>
      <c r="BP10" s="328"/>
      <c r="BQ10" s="328"/>
      <c r="BR10" s="328"/>
      <c r="BS10" s="45"/>
      <c r="BT10" s="328"/>
      <c r="BU10" s="328"/>
      <c r="BV10" s="328"/>
      <c r="BW10" s="328"/>
      <c r="BX10" s="328"/>
      <c r="BY10" s="328"/>
      <c r="BZ10" s="328"/>
      <c r="CA10" s="328"/>
      <c r="CB10" s="328"/>
      <c r="CC10" s="328"/>
      <c r="CD10" s="328"/>
      <c r="CE10" s="328"/>
      <c r="CF10" s="328"/>
      <c r="CG10" s="328"/>
      <c r="CH10" s="328"/>
      <c r="CI10" s="328"/>
      <c r="CJ10" s="328"/>
      <c r="CK10" s="328"/>
      <c r="CL10" s="328"/>
      <c r="CM10" s="328"/>
      <c r="CN10" s="328"/>
      <c r="CO10" s="328"/>
      <c r="CP10" s="328"/>
      <c r="CQ10" s="328"/>
      <c r="CR10" s="328"/>
      <c r="CS10" s="328"/>
      <c r="CT10" s="328"/>
      <c r="CU10" s="328"/>
      <c r="CV10" s="328"/>
      <c r="CW10" s="328"/>
      <c r="CX10" s="328"/>
      <c r="CY10" s="328"/>
      <c r="CZ10" s="328"/>
      <c r="DA10" s="328"/>
      <c r="DB10" s="328"/>
      <c r="DC10" s="1216"/>
      <c r="DD10" s="1217">
        <f t="shared" si="0"/>
        <v>174000</v>
      </c>
      <c r="DE10" s="1217">
        <f t="shared" si="1"/>
        <v>26100</v>
      </c>
      <c r="DF10" s="1217">
        <f t="shared" si="2"/>
        <v>200100</v>
      </c>
      <c r="DG10" s="1217">
        <f t="shared" si="6"/>
        <v>174000</v>
      </c>
      <c r="DH10" s="1217">
        <f t="shared" si="3"/>
        <v>200100</v>
      </c>
      <c r="DI10" s="1218">
        <v>1</v>
      </c>
      <c r="DJ10" s="1219">
        <f t="shared" si="4"/>
        <v>174000</v>
      </c>
      <c r="DK10" s="1217">
        <f t="shared" si="5"/>
        <v>0</v>
      </c>
    </row>
    <row r="11" spans="1:141" ht="15.6">
      <c r="A11" s="1210" t="s">
        <v>12</v>
      </c>
      <c r="B11" t="s">
        <v>31</v>
      </c>
      <c r="C11" s="1210">
        <v>8</v>
      </c>
      <c r="D11" s="1211" t="s">
        <v>131</v>
      </c>
      <c r="E11" s="1210" t="s">
        <v>132</v>
      </c>
      <c r="F11" s="1212">
        <v>836000</v>
      </c>
      <c r="G11" s="1222"/>
      <c r="H11" s="45"/>
      <c r="I11" s="45"/>
      <c r="J11" s="45"/>
      <c r="K11" s="247"/>
      <c r="L11" s="247"/>
      <c r="M11" s="247"/>
      <c r="N11" s="45"/>
      <c r="O11" s="247"/>
      <c r="P11" s="247"/>
      <c r="Q11" s="247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1213">
        <v>45572</v>
      </c>
      <c r="AN11" s="45">
        <v>302500.8</v>
      </c>
      <c r="AO11" s="45">
        <f>AN11*15%</f>
        <v>45375.119999999995</v>
      </c>
      <c r="AP11" s="45">
        <f>AN11+AO11</f>
        <v>347875.92</v>
      </c>
      <c r="AQ11" s="1213">
        <v>45650</v>
      </c>
      <c r="AR11" s="45">
        <v>533499.19999999995</v>
      </c>
      <c r="AS11" s="45">
        <f>AR11*15%</f>
        <v>80024.87999999999</v>
      </c>
      <c r="AT11" s="45">
        <f>AR11+AS11</f>
        <v>613524.07999999996</v>
      </c>
      <c r="AU11" s="328"/>
      <c r="AV11" s="328"/>
      <c r="AW11" s="328"/>
      <c r="AX11" s="328"/>
      <c r="AY11" s="328"/>
      <c r="AZ11" s="328"/>
      <c r="BA11" s="328"/>
      <c r="BB11" s="328"/>
      <c r="BC11" s="328"/>
      <c r="BD11" s="328"/>
      <c r="BE11" s="328"/>
      <c r="BF11" s="328"/>
      <c r="BG11" s="328"/>
      <c r="BH11" s="328"/>
      <c r="BI11" s="328"/>
      <c r="BJ11" s="328"/>
      <c r="BK11" s="328"/>
      <c r="BL11" s="328"/>
      <c r="BM11" s="328"/>
      <c r="BN11" s="328"/>
      <c r="BO11" s="328"/>
      <c r="BP11" s="328"/>
      <c r="BQ11" s="328"/>
      <c r="BR11" s="328"/>
      <c r="BS11" s="45"/>
      <c r="BT11" s="328"/>
      <c r="BU11" s="328"/>
      <c r="BV11" s="328"/>
      <c r="BW11" s="328"/>
      <c r="BX11" s="328"/>
      <c r="BY11" s="328"/>
      <c r="BZ11" s="328"/>
      <c r="CA11" s="328"/>
      <c r="CB11" s="328"/>
      <c r="CC11" s="328"/>
      <c r="CD11" s="328"/>
      <c r="CE11" s="328"/>
      <c r="CF11" s="328"/>
      <c r="CG11" s="328"/>
      <c r="CH11" s="328"/>
      <c r="CI11" s="328"/>
      <c r="CJ11" s="328"/>
      <c r="CK11" s="328"/>
      <c r="CL11" s="328"/>
      <c r="CM11" s="328"/>
      <c r="CN11" s="328"/>
      <c r="CO11" s="328"/>
      <c r="CP11" s="328"/>
      <c r="CQ11" s="328"/>
      <c r="CR11" s="328"/>
      <c r="CS11" s="328"/>
      <c r="CT11" s="328"/>
      <c r="CU11" s="328"/>
      <c r="CV11" s="328"/>
      <c r="CW11" s="328"/>
      <c r="CX11" s="328"/>
      <c r="CY11" s="328"/>
      <c r="CZ11" s="328"/>
      <c r="DA11" s="328"/>
      <c r="DB11" s="328"/>
      <c r="DC11" s="1216"/>
      <c r="DD11" s="1217">
        <f t="shared" si="0"/>
        <v>836000</v>
      </c>
      <c r="DE11" s="1217">
        <f t="shared" si="1"/>
        <v>125400</v>
      </c>
      <c r="DF11" s="1217">
        <f t="shared" si="2"/>
        <v>961400</v>
      </c>
      <c r="DG11" s="1217">
        <f t="shared" si="6"/>
        <v>836000</v>
      </c>
      <c r="DH11" s="1217">
        <f t="shared" si="3"/>
        <v>961400</v>
      </c>
      <c r="DI11" s="1218">
        <v>1</v>
      </c>
      <c r="DJ11" s="1219">
        <f t="shared" si="4"/>
        <v>836000</v>
      </c>
      <c r="DK11" s="1217">
        <f t="shared" si="5"/>
        <v>0</v>
      </c>
    </row>
    <row r="12" spans="1:141" ht="15.6">
      <c r="A12" s="1210" t="s">
        <v>12</v>
      </c>
      <c r="B12" t="s">
        <v>31</v>
      </c>
      <c r="C12" s="1210">
        <v>9</v>
      </c>
      <c r="D12" s="1211" t="s">
        <v>135</v>
      </c>
      <c r="E12" s="1210" t="s">
        <v>133</v>
      </c>
      <c r="F12" s="1212">
        <v>1505768</v>
      </c>
      <c r="G12" s="1222"/>
      <c r="H12" s="45"/>
      <c r="I12" s="45"/>
      <c r="J12" s="45"/>
      <c r="K12" s="247"/>
      <c r="L12" s="247"/>
      <c r="M12" s="247"/>
      <c r="N12" s="45"/>
      <c r="O12" s="247"/>
      <c r="P12" s="247"/>
      <c r="Q12" s="247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213">
        <v>45572</v>
      </c>
      <c r="AN12" s="45">
        <v>499280</v>
      </c>
      <c r="AO12" s="45">
        <f>AN12*15%</f>
        <v>74892</v>
      </c>
      <c r="AP12" s="45">
        <f>AN12+AO12</f>
        <v>574172</v>
      </c>
      <c r="AQ12" s="304"/>
      <c r="AR12" s="304"/>
      <c r="AS12" s="304"/>
      <c r="AT12" s="304"/>
      <c r="AU12" s="1213">
        <v>45693</v>
      </c>
      <c r="AV12" s="328">
        <v>500302</v>
      </c>
      <c r="AW12" s="45">
        <f>AV12*15%</f>
        <v>75045.3</v>
      </c>
      <c r="AX12" s="45">
        <f>AV12+AW12</f>
        <v>575347.30000000005</v>
      </c>
      <c r="AY12" s="247">
        <v>45720</v>
      </c>
      <c r="AZ12" s="328">
        <v>255076</v>
      </c>
      <c r="BA12" s="45">
        <f>AZ12*15%</f>
        <v>38261.4</v>
      </c>
      <c r="BB12" s="45">
        <f>AZ12+BA12</f>
        <v>293337.40000000002</v>
      </c>
      <c r="BC12" s="328"/>
      <c r="BD12" s="328"/>
      <c r="BE12" s="328"/>
      <c r="BF12" s="328"/>
      <c r="BG12" s="328"/>
      <c r="BH12" s="328"/>
      <c r="BI12" s="328"/>
      <c r="BJ12" s="328"/>
      <c r="BK12" s="328"/>
      <c r="BL12" s="328"/>
      <c r="BM12" s="328"/>
      <c r="BN12" s="328"/>
      <c r="BO12" s="328"/>
      <c r="BP12" s="328"/>
      <c r="BQ12" s="328"/>
      <c r="BR12" s="328"/>
      <c r="BS12" s="328"/>
      <c r="BT12" s="328"/>
      <c r="BU12" s="328"/>
      <c r="BV12" s="328"/>
      <c r="BW12" s="328"/>
      <c r="BX12" s="328"/>
      <c r="BY12" s="328"/>
      <c r="BZ12" s="328"/>
      <c r="CA12" s="328"/>
      <c r="CB12" s="328"/>
      <c r="CC12" s="328"/>
      <c r="CD12" s="328"/>
      <c r="CE12" s="328"/>
      <c r="CF12" s="328"/>
      <c r="CG12" s="328"/>
      <c r="CH12" s="328"/>
      <c r="CI12" s="328"/>
      <c r="CJ12" s="328"/>
      <c r="CK12" s="328"/>
      <c r="CL12" s="328"/>
      <c r="CM12" s="328"/>
      <c r="CN12" s="328"/>
      <c r="CO12" s="328"/>
      <c r="CP12" s="328"/>
      <c r="CQ12" s="328"/>
      <c r="CR12" s="328"/>
      <c r="CS12" s="328"/>
      <c r="CT12" s="328"/>
      <c r="CU12" s="328"/>
      <c r="CV12" s="328"/>
      <c r="CW12" s="328"/>
      <c r="CX12" s="328"/>
      <c r="CY12" s="328"/>
      <c r="CZ12" s="328"/>
      <c r="DA12" s="328"/>
      <c r="DB12" s="328"/>
      <c r="DC12" s="1216"/>
      <c r="DD12" s="1217">
        <f t="shared" si="0"/>
        <v>1505768</v>
      </c>
      <c r="DE12" s="1217">
        <f t="shared" si="1"/>
        <v>225865.19999999998</v>
      </c>
      <c r="DF12" s="1217">
        <f t="shared" si="2"/>
        <v>1731633.2</v>
      </c>
      <c r="DG12" s="1217">
        <f t="shared" si="6"/>
        <v>1254658</v>
      </c>
      <c r="DH12" s="1217">
        <f t="shared" si="3"/>
        <v>1442856.7000000002</v>
      </c>
      <c r="DI12" s="1218">
        <v>1</v>
      </c>
      <c r="DJ12" s="1219">
        <f t="shared" si="4"/>
        <v>1505768</v>
      </c>
      <c r="DK12" s="1217">
        <f t="shared" si="5"/>
        <v>251110</v>
      </c>
    </row>
    <row r="13" spans="1:141" ht="15.6">
      <c r="A13" s="1210" t="s">
        <v>12</v>
      </c>
      <c r="B13" t="s">
        <v>31</v>
      </c>
      <c r="C13" s="1210">
        <v>10</v>
      </c>
      <c r="D13" s="1224" t="s">
        <v>134</v>
      </c>
      <c r="E13" s="1210"/>
      <c r="F13" s="1212">
        <v>264505</v>
      </c>
      <c r="G13" s="1222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1213">
        <v>45650</v>
      </c>
      <c r="AR13" s="45">
        <v>264505</v>
      </c>
      <c r="AS13" s="45">
        <f>AR13*15%</f>
        <v>39675.75</v>
      </c>
      <c r="AT13" s="45">
        <f>AR13+AS13</f>
        <v>304180.75</v>
      </c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1216"/>
      <c r="DD13" s="1217">
        <f t="shared" si="0"/>
        <v>264505</v>
      </c>
      <c r="DE13" s="1217">
        <f t="shared" si="1"/>
        <v>39675.75</v>
      </c>
      <c r="DF13" s="1217">
        <f t="shared" si="2"/>
        <v>304180.75</v>
      </c>
      <c r="DG13" s="1217">
        <f t="shared" si="6"/>
        <v>264505</v>
      </c>
      <c r="DH13" s="1217">
        <f t="shared" si="3"/>
        <v>304180.75</v>
      </c>
      <c r="DI13" s="1218">
        <v>1</v>
      </c>
      <c r="DJ13" s="1219">
        <f t="shared" si="4"/>
        <v>264505</v>
      </c>
      <c r="DK13" s="1217">
        <f t="shared" si="5"/>
        <v>0</v>
      </c>
    </row>
    <row r="14" spans="1:141" ht="15.6">
      <c r="A14" s="1210" t="s">
        <v>113</v>
      </c>
      <c r="B14" t="s">
        <v>114</v>
      </c>
      <c r="C14" s="1210">
        <v>1</v>
      </c>
      <c r="D14" s="1226" t="s">
        <v>115</v>
      </c>
      <c r="E14" s="1210" t="s">
        <v>116</v>
      </c>
      <c r="F14" s="1212">
        <v>6726972</v>
      </c>
      <c r="G14" s="1222">
        <v>45504</v>
      </c>
      <c r="H14" s="45">
        <f>SYSTRA!H12</f>
        <v>672697.82000000007</v>
      </c>
      <c r="I14" s="45">
        <f>H14*15%</f>
        <v>100904.67300000001</v>
      </c>
      <c r="J14" s="45">
        <f>H14+I14</f>
        <v>773602.49300000002</v>
      </c>
      <c r="K14" s="1222">
        <v>45511</v>
      </c>
      <c r="L14" s="45">
        <f>SYSTRA!J12</f>
        <v>1681772</v>
      </c>
      <c r="M14" s="45">
        <f>L14*15%</f>
        <v>252265.8</v>
      </c>
      <c r="N14" s="45">
        <f>L14+M14</f>
        <v>1934037.8</v>
      </c>
      <c r="O14" s="1222">
        <v>45641</v>
      </c>
      <c r="P14" s="45">
        <f>SYSTRA!L12</f>
        <v>1345449</v>
      </c>
      <c r="Q14" s="45">
        <f>P14*15%</f>
        <v>201817.35</v>
      </c>
      <c r="R14" s="45">
        <f>P14+Q14</f>
        <v>1547266.35</v>
      </c>
      <c r="S14" s="1222">
        <v>45727</v>
      </c>
      <c r="T14" s="45">
        <f>SYSTRA!N12</f>
        <v>1681658.78</v>
      </c>
      <c r="U14" s="45">
        <f>T14*15%</f>
        <v>252248.81699999998</v>
      </c>
      <c r="V14" s="45">
        <f>T14+U14</f>
        <v>1933907.5970000001</v>
      </c>
      <c r="W14" s="45"/>
      <c r="X14" s="45"/>
      <c r="Y14" s="45"/>
      <c r="Z14" s="45"/>
      <c r="AA14" s="1222">
        <v>45839</v>
      </c>
      <c r="AB14" s="45">
        <f>SYSTRA!R12</f>
        <v>1345394.4</v>
      </c>
      <c r="AC14" s="45">
        <f>AB14*15%</f>
        <v>201809.15999999997</v>
      </c>
      <c r="AD14" s="45">
        <f>AB14+AC14</f>
        <v>1547203.5599999998</v>
      </c>
      <c r="AE14" s="45"/>
      <c r="AF14" s="45"/>
      <c r="AG14" s="45"/>
      <c r="AH14" s="45"/>
      <c r="AI14" s="247"/>
      <c r="AJ14" s="247"/>
      <c r="AK14" s="247"/>
      <c r="AL14" s="304"/>
      <c r="AM14" s="304"/>
      <c r="AN14" s="304"/>
      <c r="AO14" s="304"/>
      <c r="AP14" s="304"/>
      <c r="AQ14" s="304"/>
      <c r="AR14" s="304"/>
      <c r="AS14" s="304"/>
      <c r="AT14" s="304"/>
      <c r="AU14" s="304"/>
      <c r="AV14" s="304"/>
      <c r="AW14" s="304"/>
      <c r="AX14" s="304"/>
      <c r="AY14" s="304"/>
      <c r="AZ14" s="304"/>
      <c r="BA14" s="304"/>
      <c r="BB14" s="304"/>
      <c r="BC14" s="304"/>
      <c r="BD14" s="304"/>
      <c r="BE14" s="304"/>
      <c r="BF14" s="304"/>
      <c r="BG14" s="304"/>
      <c r="BH14" s="304"/>
      <c r="BI14" s="304"/>
      <c r="BJ14" s="304"/>
      <c r="BK14" s="304"/>
      <c r="BL14" s="304"/>
      <c r="BM14" s="304"/>
      <c r="BN14" s="304"/>
      <c r="BO14" s="304"/>
      <c r="BP14" s="304"/>
      <c r="BQ14" s="304"/>
      <c r="BR14" s="247"/>
      <c r="BS14" s="1227"/>
      <c r="BT14" s="247"/>
      <c r="BU14" s="45"/>
      <c r="BV14" s="247"/>
      <c r="BW14" s="304"/>
      <c r="BX14" s="304"/>
      <c r="BY14" s="304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1216"/>
      <c r="DD14" s="1217">
        <f>F14</f>
        <v>6726972</v>
      </c>
      <c r="DE14" s="1217">
        <f>DD14*15%</f>
        <v>1009045.7999999999</v>
      </c>
      <c r="DF14" s="1217">
        <f>DD14+DE14</f>
        <v>7736017.7999999998</v>
      </c>
      <c r="DG14" s="1217">
        <f t="shared" si="6"/>
        <v>6726972</v>
      </c>
      <c r="DH14" s="1217">
        <f t="shared" si="3"/>
        <v>7736017.7999999998</v>
      </c>
      <c r="DI14" s="1218">
        <v>1</v>
      </c>
      <c r="DJ14" s="1219">
        <f>DI14*DD14</f>
        <v>6726972</v>
      </c>
      <c r="DK14" s="1217">
        <f>DJ14-DG14</f>
        <v>0</v>
      </c>
    </row>
    <row r="15" spans="1:141" ht="15.6">
      <c r="A15" s="1210" t="s">
        <v>113</v>
      </c>
      <c r="B15" t="s">
        <v>114</v>
      </c>
      <c r="C15" s="1210">
        <v>2</v>
      </c>
      <c r="D15" s="1226" t="s">
        <v>250</v>
      </c>
      <c r="E15" s="1210" t="s">
        <v>251</v>
      </c>
      <c r="F15" s="1212">
        <v>3300435</v>
      </c>
      <c r="G15" s="1222"/>
      <c r="H15" s="45"/>
      <c r="I15" s="45"/>
      <c r="J15" s="45"/>
      <c r="K15" s="247"/>
      <c r="L15" s="247"/>
      <c r="M15" s="247"/>
      <c r="N15" s="45"/>
      <c r="O15" s="247"/>
      <c r="P15" s="247"/>
      <c r="Q15" s="247"/>
      <c r="R15" s="45"/>
      <c r="S15" s="1222">
        <v>45727</v>
      </c>
      <c r="T15" s="45">
        <f>SYSTRA!N27</f>
        <v>330043.5</v>
      </c>
      <c r="U15" s="45">
        <f>T15*15%</f>
        <v>49506.525000000001</v>
      </c>
      <c r="V15" s="45">
        <f>T15+U15</f>
        <v>379550.02500000002</v>
      </c>
      <c r="W15" s="1213">
        <v>45788</v>
      </c>
      <c r="X15" s="45">
        <f>SYSTRA!P27</f>
        <v>1072641.3699999999</v>
      </c>
      <c r="Y15" s="45">
        <f>X15*15%</f>
        <v>160896.20549999998</v>
      </c>
      <c r="Z15" s="45">
        <f>X15+Y15</f>
        <v>1233537.5754999998</v>
      </c>
      <c r="AA15" s="1222">
        <v>45839</v>
      </c>
      <c r="AB15" s="45">
        <f>SYSTRA!R27</f>
        <v>577576.13</v>
      </c>
      <c r="AC15" s="45">
        <f>AB15*15%</f>
        <v>86636.419500000004</v>
      </c>
      <c r="AD15" s="45">
        <f>AB15+AC15</f>
        <v>664212.54949999996</v>
      </c>
      <c r="AE15" s="1222">
        <v>46152</v>
      </c>
      <c r="AF15" s="45">
        <v>1320174</v>
      </c>
      <c r="AG15" s="45">
        <f>Currentinvoices[[#This Row],[Invoice '# 7 amount]]*15%</f>
        <v>198026.1</v>
      </c>
      <c r="AH15" s="45">
        <f>Currentinvoices[[#This Row],[Invoice '# 7 vat]]+Currentinvoices[[#This Row],[Invoice '# 7 amount]]</f>
        <v>1518200.1</v>
      </c>
      <c r="AI15" s="247"/>
      <c r="AJ15" s="247"/>
      <c r="AK15" s="247"/>
      <c r="AL15" s="304"/>
      <c r="AM15" s="304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4"/>
      <c r="AY15" s="304"/>
      <c r="AZ15" s="304"/>
      <c r="BA15" s="304"/>
      <c r="BB15" s="304"/>
      <c r="BC15" s="304"/>
      <c r="BD15" s="304"/>
      <c r="BE15" s="304"/>
      <c r="BF15" s="304"/>
      <c r="BG15" s="304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28"/>
      <c r="BS15" s="304"/>
      <c r="BT15" s="328"/>
      <c r="BU15" s="328"/>
      <c r="BV15" s="328"/>
      <c r="BW15" s="304"/>
      <c r="BX15" s="304"/>
      <c r="BY15" s="304"/>
      <c r="BZ15" s="328"/>
      <c r="CA15" s="247"/>
      <c r="CB15" s="247"/>
      <c r="CC15" s="247"/>
      <c r="CD15" s="247"/>
      <c r="CE15" s="247"/>
      <c r="CF15" s="247"/>
      <c r="CG15" s="247"/>
      <c r="CH15" s="247"/>
      <c r="CI15" s="328"/>
      <c r="CJ15" s="328"/>
      <c r="CK15" s="328"/>
      <c r="CL15" s="328"/>
      <c r="CM15" s="328"/>
      <c r="CN15" s="328"/>
      <c r="CO15" s="328"/>
      <c r="CP15" s="328"/>
      <c r="CQ15" s="328"/>
      <c r="CR15" s="328"/>
      <c r="CS15" s="328"/>
      <c r="CT15" s="328"/>
      <c r="CU15" s="328"/>
      <c r="CV15" s="328"/>
      <c r="CW15" s="328"/>
      <c r="CX15" s="328"/>
      <c r="CY15" s="328"/>
      <c r="CZ15" s="328"/>
      <c r="DA15" s="328"/>
      <c r="DB15" s="328"/>
      <c r="DC15" s="1216"/>
      <c r="DD15" s="1217">
        <f>F15</f>
        <v>3300435</v>
      </c>
      <c r="DE15" s="1217">
        <f>DD15*15%</f>
        <v>495065.25</v>
      </c>
      <c r="DF15" s="1217">
        <f>DD15+DE15</f>
        <v>3795500.25</v>
      </c>
      <c r="DG15" s="1217">
        <f t="shared" si="6"/>
        <v>3300435</v>
      </c>
      <c r="DH15" s="1217">
        <f t="shared" si="3"/>
        <v>3795500.2499999995</v>
      </c>
      <c r="DI15" s="1218">
        <v>1</v>
      </c>
      <c r="DJ15" s="1219">
        <f>DI15*DD15</f>
        <v>3300435</v>
      </c>
      <c r="DK15" s="1217">
        <f>DJ15-DG15</f>
        <v>0</v>
      </c>
    </row>
    <row r="16" spans="1:141" ht="15.6">
      <c r="A16" s="1210" t="s">
        <v>113</v>
      </c>
      <c r="B16" t="s">
        <v>114</v>
      </c>
      <c r="C16" s="1210">
        <v>3</v>
      </c>
      <c r="D16" s="1226" t="s">
        <v>252</v>
      </c>
      <c r="E16" s="1210" t="s">
        <v>253</v>
      </c>
      <c r="F16" s="1212">
        <v>3300435</v>
      </c>
      <c r="G16" s="1222"/>
      <c r="H16" s="45"/>
      <c r="I16" s="45"/>
      <c r="J16" s="45"/>
      <c r="K16" s="247"/>
      <c r="L16" s="247"/>
      <c r="M16" s="247"/>
      <c r="N16" s="45"/>
      <c r="O16" s="247"/>
      <c r="P16" s="247"/>
      <c r="Q16" s="247"/>
      <c r="R16" s="45"/>
      <c r="S16" s="1222">
        <v>45727</v>
      </c>
      <c r="T16" s="45">
        <f>SYSTRA!N42</f>
        <v>330043.5</v>
      </c>
      <c r="U16" s="45">
        <f>T16*15%</f>
        <v>49506.525000000001</v>
      </c>
      <c r="V16" s="45">
        <f>T16+U16</f>
        <v>379550.02500000002</v>
      </c>
      <c r="W16" s="1213">
        <v>45788</v>
      </c>
      <c r="X16" s="45">
        <f>SYSTRA!P42</f>
        <v>1072641.3799999999</v>
      </c>
      <c r="Y16" s="45">
        <f>X16*15%</f>
        <v>160896.20699999997</v>
      </c>
      <c r="Z16" s="45">
        <f>X16+Y16</f>
        <v>1233537.5869999998</v>
      </c>
      <c r="AA16" s="1222">
        <v>45839</v>
      </c>
      <c r="AB16" s="45">
        <f>SYSTRA!R42</f>
        <v>577576.12</v>
      </c>
      <c r="AC16" s="45">
        <f>AB16*15%</f>
        <v>86636.417999999991</v>
      </c>
      <c r="AD16" s="45">
        <f>AB16+AC16</f>
        <v>664212.53799999994</v>
      </c>
      <c r="AE16" s="1222">
        <v>46152</v>
      </c>
      <c r="AF16" s="45">
        <v>1320174</v>
      </c>
      <c r="AG16" s="45">
        <f>Currentinvoices[[#This Row],[Invoice '# 7 amount]]*15%</f>
        <v>198026.1</v>
      </c>
      <c r="AH16" s="45">
        <f>Currentinvoices[[#This Row],[Invoice '# 7 vat]]+Currentinvoices[[#This Row],[Invoice '# 7 amount]]</f>
        <v>1518200.1</v>
      </c>
      <c r="AI16" s="247"/>
      <c r="AJ16" s="247"/>
      <c r="AK16" s="247"/>
      <c r="AL16" s="304"/>
      <c r="AM16" s="304"/>
      <c r="AN16" s="304"/>
      <c r="AO16" s="304"/>
      <c r="AP16" s="304"/>
      <c r="AQ16" s="304"/>
      <c r="AR16" s="304"/>
      <c r="AS16" s="304"/>
      <c r="AT16" s="304"/>
      <c r="AU16" s="304"/>
      <c r="AV16" s="304"/>
      <c r="AW16" s="304"/>
      <c r="AX16" s="304"/>
      <c r="AY16" s="304"/>
      <c r="AZ16" s="304"/>
      <c r="BA16" s="304"/>
      <c r="BB16" s="304"/>
      <c r="BC16" s="304"/>
      <c r="BD16" s="304"/>
      <c r="BE16" s="304"/>
      <c r="BF16" s="304"/>
      <c r="BG16" s="304"/>
      <c r="BH16" s="304"/>
      <c r="BI16" s="304"/>
      <c r="BJ16" s="304"/>
      <c r="BK16" s="304"/>
      <c r="BL16" s="304"/>
      <c r="BM16" s="304"/>
      <c r="BN16" s="304"/>
      <c r="BO16" s="304"/>
      <c r="BP16" s="304"/>
      <c r="BQ16" s="304"/>
      <c r="BR16" s="328"/>
      <c r="BS16" s="304"/>
      <c r="BT16" s="328"/>
      <c r="BU16" s="328"/>
      <c r="BV16" s="328"/>
      <c r="BW16" s="304"/>
      <c r="BX16" s="304"/>
      <c r="BY16" s="304"/>
      <c r="BZ16" s="328"/>
      <c r="CA16" s="247"/>
      <c r="CB16" s="247"/>
      <c r="CC16" s="247"/>
      <c r="CD16" s="247"/>
      <c r="CE16" s="247"/>
      <c r="CF16" s="247"/>
      <c r="CG16" s="247"/>
      <c r="CH16" s="247"/>
      <c r="CI16" s="328"/>
      <c r="CJ16" s="328"/>
      <c r="CK16" s="328"/>
      <c r="CL16" s="328"/>
      <c r="CM16" s="328"/>
      <c r="CN16" s="328"/>
      <c r="CO16" s="328"/>
      <c r="CP16" s="328"/>
      <c r="CQ16" s="328"/>
      <c r="CR16" s="328"/>
      <c r="CS16" s="328"/>
      <c r="CT16" s="328"/>
      <c r="CU16" s="328"/>
      <c r="CV16" s="328"/>
      <c r="CW16" s="328"/>
      <c r="CX16" s="328"/>
      <c r="CY16" s="328"/>
      <c r="CZ16" s="328"/>
      <c r="DA16" s="328"/>
      <c r="DB16" s="328"/>
      <c r="DC16" s="1216"/>
      <c r="DD16" s="1217">
        <f>F16</f>
        <v>3300435</v>
      </c>
      <c r="DE16" s="1217">
        <f>DD16*15%</f>
        <v>495065.25</v>
      </c>
      <c r="DF16" s="1217">
        <f>DD16+DE16</f>
        <v>3795500.25</v>
      </c>
      <c r="DG16" s="1217">
        <f t="shared" si="6"/>
        <v>3300435</v>
      </c>
      <c r="DH16" s="1217">
        <f>SUMPRODUCT((MOD(COLUMN(G16:DB16)-COLUMN(H16),4)=2)*G16:DB16)</f>
        <v>3795500.2499999995</v>
      </c>
      <c r="DI16" s="1218">
        <v>1</v>
      </c>
      <c r="DJ16" s="1219">
        <f>DI16*DD16</f>
        <v>3300435</v>
      </c>
      <c r="DK16" s="1217">
        <f>DJ16-DG16</f>
        <v>0</v>
      </c>
    </row>
    <row r="17" spans="1:115" ht="15.6">
      <c r="A17" s="1210" t="s">
        <v>113</v>
      </c>
      <c r="B17" t="s">
        <v>114</v>
      </c>
      <c r="C17" s="1210">
        <v>4</v>
      </c>
      <c r="D17" s="1226" t="s">
        <v>254</v>
      </c>
      <c r="E17" s="1210" t="s">
        <v>255</v>
      </c>
      <c r="F17" s="1212">
        <v>1726247</v>
      </c>
      <c r="G17" s="45"/>
      <c r="H17" s="45"/>
      <c r="I17" s="45"/>
      <c r="J17" s="45"/>
      <c r="K17" s="247"/>
      <c r="L17" s="247"/>
      <c r="M17" s="247"/>
      <c r="N17" s="45"/>
      <c r="O17" s="247"/>
      <c r="P17" s="247"/>
      <c r="Q17" s="247"/>
      <c r="R17" s="45"/>
      <c r="S17" s="45"/>
      <c r="T17" s="45"/>
      <c r="U17" s="45"/>
      <c r="V17" s="45"/>
      <c r="W17" s="1213">
        <v>45788</v>
      </c>
      <c r="X17" s="45">
        <f>SYSTRA!P57</f>
        <v>1208357.98</v>
      </c>
      <c r="Y17" s="45">
        <f>X17*15%</f>
        <v>181253.69699999999</v>
      </c>
      <c r="Z17" s="45">
        <f>X17+Y17</f>
        <v>1389611.6769999999</v>
      </c>
      <c r="AA17" s="1222">
        <v>45839</v>
      </c>
      <c r="AB17" s="45">
        <f>SYSTRA!R57</f>
        <v>517889.02</v>
      </c>
      <c r="AC17" s="45">
        <f>AB17*15%</f>
        <v>77683.353000000003</v>
      </c>
      <c r="AD17" s="45">
        <f>AB17+AC17</f>
        <v>595572.37300000002</v>
      </c>
      <c r="AE17" s="45"/>
      <c r="AF17" s="45"/>
      <c r="AG17" s="45"/>
      <c r="AH17" s="45"/>
      <c r="AI17" s="247"/>
      <c r="AJ17" s="247"/>
      <c r="AK17" s="247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28"/>
      <c r="BS17" s="304"/>
      <c r="BT17" s="328"/>
      <c r="BU17" s="328"/>
      <c r="BV17" s="328"/>
      <c r="BW17" s="304"/>
      <c r="BX17" s="304"/>
      <c r="BY17" s="304"/>
      <c r="BZ17" s="328"/>
      <c r="CA17" s="247"/>
      <c r="CB17" s="247"/>
      <c r="CC17" s="247"/>
      <c r="CD17" s="247"/>
      <c r="CE17" s="247"/>
      <c r="CF17" s="247"/>
      <c r="CG17" s="247"/>
      <c r="CH17" s="247"/>
      <c r="CI17" s="328"/>
      <c r="CJ17" s="328"/>
      <c r="CK17" s="328"/>
      <c r="CL17" s="328"/>
      <c r="CM17" s="328"/>
      <c r="CN17" s="328"/>
      <c r="CO17" s="328"/>
      <c r="CP17" s="328"/>
      <c r="CQ17" s="328"/>
      <c r="CR17" s="328"/>
      <c r="CS17" s="328"/>
      <c r="CT17" s="328"/>
      <c r="CU17" s="328"/>
      <c r="CV17" s="328"/>
      <c r="CW17" s="328"/>
      <c r="CX17" s="328"/>
      <c r="CY17" s="328"/>
      <c r="CZ17" s="328"/>
      <c r="DA17" s="328"/>
      <c r="DB17" s="328"/>
      <c r="DC17" s="1216"/>
      <c r="DD17" s="1217">
        <f>F17</f>
        <v>1726247</v>
      </c>
      <c r="DE17" s="1217">
        <f>DD17*15%</f>
        <v>258937.05</v>
      </c>
      <c r="DF17" s="1217">
        <f>DD17+DE17</f>
        <v>1985184.05</v>
      </c>
      <c r="DG17" s="1217">
        <f t="shared" si="6"/>
        <v>1726247</v>
      </c>
      <c r="DH17" s="1217">
        <f t="shared" ref="DH17:DH91" si="7">SUMPRODUCT((MOD(COLUMN(G17:DB17)-COLUMN(H17),4)=2)*G17:DB17)</f>
        <v>1985184.0499999998</v>
      </c>
      <c r="DI17" s="1218">
        <v>1</v>
      </c>
      <c r="DJ17" s="1219">
        <f>DI17*DD17</f>
        <v>1726247</v>
      </c>
      <c r="DK17" s="1217">
        <f>DJ17-DG17</f>
        <v>0</v>
      </c>
    </row>
    <row r="18" spans="1:115" ht="18" customHeight="1">
      <c r="A18" s="1228" t="s">
        <v>235</v>
      </c>
      <c r="B18" t="s">
        <v>117</v>
      </c>
      <c r="C18" s="1210">
        <v>1</v>
      </c>
      <c r="D18" s="1226" t="s">
        <v>118</v>
      </c>
      <c r="E18" s="1210" t="s">
        <v>119</v>
      </c>
      <c r="F18" s="1212">
        <v>4360270</v>
      </c>
      <c r="G18" s="1222">
        <v>45496</v>
      </c>
      <c r="H18" s="45">
        <f>'EGEC - NIS2'!M17</f>
        <v>1395290.5</v>
      </c>
      <c r="I18" s="45">
        <f>H18*15%</f>
        <v>209293.57499999998</v>
      </c>
      <c r="J18" s="45">
        <f>H18+I18</f>
        <v>1604584.075</v>
      </c>
      <c r="K18" s="1222">
        <v>45532</v>
      </c>
      <c r="L18" s="45">
        <f>'EGEC - NIS2'!O17</f>
        <v>1874916.3899949999</v>
      </c>
      <c r="M18" s="45">
        <f>L18*15%</f>
        <v>281237.45849924994</v>
      </c>
      <c r="N18" s="45">
        <f>L18+M18</f>
        <v>2156153.8484942499</v>
      </c>
      <c r="O18" s="247"/>
      <c r="P18" s="247"/>
      <c r="Q18" s="247"/>
      <c r="R18" s="45"/>
      <c r="S18" s="45"/>
      <c r="T18" s="45"/>
      <c r="U18" s="45"/>
      <c r="V18" s="45"/>
      <c r="W18" s="1222">
        <v>45626</v>
      </c>
      <c r="X18" s="45">
        <f>'EGEC - NIS2'!Q17</f>
        <v>872049.61</v>
      </c>
      <c r="Y18" s="45">
        <f>X18*15%</f>
        <v>130807.44149999999</v>
      </c>
      <c r="Z18" s="45">
        <f>X18+Y18</f>
        <v>1002857.0514999999</v>
      </c>
      <c r="AA18" s="1222">
        <v>45651</v>
      </c>
      <c r="AB18" s="45">
        <f>'EGEC - NIS2'!S17</f>
        <v>218013.5</v>
      </c>
      <c r="AC18" s="45">
        <f>AB18*15%</f>
        <v>32702.024999999998</v>
      </c>
      <c r="AD18" s="45">
        <f>AB18+AC18</f>
        <v>250715.52499999999</v>
      </c>
      <c r="AE18" s="45"/>
      <c r="AF18" s="45"/>
      <c r="AG18" s="45"/>
      <c r="AH18" s="45"/>
      <c r="AI18" s="247"/>
      <c r="AJ18" s="247"/>
      <c r="AK18" s="247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247"/>
      <c r="BS18" s="45"/>
      <c r="BT18" s="247"/>
      <c r="BU18" s="45"/>
      <c r="BV18" s="247"/>
      <c r="BW18" s="304"/>
      <c r="BX18" s="304"/>
      <c r="BY18" s="304"/>
      <c r="BZ18" s="247"/>
      <c r="CA18" s="247"/>
      <c r="CB18" s="247"/>
      <c r="CC18" s="247"/>
      <c r="CD18" s="247"/>
      <c r="CE18" s="247"/>
      <c r="CF18" s="247"/>
      <c r="CG18" s="247"/>
      <c r="CH18" s="247"/>
      <c r="CI18" s="247"/>
      <c r="CJ18" s="247"/>
      <c r="CK18" s="247"/>
      <c r="CL18" s="247"/>
      <c r="CM18" s="247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1216"/>
      <c r="DD18" s="1217">
        <f t="shared" ref="DD18:DD31" si="8">F18</f>
        <v>4360270</v>
      </c>
      <c r="DE18" s="1217">
        <f t="shared" ref="DE18:DE33" si="9">DD18*15%</f>
        <v>654040.5</v>
      </c>
      <c r="DF18" s="1217">
        <f t="shared" ref="DF18:DF33" si="10">DD18+DE18</f>
        <v>5014310.5</v>
      </c>
      <c r="DG18" s="1217">
        <f t="shared" si="6"/>
        <v>4360269.9999949997</v>
      </c>
      <c r="DH18" s="1217">
        <f t="shared" si="7"/>
        <v>5014310.49999425</v>
      </c>
      <c r="DI18" s="1218">
        <v>1</v>
      </c>
      <c r="DJ18" s="1219">
        <f t="shared" ref="DJ18:DJ32" si="11">DI18*DD18</f>
        <v>4360270</v>
      </c>
      <c r="DK18" s="1217">
        <f t="shared" ref="DK18:DK32" si="12">DJ18-DG18</f>
        <v>5.0002709031105042E-6</v>
      </c>
    </row>
    <row r="19" spans="1:115" ht="15.6">
      <c r="A19" s="1228" t="s">
        <v>235</v>
      </c>
      <c r="B19" t="s">
        <v>117</v>
      </c>
      <c r="C19" s="1210">
        <v>2</v>
      </c>
      <c r="D19" s="1226" t="s">
        <v>120</v>
      </c>
      <c r="E19" s="1210"/>
      <c r="F19" s="1212">
        <v>744150</v>
      </c>
      <c r="G19" s="1222"/>
      <c r="H19" s="45"/>
      <c r="I19" s="45"/>
      <c r="J19" s="45"/>
      <c r="K19" s="1222">
        <v>45532</v>
      </c>
      <c r="L19" s="45">
        <f>'EGEC - NIS2'!O32</f>
        <v>372075</v>
      </c>
      <c r="M19" s="45">
        <f>L19*15%</f>
        <v>55811.25</v>
      </c>
      <c r="N19" s="45">
        <f>L19+M19</f>
        <v>427886.25</v>
      </c>
      <c r="O19" s="247"/>
      <c r="P19" s="247"/>
      <c r="Q19" s="247"/>
      <c r="R19" s="45"/>
      <c r="S19" s="1222">
        <v>45596</v>
      </c>
      <c r="T19" s="45">
        <f>'EGEC - NIS2'!Q32</f>
        <v>372075</v>
      </c>
      <c r="U19" s="45">
        <f>T19*15%</f>
        <v>55811.25</v>
      </c>
      <c r="V19" s="45">
        <f>T19+U19</f>
        <v>427886.25</v>
      </c>
      <c r="W19" s="45"/>
      <c r="X19" s="45"/>
      <c r="Y19" s="45"/>
      <c r="Z19" s="45"/>
      <c r="AA19" s="45"/>
      <c r="AB19" s="45"/>
      <c r="AC19" s="45"/>
      <c r="AD19" s="45"/>
      <c r="AE19" s="1222"/>
      <c r="AF19" s="45"/>
      <c r="AG19" s="45"/>
      <c r="AH19" s="45"/>
      <c r="AI19" s="247"/>
      <c r="AJ19" s="247"/>
      <c r="AK19" s="247"/>
      <c r="AL19" s="304"/>
      <c r="AM19" s="304"/>
      <c r="AN19" s="304"/>
      <c r="AO19" s="304"/>
      <c r="AP19" s="304"/>
      <c r="AQ19" s="304"/>
      <c r="AR19" s="304"/>
      <c r="AS19" s="304"/>
      <c r="AT19" s="304"/>
      <c r="AU19" s="1222"/>
      <c r="AV19" s="304"/>
      <c r="AW19" s="45"/>
      <c r="AX19" s="45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247"/>
      <c r="BS19" s="45"/>
      <c r="BT19" s="247"/>
      <c r="BU19" s="45"/>
      <c r="BV19" s="247"/>
      <c r="BW19" s="304"/>
      <c r="BX19" s="304"/>
      <c r="BY19" s="304"/>
      <c r="BZ19" s="247"/>
      <c r="CA19" s="247"/>
      <c r="CB19" s="247"/>
      <c r="CC19" s="247"/>
      <c r="CD19" s="247"/>
      <c r="CE19" s="247"/>
      <c r="CF19" s="247"/>
      <c r="CG19" s="247"/>
      <c r="CH19" s="247"/>
      <c r="CI19" s="247"/>
      <c r="CJ19" s="247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1216"/>
      <c r="DD19" s="1217">
        <f t="shared" si="8"/>
        <v>744150</v>
      </c>
      <c r="DE19" s="1217">
        <f t="shared" si="9"/>
        <v>111622.5</v>
      </c>
      <c r="DF19" s="1217">
        <f t="shared" si="10"/>
        <v>855772.5</v>
      </c>
      <c r="DG19" s="1217">
        <f t="shared" si="6"/>
        <v>744150</v>
      </c>
      <c r="DH19" s="1217">
        <f t="shared" si="7"/>
        <v>855772.5</v>
      </c>
      <c r="DI19" s="1218">
        <v>1</v>
      </c>
      <c r="DJ19" s="1219">
        <f t="shared" si="11"/>
        <v>744150</v>
      </c>
      <c r="DK19" s="1217">
        <f t="shared" si="12"/>
        <v>0</v>
      </c>
    </row>
    <row r="20" spans="1:115" ht="15.6">
      <c r="A20" s="1228" t="s">
        <v>235</v>
      </c>
      <c r="B20" t="s">
        <v>117</v>
      </c>
      <c r="C20" s="1210">
        <v>3</v>
      </c>
      <c r="D20" s="1226" t="s">
        <v>121</v>
      </c>
      <c r="E20" s="1210"/>
      <c r="F20" s="1212">
        <v>744150</v>
      </c>
      <c r="G20" s="1222"/>
      <c r="H20" s="45"/>
      <c r="I20" s="45"/>
      <c r="J20" s="45"/>
      <c r="K20" s="1222"/>
      <c r="L20" s="247"/>
      <c r="M20" s="247"/>
      <c r="N20" s="45"/>
      <c r="O20" s="247"/>
      <c r="P20" s="247"/>
      <c r="Q20" s="247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1222">
        <v>45688</v>
      </c>
      <c r="AF20" s="45">
        <f>'EGEC - NIS2'!U32</f>
        <v>372075</v>
      </c>
      <c r="AG20" s="45">
        <f>AF20*15%</f>
        <v>55811.25</v>
      </c>
      <c r="AH20" s="45">
        <f>AF20+AG20</f>
        <v>427886.25</v>
      </c>
      <c r="AI20" s="247"/>
      <c r="AJ20" s="247"/>
      <c r="AK20" s="247"/>
      <c r="AL20" s="304"/>
      <c r="AM20" s="304"/>
      <c r="AN20" s="304"/>
      <c r="AO20" s="304"/>
      <c r="AP20" s="304"/>
      <c r="AQ20" s="304"/>
      <c r="AR20" s="304"/>
      <c r="AS20" s="304"/>
      <c r="AT20" s="304"/>
      <c r="AU20" s="1222">
        <v>45807</v>
      </c>
      <c r="AV20" s="304">
        <f>'EGEC - NIS2'!W32</f>
        <v>372075</v>
      </c>
      <c r="AW20" s="45">
        <f>AV20*15%</f>
        <v>55811.25</v>
      </c>
      <c r="AX20" s="45">
        <f>AV20+AW20</f>
        <v>427886.25</v>
      </c>
      <c r="AY20" s="304"/>
      <c r="AZ20" s="304"/>
      <c r="BA20" s="304"/>
      <c r="BB20" s="304"/>
      <c r="BC20" s="304"/>
      <c r="BD20" s="304"/>
      <c r="BE20" s="304"/>
      <c r="BF20" s="304"/>
      <c r="BG20" s="304"/>
      <c r="BH20" s="304"/>
      <c r="BI20" s="304"/>
      <c r="BJ20" s="304"/>
      <c r="BK20" s="304"/>
      <c r="BL20" s="304"/>
      <c r="BM20" s="304"/>
      <c r="BN20" s="304"/>
      <c r="BO20" s="304"/>
      <c r="BP20" s="304"/>
      <c r="BQ20" s="304"/>
      <c r="BR20" s="247"/>
      <c r="BS20" s="45"/>
      <c r="BT20" s="247"/>
      <c r="BU20" s="45"/>
      <c r="BV20" s="247"/>
      <c r="BW20" s="304"/>
      <c r="BX20" s="304"/>
      <c r="BY20" s="304"/>
      <c r="BZ20" s="247"/>
      <c r="CA20" s="247"/>
      <c r="CB20" s="247"/>
      <c r="CC20" s="247"/>
      <c r="CD20" s="247"/>
      <c r="CE20" s="247"/>
      <c r="CF20" s="247"/>
      <c r="CG20" s="247"/>
      <c r="CH20" s="247"/>
      <c r="CI20" s="247"/>
      <c r="CJ20" s="247"/>
      <c r="CK20" s="247"/>
      <c r="CL20" s="247"/>
      <c r="CM20" s="247"/>
      <c r="CN20" s="247"/>
      <c r="CO20" s="247"/>
      <c r="CP20" s="247"/>
      <c r="CQ20" s="247"/>
      <c r="CR20" s="247"/>
      <c r="CS20" s="247"/>
      <c r="CT20" s="247"/>
      <c r="CU20" s="247"/>
      <c r="CV20" s="247"/>
      <c r="CW20" s="247"/>
      <c r="CX20" s="247"/>
      <c r="CY20" s="247"/>
      <c r="CZ20" s="247"/>
      <c r="DA20" s="247"/>
      <c r="DB20" s="247"/>
      <c r="DC20" s="1216"/>
      <c r="DD20" s="1217">
        <f t="shared" si="8"/>
        <v>744150</v>
      </c>
      <c r="DE20" s="1217">
        <f t="shared" si="9"/>
        <v>111622.5</v>
      </c>
      <c r="DF20" s="1217">
        <f t="shared" si="10"/>
        <v>855772.5</v>
      </c>
      <c r="DG20" s="1217">
        <f t="shared" si="6"/>
        <v>744150</v>
      </c>
      <c r="DH20" s="1217">
        <f t="shared" si="7"/>
        <v>855772.5</v>
      </c>
      <c r="DI20" s="1218">
        <v>1</v>
      </c>
      <c r="DJ20" s="1219">
        <f t="shared" si="11"/>
        <v>744150</v>
      </c>
      <c r="DK20" s="1217">
        <f t="shared" si="12"/>
        <v>0</v>
      </c>
    </row>
    <row r="21" spans="1:115" ht="15.6">
      <c r="A21" s="1228" t="s">
        <v>235</v>
      </c>
      <c r="B21" t="s">
        <v>117</v>
      </c>
      <c r="C21" s="1210">
        <v>4</v>
      </c>
      <c r="D21" s="1226" t="s">
        <v>173</v>
      </c>
      <c r="E21" s="1210"/>
      <c r="F21" s="1212">
        <v>153002</v>
      </c>
      <c r="G21" s="1222"/>
      <c r="H21" s="45"/>
      <c r="I21" s="45"/>
      <c r="J21" s="45"/>
      <c r="K21" s="1222">
        <v>45532</v>
      </c>
      <c r="L21" s="45">
        <f>'EGEC - NIS2'!O47</f>
        <v>107101.54000000001</v>
      </c>
      <c r="M21" s="45">
        <f>L21*15%</f>
        <v>16065.231</v>
      </c>
      <c r="N21" s="45">
        <f>L21+M21</f>
        <v>123166.77100000001</v>
      </c>
      <c r="O21" s="1222">
        <v>45586</v>
      </c>
      <c r="P21" s="45">
        <f>'EGEC - NIS2'!Q47</f>
        <v>45900.66</v>
      </c>
      <c r="Q21" s="45">
        <f>P21*15%</f>
        <v>6885.0990000000002</v>
      </c>
      <c r="R21" s="45">
        <f>P21+Q21</f>
        <v>52785.759000000005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247"/>
      <c r="AJ21" s="247"/>
      <c r="AK21" s="247"/>
      <c r="AL21" s="304"/>
      <c r="AM21" s="304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/>
      <c r="BG21" s="304"/>
      <c r="BH21" s="304"/>
      <c r="BI21" s="304"/>
      <c r="BJ21" s="304"/>
      <c r="BK21" s="304"/>
      <c r="BL21" s="304"/>
      <c r="BM21" s="304"/>
      <c r="BN21" s="304"/>
      <c r="BO21" s="304"/>
      <c r="BP21" s="304"/>
      <c r="BQ21" s="304"/>
      <c r="BR21" s="328"/>
      <c r="BS21" s="328"/>
      <c r="BT21" s="328"/>
      <c r="BU21" s="328"/>
      <c r="BV21" s="328"/>
      <c r="BW21" s="304"/>
      <c r="BX21" s="304"/>
      <c r="BY21" s="304"/>
      <c r="BZ21" s="328"/>
      <c r="CA21" s="247"/>
      <c r="CB21" s="247"/>
      <c r="CC21" s="247"/>
      <c r="CD21" s="247"/>
      <c r="CE21" s="247"/>
      <c r="CF21" s="247"/>
      <c r="CG21" s="247"/>
      <c r="CH21" s="247"/>
      <c r="CI21" s="247"/>
      <c r="CJ21" s="247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1216"/>
      <c r="DD21" s="1217">
        <f t="shared" si="8"/>
        <v>153002</v>
      </c>
      <c r="DE21" s="1217">
        <f t="shared" si="9"/>
        <v>22950.3</v>
      </c>
      <c r="DF21" s="1217">
        <f t="shared" si="10"/>
        <v>175952.3</v>
      </c>
      <c r="DG21" s="1217">
        <f t="shared" si="6"/>
        <v>153002.20000000001</v>
      </c>
      <c r="DH21" s="1217">
        <f t="shared" si="7"/>
        <v>175952.53000000003</v>
      </c>
      <c r="DI21" s="1218">
        <v>1</v>
      </c>
      <c r="DJ21" s="1219">
        <f t="shared" si="11"/>
        <v>153002</v>
      </c>
      <c r="DK21" s="1217">
        <f t="shared" si="12"/>
        <v>-0.20000000001164153</v>
      </c>
    </row>
    <row r="22" spans="1:115" ht="15.6">
      <c r="A22" s="1228" t="s">
        <v>235</v>
      </c>
      <c r="B22" t="s">
        <v>117</v>
      </c>
      <c r="C22" s="1210">
        <v>5</v>
      </c>
      <c r="D22" s="1226" t="s">
        <v>221</v>
      </c>
      <c r="E22" s="1210"/>
      <c r="F22" s="1212">
        <v>156177</v>
      </c>
      <c r="G22" s="1222"/>
      <c r="H22" s="45"/>
      <c r="I22" s="45"/>
      <c r="J22" s="45"/>
      <c r="K22" s="247"/>
      <c r="L22" s="247"/>
      <c r="M22" s="247"/>
      <c r="N22" s="45"/>
      <c r="O22" s="1222">
        <v>45586</v>
      </c>
      <c r="P22" s="45">
        <f>'EGEC - NIS2'!Q64</f>
        <v>109323.9</v>
      </c>
      <c r="Q22" s="45">
        <f>P22*15%</f>
        <v>16398.584999999999</v>
      </c>
      <c r="R22" s="45">
        <f>P22+Q22</f>
        <v>125722.48499999999</v>
      </c>
      <c r="S22" s="45"/>
      <c r="T22" s="45"/>
      <c r="U22" s="45"/>
      <c r="V22" s="45"/>
      <c r="W22" s="1222">
        <v>45626</v>
      </c>
      <c r="X22" s="45">
        <v>46853.1</v>
      </c>
      <c r="Y22" s="45">
        <f>X22*15%</f>
        <v>7027.9649999999992</v>
      </c>
      <c r="Z22" s="45">
        <f>X22+Y22</f>
        <v>53881.064999999995</v>
      </c>
      <c r="AA22" s="1222"/>
      <c r="AB22" s="45"/>
      <c r="AC22" s="45"/>
      <c r="AD22" s="45"/>
      <c r="AE22" s="45"/>
      <c r="AF22" s="45"/>
      <c r="AG22" s="45"/>
      <c r="AH22" s="45"/>
      <c r="AI22" s="247"/>
      <c r="AJ22" s="247"/>
      <c r="AK22" s="247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304"/>
      <c r="BL22" s="304"/>
      <c r="BM22" s="304"/>
      <c r="BN22" s="304"/>
      <c r="BO22" s="304"/>
      <c r="BP22" s="304"/>
      <c r="BQ22" s="304"/>
      <c r="BR22" s="328"/>
      <c r="BS22" s="328"/>
      <c r="BT22" s="328"/>
      <c r="BU22" s="328"/>
      <c r="BV22" s="328"/>
      <c r="BW22" s="304"/>
      <c r="BX22" s="304"/>
      <c r="BY22" s="304"/>
      <c r="BZ22" s="328"/>
      <c r="CA22" s="247"/>
      <c r="CB22" s="247"/>
      <c r="CC22" s="247"/>
      <c r="CD22" s="247"/>
      <c r="CE22" s="247"/>
      <c r="CF22" s="247"/>
      <c r="CG22" s="247"/>
      <c r="CH22" s="247"/>
      <c r="CI22" s="247"/>
      <c r="CJ22" s="247"/>
      <c r="CK22" s="247"/>
      <c r="CL22" s="247"/>
      <c r="CM22" s="247"/>
      <c r="CN22" s="247"/>
      <c r="CO22" s="247"/>
      <c r="CP22" s="247"/>
      <c r="CQ22" s="247"/>
      <c r="CR22" s="247"/>
      <c r="CS22" s="247"/>
      <c r="CT22" s="247"/>
      <c r="CU22" s="247"/>
      <c r="CV22" s="247"/>
      <c r="CW22" s="247"/>
      <c r="CX22" s="247"/>
      <c r="CY22" s="247"/>
      <c r="CZ22" s="247"/>
      <c r="DA22" s="247"/>
      <c r="DB22" s="247"/>
      <c r="DC22" s="1216"/>
      <c r="DD22" s="1217">
        <f t="shared" si="8"/>
        <v>156177</v>
      </c>
      <c r="DE22" s="1217">
        <f t="shared" si="9"/>
        <v>23426.55</v>
      </c>
      <c r="DF22" s="1217">
        <f t="shared" si="10"/>
        <v>179603.55</v>
      </c>
      <c r="DG22" s="1217">
        <f t="shared" si="6"/>
        <v>156177</v>
      </c>
      <c r="DH22" s="1217">
        <f t="shared" si="7"/>
        <v>179603.55</v>
      </c>
      <c r="DI22" s="1218">
        <v>1</v>
      </c>
      <c r="DJ22" s="1219">
        <f t="shared" si="11"/>
        <v>156177</v>
      </c>
      <c r="DK22" s="1217">
        <f t="shared" si="12"/>
        <v>0</v>
      </c>
    </row>
    <row r="23" spans="1:115" ht="15.6">
      <c r="A23" s="1228" t="s">
        <v>235</v>
      </c>
      <c r="B23" t="s">
        <v>117</v>
      </c>
      <c r="C23" s="1210">
        <v>6</v>
      </c>
      <c r="D23" s="1226" t="s">
        <v>226</v>
      </c>
      <c r="E23" s="1210" t="s">
        <v>227</v>
      </c>
      <c r="F23" s="1212">
        <v>1656100</v>
      </c>
      <c r="G23" s="1222"/>
      <c r="H23" s="45"/>
      <c r="I23" s="45"/>
      <c r="J23" s="45"/>
      <c r="K23" s="247"/>
      <c r="L23" s="247"/>
      <c r="M23" s="247"/>
      <c r="N23" s="45"/>
      <c r="O23" s="247"/>
      <c r="P23" s="247"/>
      <c r="Q23" s="247"/>
      <c r="R23" s="45"/>
      <c r="S23" s="45"/>
      <c r="T23" s="45"/>
      <c r="U23" s="45"/>
      <c r="V23" s="45"/>
      <c r="W23" s="1222">
        <v>45626</v>
      </c>
      <c r="X23" s="45">
        <v>248415</v>
      </c>
      <c r="Y23" s="45">
        <f>X23*15%</f>
        <v>37262.25</v>
      </c>
      <c r="Z23" s="45">
        <f>X23+Y23</f>
        <v>285677.25</v>
      </c>
      <c r="AA23" s="1222">
        <v>45651</v>
      </c>
      <c r="AB23" s="45">
        <f>'EGEC - NIS2'!M82</f>
        <v>828050</v>
      </c>
      <c r="AC23" s="45">
        <f>AB23*15%</f>
        <v>124207.5</v>
      </c>
      <c r="AD23" s="45">
        <f>AB23+AC23</f>
        <v>952257.5</v>
      </c>
      <c r="AE23" s="1222">
        <v>45688</v>
      </c>
      <c r="AF23" s="45">
        <f>'EGEC - NIS2'!O82</f>
        <v>579635</v>
      </c>
      <c r="AG23" s="45">
        <f>AF23*15%</f>
        <v>86945.25</v>
      </c>
      <c r="AH23" s="45">
        <f>AF23+AG23</f>
        <v>666580.25</v>
      </c>
      <c r="AI23" s="247"/>
      <c r="AJ23" s="247"/>
      <c r="AK23" s="247"/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304"/>
      <c r="BB23" s="304"/>
      <c r="BC23" s="304"/>
      <c r="BD23" s="304"/>
      <c r="BE23" s="304"/>
      <c r="BF23" s="304"/>
      <c r="BG23" s="304"/>
      <c r="BH23" s="304"/>
      <c r="BI23" s="304"/>
      <c r="BJ23" s="304"/>
      <c r="BK23" s="304"/>
      <c r="BL23" s="304"/>
      <c r="BM23" s="304"/>
      <c r="BN23" s="304"/>
      <c r="BO23" s="304"/>
      <c r="BP23" s="304"/>
      <c r="BQ23" s="304"/>
      <c r="BR23" s="328"/>
      <c r="BS23" s="328"/>
      <c r="BT23" s="328"/>
      <c r="BU23" s="328"/>
      <c r="BV23" s="328"/>
      <c r="BW23" s="304"/>
      <c r="BX23" s="304"/>
      <c r="BY23" s="304"/>
      <c r="BZ23" s="328"/>
      <c r="CA23" s="328"/>
      <c r="CB23" s="328"/>
      <c r="CC23" s="328"/>
      <c r="CD23" s="328"/>
      <c r="CE23" s="328"/>
      <c r="CF23" s="328"/>
      <c r="CG23" s="328"/>
      <c r="CH23" s="328"/>
      <c r="CI23" s="328"/>
      <c r="CJ23" s="328"/>
      <c r="CK23" s="328"/>
      <c r="CL23" s="328"/>
      <c r="CM23" s="328"/>
      <c r="CN23" s="328"/>
      <c r="CO23" s="328"/>
      <c r="CP23" s="328"/>
      <c r="CQ23" s="328"/>
      <c r="CR23" s="328"/>
      <c r="CS23" s="328"/>
      <c r="CT23" s="328"/>
      <c r="CU23" s="328"/>
      <c r="CV23" s="328"/>
      <c r="CW23" s="328"/>
      <c r="CX23" s="328"/>
      <c r="CY23" s="328"/>
      <c r="CZ23" s="328"/>
      <c r="DA23" s="328"/>
      <c r="DB23" s="328"/>
      <c r="DC23" s="1216"/>
      <c r="DD23" s="1217">
        <f t="shared" si="8"/>
        <v>1656100</v>
      </c>
      <c r="DE23" s="1217">
        <f t="shared" si="9"/>
        <v>248415</v>
      </c>
      <c r="DF23" s="1217">
        <f t="shared" si="10"/>
        <v>1904515</v>
      </c>
      <c r="DG23" s="1217">
        <f t="shared" si="6"/>
        <v>1656100</v>
      </c>
      <c r="DH23" s="1217">
        <f t="shared" si="7"/>
        <v>1904515</v>
      </c>
      <c r="DI23" s="1218">
        <v>1</v>
      </c>
      <c r="DJ23" s="1219">
        <f t="shared" si="11"/>
        <v>1656100</v>
      </c>
      <c r="DK23" s="1217">
        <f t="shared" si="12"/>
        <v>0</v>
      </c>
    </row>
    <row r="24" spans="1:115" ht="15.6">
      <c r="A24" s="1228" t="s">
        <v>235</v>
      </c>
      <c r="B24" t="s">
        <v>117</v>
      </c>
      <c r="C24" s="1210">
        <v>7</v>
      </c>
      <c r="D24" s="1226" t="s">
        <v>297</v>
      </c>
      <c r="E24" s="1210" t="s">
        <v>301</v>
      </c>
      <c r="F24" s="1212">
        <v>2560090</v>
      </c>
      <c r="G24" s="45"/>
      <c r="H24" s="45"/>
      <c r="I24" s="45"/>
      <c r="J24" s="45"/>
      <c r="K24" s="247"/>
      <c r="L24" s="247"/>
      <c r="M24" s="247"/>
      <c r="N24" s="45"/>
      <c r="O24" s="247"/>
      <c r="P24" s="247"/>
      <c r="Q24" s="247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1222">
        <v>45688</v>
      </c>
      <c r="AF24" s="45">
        <f>'EGEC - NIS2'!O101</f>
        <v>384013.5</v>
      </c>
      <c r="AG24" s="45">
        <f>AF24*15%</f>
        <v>57602.025000000001</v>
      </c>
      <c r="AH24" s="45">
        <f>AF24+AG24</f>
        <v>441615.52500000002</v>
      </c>
      <c r="AI24" s="247"/>
      <c r="AJ24" s="247"/>
      <c r="AK24" s="247"/>
      <c r="AL24" s="304"/>
      <c r="AM24" s="1222">
        <v>45760</v>
      </c>
      <c r="AN24" s="304">
        <f>'EGEC - NIS2'!S101</f>
        <v>384013.5</v>
      </c>
      <c r="AO24" s="45">
        <f>AN24*15%</f>
        <v>57602.025000000001</v>
      </c>
      <c r="AP24" s="45">
        <f>AN24+AO24</f>
        <v>441615.52500000002</v>
      </c>
      <c r="AQ24" s="1222">
        <v>45777</v>
      </c>
      <c r="AR24" s="304">
        <f>'EGEC - NIS2'!U101</f>
        <v>640022.5</v>
      </c>
      <c r="AS24" s="45">
        <f>AR24*15%</f>
        <v>96003.375</v>
      </c>
      <c r="AT24" s="45">
        <f>AR24+AS24</f>
        <v>736025.875</v>
      </c>
      <c r="AU24" s="1222">
        <v>45807</v>
      </c>
      <c r="AV24" s="304">
        <f>'EGEC - NIS2'!W101</f>
        <v>896032.00000000012</v>
      </c>
      <c r="AW24" s="45">
        <f>AV24*15%</f>
        <v>134404.80000000002</v>
      </c>
      <c r="AX24" s="45">
        <f>AV24+AW24</f>
        <v>1030436.8000000002</v>
      </c>
      <c r="AY24" s="1222">
        <v>45865</v>
      </c>
      <c r="AZ24" s="304">
        <f>'EGEC - NIS2'!Y101</f>
        <v>256008.5</v>
      </c>
      <c r="BA24" s="45">
        <f>AZ24*15%</f>
        <v>38401.275000000001</v>
      </c>
      <c r="BB24" s="45">
        <f>AZ24+BA24</f>
        <v>294409.77500000002</v>
      </c>
      <c r="BC24" s="304"/>
      <c r="BD24" s="304"/>
      <c r="BE24" s="304"/>
      <c r="BF24" s="304"/>
      <c r="BG24" s="304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28"/>
      <c r="BS24" s="328"/>
      <c r="BT24" s="328"/>
      <c r="BU24" s="328"/>
      <c r="BV24" s="328"/>
      <c r="BW24" s="304"/>
      <c r="BX24" s="304"/>
      <c r="BY24" s="304"/>
      <c r="BZ24" s="328"/>
      <c r="CA24" s="328"/>
      <c r="CB24" s="328"/>
      <c r="CC24" s="328"/>
      <c r="CD24" s="328"/>
      <c r="CE24" s="328"/>
      <c r="CF24" s="328"/>
      <c r="CG24" s="328"/>
      <c r="CH24" s="328"/>
      <c r="CI24" s="328"/>
      <c r="CJ24" s="328"/>
      <c r="CK24" s="328"/>
      <c r="CL24" s="328"/>
      <c r="CM24" s="328"/>
      <c r="CN24" s="328"/>
      <c r="CO24" s="328"/>
      <c r="CP24" s="328"/>
      <c r="CQ24" s="328"/>
      <c r="CR24" s="328"/>
      <c r="CS24" s="328"/>
      <c r="CT24" s="328"/>
      <c r="CU24" s="328"/>
      <c r="CV24" s="328"/>
      <c r="CW24" s="328"/>
      <c r="CX24" s="328"/>
      <c r="CY24" s="328"/>
      <c r="CZ24" s="328"/>
      <c r="DA24" s="328"/>
      <c r="DB24" s="328"/>
      <c r="DC24" s="1216"/>
      <c r="DD24" s="1217">
        <f t="shared" si="8"/>
        <v>2560090</v>
      </c>
      <c r="DE24" s="1217">
        <f t="shared" si="9"/>
        <v>384013.5</v>
      </c>
      <c r="DF24" s="1217">
        <f t="shared" si="10"/>
        <v>2944103.5</v>
      </c>
      <c r="DG24" s="1217">
        <f t="shared" si="6"/>
        <v>2560090</v>
      </c>
      <c r="DH24" s="1217">
        <f t="shared" si="7"/>
        <v>2944103.5</v>
      </c>
      <c r="DI24" s="1218">
        <v>1</v>
      </c>
      <c r="DJ24" s="1219">
        <f t="shared" si="11"/>
        <v>2560090</v>
      </c>
      <c r="DK24" s="1217">
        <f t="shared" si="12"/>
        <v>0</v>
      </c>
    </row>
    <row r="25" spans="1:115" ht="15.6">
      <c r="A25" s="1228" t="s">
        <v>235</v>
      </c>
      <c r="B25" t="s">
        <v>117</v>
      </c>
      <c r="C25" s="1210">
        <v>8</v>
      </c>
      <c r="D25" s="1226" t="s">
        <v>299</v>
      </c>
      <c r="E25" s="1210" t="s">
        <v>300</v>
      </c>
      <c r="F25" s="1212">
        <v>2310000</v>
      </c>
      <c r="G25" s="1222"/>
      <c r="H25" s="45"/>
      <c r="I25" s="45"/>
      <c r="J25" s="45"/>
      <c r="K25" s="247"/>
      <c r="L25" s="247"/>
      <c r="M25" s="247"/>
      <c r="N25" s="45"/>
      <c r="O25" s="247"/>
      <c r="P25" s="247"/>
      <c r="Q25" s="247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247"/>
      <c r="AJ25" s="247"/>
      <c r="AK25" s="247"/>
      <c r="AL25" s="304"/>
      <c r="AM25" s="1222">
        <v>45760</v>
      </c>
      <c r="AN25" s="304">
        <f>'EGEC - NIS2'!S165</f>
        <v>693000</v>
      </c>
      <c r="AO25" s="45">
        <f>AN25*15%</f>
        <v>103950</v>
      </c>
      <c r="AP25" s="45">
        <f>AN25+AO25</f>
        <v>796950</v>
      </c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28"/>
      <c r="BS25" s="328"/>
      <c r="BT25" s="328"/>
      <c r="BU25" s="328"/>
      <c r="BV25" s="328"/>
      <c r="BW25" s="304"/>
      <c r="BX25" s="304"/>
      <c r="BY25" s="304"/>
      <c r="BZ25" s="328"/>
      <c r="CA25" s="1240">
        <v>46140</v>
      </c>
      <c r="CB25" s="328">
        <v>577500</v>
      </c>
      <c r="CC25" s="304">
        <f>Currentinvoices[[#This Row],[Invoice '# 19 amount]]*15%</f>
        <v>86625</v>
      </c>
      <c r="CD25" s="328">
        <f>Currentinvoices[[#This Row],[Invoice '# 19 vat]]+Currentinvoices[[#This Row],[Invoice '# 19 amount]]</f>
        <v>664125</v>
      </c>
      <c r="CE25" s="1240">
        <v>46190</v>
      </c>
      <c r="CF25" s="328">
        <v>808500</v>
      </c>
      <c r="CG25" s="328">
        <f>Currentinvoices[[#This Row],[Invoice '# 20 amount]]*15%</f>
        <v>121275</v>
      </c>
      <c r="CH25" s="328">
        <f>Currentinvoices[[#This Row],[Invoice '# 20 amount]]+Currentinvoices[[#This Row],[Invoice '# 20 vat]]</f>
        <v>929775</v>
      </c>
      <c r="CI25" s="328"/>
      <c r="CJ25" s="328"/>
      <c r="CK25" s="328"/>
      <c r="CL25" s="328"/>
      <c r="CM25" s="328"/>
      <c r="CN25" s="328"/>
      <c r="CO25" s="328"/>
      <c r="CP25" s="328"/>
      <c r="CQ25" s="328"/>
      <c r="CR25" s="328"/>
      <c r="CS25" s="328"/>
      <c r="CT25" s="328"/>
      <c r="CU25" s="328"/>
      <c r="CV25" s="328"/>
      <c r="CW25" s="328"/>
      <c r="CX25" s="328"/>
      <c r="CY25" s="328"/>
      <c r="CZ25" s="328"/>
      <c r="DA25" s="328"/>
      <c r="DB25" s="328"/>
      <c r="DC25" s="1216"/>
      <c r="DD25" s="1217">
        <f t="shared" si="8"/>
        <v>2310000</v>
      </c>
      <c r="DE25" s="1217">
        <f t="shared" si="9"/>
        <v>346500</v>
      </c>
      <c r="DF25" s="1217">
        <f t="shared" si="10"/>
        <v>2656500</v>
      </c>
      <c r="DG25" s="1217">
        <f t="shared" si="6"/>
        <v>2079000</v>
      </c>
      <c r="DH25" s="1217">
        <f t="shared" si="7"/>
        <v>2390850</v>
      </c>
      <c r="DI25" s="1218">
        <v>1</v>
      </c>
      <c r="DJ25" s="1219">
        <f t="shared" si="11"/>
        <v>2310000</v>
      </c>
      <c r="DK25" s="1217">
        <f t="shared" si="12"/>
        <v>231000</v>
      </c>
    </row>
    <row r="26" spans="1:115" ht="15.6">
      <c r="A26" s="1228" t="s">
        <v>235</v>
      </c>
      <c r="B26" t="s">
        <v>117</v>
      </c>
      <c r="C26" s="1210">
        <v>9</v>
      </c>
      <c r="D26" s="1226" t="s">
        <v>302</v>
      </c>
      <c r="E26" s="1210" t="s">
        <v>303</v>
      </c>
      <c r="F26" s="1212">
        <v>350000</v>
      </c>
      <c r="G26" s="1222"/>
      <c r="H26" s="45"/>
      <c r="I26" s="45"/>
      <c r="J26" s="45"/>
      <c r="K26" s="247"/>
      <c r="L26" s="247"/>
      <c r="M26" s="247"/>
      <c r="N26" s="45"/>
      <c r="O26" s="247"/>
      <c r="P26" s="247"/>
      <c r="Q26" s="247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1222">
        <v>45718</v>
      </c>
      <c r="AJ26" s="45">
        <f>'EGEC - NIS2'!Q124</f>
        <v>175000</v>
      </c>
      <c r="AK26" s="45">
        <f>AJ26*15%</f>
        <v>26250</v>
      </c>
      <c r="AL26" s="45">
        <f>AJ26+AK26</f>
        <v>201250</v>
      </c>
      <c r="AM26" s="1222">
        <v>45760</v>
      </c>
      <c r="AN26" s="304">
        <f>'EGEC - NIS2'!S124</f>
        <v>175000</v>
      </c>
      <c r="AO26" s="45">
        <f>AN26*15%</f>
        <v>26250</v>
      </c>
      <c r="AP26" s="45">
        <f>AN26+AO26</f>
        <v>201250</v>
      </c>
      <c r="AQ26" s="304"/>
      <c r="AR26" s="304"/>
      <c r="AS26" s="304"/>
      <c r="AT26" s="304"/>
      <c r="AU26" s="304"/>
      <c r="AV26" s="304"/>
      <c r="AW26" s="304"/>
      <c r="AX26" s="304"/>
      <c r="AY26" s="304"/>
      <c r="AZ26" s="304"/>
      <c r="BA26" s="304"/>
      <c r="BB26" s="304"/>
      <c r="BC26" s="304"/>
      <c r="BD26" s="304"/>
      <c r="BE26" s="304"/>
      <c r="BF26" s="304"/>
      <c r="BG26" s="304"/>
      <c r="BH26" s="304"/>
      <c r="BI26" s="304"/>
      <c r="BJ26" s="304"/>
      <c r="BK26" s="304"/>
      <c r="BL26" s="304"/>
      <c r="BM26" s="304"/>
      <c r="BN26" s="304"/>
      <c r="BO26" s="304"/>
      <c r="BP26" s="304"/>
      <c r="BQ26" s="304"/>
      <c r="BR26" s="328"/>
      <c r="BS26" s="328"/>
      <c r="BT26" s="328"/>
      <c r="BU26" s="328"/>
      <c r="BV26" s="328"/>
      <c r="BW26" s="304"/>
      <c r="BX26" s="304"/>
      <c r="BY26" s="304"/>
      <c r="BZ26" s="328"/>
      <c r="CA26" s="328"/>
      <c r="CB26" s="328"/>
      <c r="CC26" s="328"/>
      <c r="CD26" s="328"/>
      <c r="CE26" s="328"/>
      <c r="CF26" s="328"/>
      <c r="CG26" s="328"/>
      <c r="CH26" s="328"/>
      <c r="CI26" s="328"/>
      <c r="CJ26" s="328"/>
      <c r="CK26" s="328"/>
      <c r="CL26" s="328"/>
      <c r="CM26" s="328"/>
      <c r="CN26" s="328"/>
      <c r="CO26" s="328"/>
      <c r="CP26" s="328"/>
      <c r="CQ26" s="328"/>
      <c r="CR26" s="328"/>
      <c r="CS26" s="328"/>
      <c r="CT26" s="328"/>
      <c r="CU26" s="328"/>
      <c r="CV26" s="328"/>
      <c r="CW26" s="328"/>
      <c r="CX26" s="328"/>
      <c r="CY26" s="328"/>
      <c r="CZ26" s="328"/>
      <c r="DA26" s="328"/>
      <c r="DB26" s="328"/>
      <c r="DC26" s="1216"/>
      <c r="DD26" s="1217">
        <f t="shared" si="8"/>
        <v>350000</v>
      </c>
      <c r="DE26" s="1217">
        <f t="shared" si="9"/>
        <v>52500</v>
      </c>
      <c r="DF26" s="1217">
        <f t="shared" si="10"/>
        <v>402500</v>
      </c>
      <c r="DG26" s="1217">
        <f t="shared" si="6"/>
        <v>350000</v>
      </c>
      <c r="DH26" s="1217">
        <f t="shared" si="7"/>
        <v>402500</v>
      </c>
      <c r="DI26" s="1218">
        <v>1</v>
      </c>
      <c r="DJ26" s="1219">
        <f t="shared" si="11"/>
        <v>350000</v>
      </c>
      <c r="DK26" s="1217">
        <f t="shared" si="12"/>
        <v>0</v>
      </c>
    </row>
    <row r="27" spans="1:115" ht="15.75" customHeight="1">
      <c r="A27" s="1228" t="s">
        <v>235</v>
      </c>
      <c r="B27" t="s">
        <v>117</v>
      </c>
      <c r="C27" s="1210">
        <v>10</v>
      </c>
      <c r="D27" s="1226" t="s">
        <v>314</v>
      </c>
      <c r="E27" s="1210" t="s">
        <v>315</v>
      </c>
      <c r="F27" s="1212">
        <v>534490</v>
      </c>
      <c r="G27" s="1222"/>
      <c r="H27" s="45"/>
      <c r="I27" s="45"/>
      <c r="J27" s="45"/>
      <c r="K27" s="247"/>
      <c r="L27" s="247"/>
      <c r="M27" s="247"/>
      <c r="N27" s="45"/>
      <c r="O27" s="247"/>
      <c r="P27" s="247"/>
      <c r="Q27" s="247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247"/>
      <c r="AJ27" s="247"/>
      <c r="AK27" s="247"/>
      <c r="AL27" s="328"/>
      <c r="AM27" s="1222">
        <v>45760</v>
      </c>
      <c r="AN27" s="304">
        <f>'EGEC - NIS2'!S146</f>
        <v>210000</v>
      </c>
      <c r="AO27" s="45">
        <f>AN27*15%</f>
        <v>31500</v>
      </c>
      <c r="AP27" s="45">
        <f>AN27+AO27</f>
        <v>241500</v>
      </c>
      <c r="AQ27" s="304"/>
      <c r="AR27" s="304"/>
      <c r="AS27" s="304"/>
      <c r="AT27" s="304"/>
      <c r="AU27" s="304"/>
      <c r="AV27" s="304"/>
      <c r="AW27" s="304"/>
      <c r="AX27" s="304"/>
      <c r="AY27" s="304"/>
      <c r="AZ27" s="304"/>
      <c r="BA27" s="304"/>
      <c r="BB27" s="304"/>
      <c r="BC27" s="1222">
        <v>45907</v>
      </c>
      <c r="BD27" s="304">
        <f>'EGEC - NIS2'!U146</f>
        <v>175000.63999999998</v>
      </c>
      <c r="BE27" s="45">
        <f>BD27*15%</f>
        <v>26250.095999999998</v>
      </c>
      <c r="BF27" s="45">
        <f>BD27+BE27</f>
        <v>201250.73599999998</v>
      </c>
      <c r="BG27" s="304"/>
      <c r="BH27" s="304"/>
      <c r="BI27" s="304"/>
      <c r="BJ27" s="304"/>
      <c r="BK27" s="304"/>
      <c r="BL27" s="304"/>
      <c r="BM27" s="304"/>
      <c r="BN27" s="304"/>
      <c r="BO27" s="1222">
        <v>45994</v>
      </c>
      <c r="BP27" s="304">
        <f>'EGEC - NIS2'!W146</f>
        <v>140000</v>
      </c>
      <c r="BQ27" s="304">
        <f>'Invoices (2)'!$BP27*15%</f>
        <v>21000</v>
      </c>
      <c r="BR27" s="328">
        <f>'Invoices (2)'!$BQ27+'Invoices (2)'!$BP27</f>
        <v>161000</v>
      </c>
      <c r="BS27" s="1240">
        <v>46014</v>
      </c>
      <c r="BT27" s="328">
        <v>9490</v>
      </c>
      <c r="BU27" s="328">
        <f>Currentinvoices[[#This Row],[Invoice '# 17 amount]]*15%</f>
        <v>1423.5</v>
      </c>
      <c r="BV27" s="328">
        <f>Currentinvoices[[#This Row],[Invoice '# 17 amount]]+Currentinvoices[[#This Row],[Invoice '# 17 vat]]</f>
        <v>10913.5</v>
      </c>
      <c r="BW27" s="304"/>
      <c r="BX27" s="304"/>
      <c r="BY27" s="304"/>
      <c r="BZ27" s="328"/>
      <c r="CA27" s="328"/>
      <c r="CB27" s="328"/>
      <c r="CC27" s="328"/>
      <c r="CD27" s="328"/>
      <c r="CE27" s="328"/>
      <c r="CF27" s="328"/>
      <c r="CG27" s="328"/>
      <c r="CH27" s="328"/>
      <c r="CI27" s="328"/>
      <c r="CJ27" s="328"/>
      <c r="CK27" s="328"/>
      <c r="CL27" s="328"/>
      <c r="CM27" s="328"/>
      <c r="CN27" s="328"/>
      <c r="CO27" s="328"/>
      <c r="CP27" s="328"/>
      <c r="CQ27" s="328"/>
      <c r="CR27" s="328"/>
      <c r="CS27" s="328"/>
      <c r="CT27" s="328"/>
      <c r="CU27" s="328"/>
      <c r="CV27" s="328"/>
      <c r="CW27" s="328"/>
      <c r="CX27" s="328"/>
      <c r="CY27" s="328"/>
      <c r="CZ27" s="328"/>
      <c r="DA27" s="328"/>
      <c r="DB27" s="328"/>
      <c r="DC27" s="1216"/>
      <c r="DD27" s="1217">
        <f t="shared" si="8"/>
        <v>534490</v>
      </c>
      <c r="DE27" s="1217">
        <f t="shared" si="9"/>
        <v>80173.5</v>
      </c>
      <c r="DF27" s="1217">
        <f t="shared" si="10"/>
        <v>614663.5</v>
      </c>
      <c r="DG27" s="1217">
        <f t="shared" si="6"/>
        <v>534490.64</v>
      </c>
      <c r="DH27" s="1217">
        <f t="shared" si="7"/>
        <v>614664.23600000003</v>
      </c>
      <c r="DI27" s="1218">
        <v>1</v>
      </c>
      <c r="DJ27" s="1219">
        <f t="shared" si="11"/>
        <v>534490</v>
      </c>
      <c r="DK27" s="1217">
        <f t="shared" si="12"/>
        <v>-0.64000000001396984</v>
      </c>
    </row>
    <row r="28" spans="1:115" ht="15.6">
      <c r="A28" s="1228" t="s">
        <v>235</v>
      </c>
      <c r="B28" t="s">
        <v>117</v>
      </c>
      <c r="C28" s="1210">
        <v>11</v>
      </c>
      <c r="D28" s="1226" t="s">
        <v>325</v>
      </c>
      <c r="E28" s="1210"/>
      <c r="F28" s="1212">
        <v>170000</v>
      </c>
      <c r="G28" s="1222"/>
      <c r="H28" s="45"/>
      <c r="I28" s="45"/>
      <c r="J28" s="45"/>
      <c r="K28" s="247"/>
      <c r="L28" s="247"/>
      <c r="M28" s="247"/>
      <c r="N28" s="45"/>
      <c r="O28" s="247"/>
      <c r="P28" s="247"/>
      <c r="Q28" s="247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247"/>
      <c r="AJ28" s="247"/>
      <c r="AK28" s="247"/>
      <c r="AL28" s="328"/>
      <c r="AM28" s="1222">
        <v>45760</v>
      </c>
      <c r="AN28" s="304">
        <f>'EGEC - NIS2'!S183</f>
        <v>85000</v>
      </c>
      <c r="AO28" s="45">
        <f>AN28*15%</f>
        <v>12750</v>
      </c>
      <c r="AP28" s="45">
        <f>AN28+AO28</f>
        <v>97750</v>
      </c>
      <c r="AQ28" s="304"/>
      <c r="AR28" s="304"/>
      <c r="AS28" s="304"/>
      <c r="AT28" s="304"/>
      <c r="AU28" s="304"/>
      <c r="AV28" s="304"/>
      <c r="AW28" s="304"/>
      <c r="AX28" s="304"/>
      <c r="AY28" s="304"/>
      <c r="AZ28" s="304"/>
      <c r="BA28" s="304"/>
      <c r="BB28" s="304"/>
      <c r="BC28" s="304"/>
      <c r="BD28" s="304"/>
      <c r="BE28" s="304"/>
      <c r="BF28" s="304"/>
      <c r="BG28" s="1229">
        <v>45929</v>
      </c>
      <c r="BH28" s="304">
        <f>'EGEC - NIS2'!W183</f>
        <v>85000</v>
      </c>
      <c r="BI28" s="304">
        <f>'Invoices (2)'!$BH28*15%</f>
        <v>12750</v>
      </c>
      <c r="BJ28" s="304">
        <f>'Invoices (2)'!$BH28+'Invoices (2)'!$BI28</f>
        <v>97750</v>
      </c>
      <c r="BK28" s="304"/>
      <c r="BL28" s="304"/>
      <c r="BM28" s="304"/>
      <c r="BN28" s="304"/>
      <c r="BO28" s="304"/>
      <c r="BP28" s="304"/>
      <c r="BQ28" s="304"/>
      <c r="BR28" s="328"/>
      <c r="BS28" s="328"/>
      <c r="BT28" s="328"/>
      <c r="BU28" s="328"/>
      <c r="BV28" s="328"/>
      <c r="BW28" s="304"/>
      <c r="BX28" s="304"/>
      <c r="BY28" s="304"/>
      <c r="BZ28" s="328"/>
      <c r="CA28" s="328"/>
      <c r="CB28" s="328"/>
      <c r="CC28" s="328"/>
      <c r="CD28" s="328"/>
      <c r="CE28" s="328"/>
      <c r="CF28" s="328"/>
      <c r="CG28" s="328"/>
      <c r="CH28" s="328"/>
      <c r="CI28" s="328"/>
      <c r="CJ28" s="328"/>
      <c r="CK28" s="328"/>
      <c r="CL28" s="328"/>
      <c r="CM28" s="328"/>
      <c r="CN28" s="328"/>
      <c r="CO28" s="328"/>
      <c r="CP28" s="328"/>
      <c r="CQ28" s="328"/>
      <c r="CR28" s="328"/>
      <c r="CS28" s="328"/>
      <c r="CT28" s="328"/>
      <c r="CU28" s="328"/>
      <c r="CV28" s="328"/>
      <c r="CW28" s="328"/>
      <c r="CX28" s="328"/>
      <c r="CY28" s="328"/>
      <c r="CZ28" s="328"/>
      <c r="DA28" s="328"/>
      <c r="DB28" s="328"/>
      <c r="DC28" s="1216"/>
      <c r="DD28" s="1217">
        <f t="shared" si="8"/>
        <v>170000</v>
      </c>
      <c r="DE28" s="1217">
        <f t="shared" si="9"/>
        <v>25500</v>
      </c>
      <c r="DF28" s="1217">
        <f t="shared" si="10"/>
        <v>195500</v>
      </c>
      <c r="DG28" s="1217">
        <f t="shared" si="6"/>
        <v>170000</v>
      </c>
      <c r="DH28" s="1217">
        <f t="shared" si="7"/>
        <v>195500</v>
      </c>
      <c r="DI28" s="1218">
        <v>1</v>
      </c>
      <c r="DJ28" s="1219">
        <f t="shared" si="11"/>
        <v>170000</v>
      </c>
      <c r="DK28" s="1217">
        <f t="shared" si="12"/>
        <v>0</v>
      </c>
    </row>
    <row r="29" spans="1:115" ht="15.6">
      <c r="A29" s="1228" t="s">
        <v>235</v>
      </c>
      <c r="B29" t="s">
        <v>117</v>
      </c>
      <c r="C29" s="1210">
        <v>12</v>
      </c>
      <c r="D29" s="1226" t="s">
        <v>391</v>
      </c>
      <c r="E29" s="1210" t="s">
        <v>392</v>
      </c>
      <c r="F29" s="1212">
        <v>1590000</v>
      </c>
      <c r="G29" s="1222"/>
      <c r="H29" s="45"/>
      <c r="I29" s="45"/>
      <c r="J29" s="45"/>
      <c r="K29" s="247"/>
      <c r="L29" s="247"/>
      <c r="M29" s="247"/>
      <c r="N29" s="45"/>
      <c r="O29" s="247"/>
      <c r="P29" s="247"/>
      <c r="Q29" s="247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247"/>
      <c r="AJ29" s="247"/>
      <c r="AK29" s="247"/>
      <c r="AL29" s="328"/>
      <c r="AM29" s="1230"/>
      <c r="AN29" s="304"/>
      <c r="AO29" s="328"/>
      <c r="AP29" s="328"/>
      <c r="AQ29" s="304"/>
      <c r="AR29" s="304"/>
      <c r="AS29" s="304"/>
      <c r="AT29" s="304"/>
      <c r="AU29" s="304"/>
      <c r="AV29" s="304"/>
      <c r="AW29" s="304"/>
      <c r="AX29" s="304"/>
      <c r="AY29" s="304"/>
      <c r="AZ29" s="304"/>
      <c r="BA29" s="304"/>
      <c r="BB29" s="304"/>
      <c r="BC29" s="304"/>
      <c r="BD29" s="304"/>
      <c r="BE29" s="304"/>
      <c r="BF29" s="304"/>
      <c r="BG29" s="304"/>
      <c r="BH29" s="304"/>
      <c r="BI29" s="304"/>
      <c r="BJ29" s="304"/>
      <c r="BK29" s="1229">
        <v>45956</v>
      </c>
      <c r="BL29" s="304">
        <f>'EGEC - NIS2'!M247</f>
        <v>794999.10000000009</v>
      </c>
      <c r="BM29" s="304">
        <f>'Invoices (2)'!$BL29*15%</f>
        <v>119249.86500000001</v>
      </c>
      <c r="BN29" s="304">
        <f>'Invoices (2)'!$BL29+'Invoices (2)'!$BM29</f>
        <v>914248.96500000008</v>
      </c>
      <c r="BO29" s="304"/>
      <c r="BP29" s="304"/>
      <c r="BQ29" s="304"/>
      <c r="BR29" s="328"/>
      <c r="BS29" s="1240">
        <v>46014</v>
      </c>
      <c r="BT29" s="328">
        <v>556500</v>
      </c>
      <c r="BU29" s="328">
        <f>Currentinvoices[[#This Row],[Invoice '# 17 amount]]*15%</f>
        <v>83475</v>
      </c>
      <c r="BV29" s="328">
        <f>Currentinvoices[[#This Row],[Invoice '# 17 amount]]+Currentinvoices[[#This Row],[Invoice '# 17 vat]]</f>
        <v>639975</v>
      </c>
      <c r="BW29" s="304"/>
      <c r="BX29" s="304"/>
      <c r="BY29" s="304"/>
      <c r="BZ29" s="328"/>
      <c r="CA29" s="328"/>
      <c r="CB29" s="328"/>
      <c r="CC29" s="328"/>
      <c r="CD29" s="328"/>
      <c r="CE29" s="1240">
        <v>46190</v>
      </c>
      <c r="CF29" s="328">
        <v>119250</v>
      </c>
      <c r="CG29" s="328">
        <f>Currentinvoices[[#This Row],[Invoice '# 20 amount]]*15%</f>
        <v>17887.5</v>
      </c>
      <c r="CH29" s="328">
        <f>Currentinvoices[[#This Row],[Invoice '# 20 amount]]+Currentinvoices[[#This Row],[Invoice '# 20 vat]]</f>
        <v>137137.5</v>
      </c>
      <c r="CI29" s="328"/>
      <c r="CJ29" s="328"/>
      <c r="CK29" s="328"/>
      <c r="CL29" s="328"/>
      <c r="CM29" s="328"/>
      <c r="CN29" s="328"/>
      <c r="CO29" s="328"/>
      <c r="CP29" s="328"/>
      <c r="CQ29" s="328"/>
      <c r="CR29" s="328"/>
      <c r="CS29" s="328"/>
      <c r="CT29" s="328"/>
      <c r="CU29" s="328"/>
      <c r="CV29" s="328"/>
      <c r="CW29" s="328"/>
      <c r="CX29" s="328"/>
      <c r="CY29" s="328"/>
      <c r="CZ29" s="328"/>
      <c r="DA29" s="328"/>
      <c r="DB29" s="328"/>
      <c r="DC29" s="1216"/>
      <c r="DD29" s="1217">
        <f t="shared" si="8"/>
        <v>1590000</v>
      </c>
      <c r="DE29" s="1217">
        <f t="shared" si="9"/>
        <v>238500</v>
      </c>
      <c r="DF29" s="1217">
        <f t="shared" si="10"/>
        <v>1828500</v>
      </c>
      <c r="DG29" s="1217">
        <f t="shared" si="6"/>
        <v>1470749.1</v>
      </c>
      <c r="DH29" s="1217">
        <f t="shared" si="7"/>
        <v>1691361.4650000001</v>
      </c>
      <c r="DI29" s="1218">
        <v>1</v>
      </c>
      <c r="DJ29" s="1219">
        <f>DI29*DD29</f>
        <v>1590000</v>
      </c>
      <c r="DK29" s="1217">
        <f>DJ29-DG29</f>
        <v>119250.89999999991</v>
      </c>
    </row>
    <row r="30" spans="1:115" ht="15.6">
      <c r="A30" s="1228" t="s">
        <v>235</v>
      </c>
      <c r="B30" t="s">
        <v>117</v>
      </c>
      <c r="C30" s="1210">
        <v>13</v>
      </c>
      <c r="D30" s="1226" t="s">
        <v>396</v>
      </c>
      <c r="E30" s="1210" t="s">
        <v>556</v>
      </c>
      <c r="F30" s="1212">
        <v>110500</v>
      </c>
      <c r="G30" s="1222"/>
      <c r="H30" s="45"/>
      <c r="I30" s="45"/>
      <c r="J30" s="45"/>
      <c r="K30" s="247"/>
      <c r="L30" s="247"/>
      <c r="M30" s="247"/>
      <c r="N30" s="45"/>
      <c r="O30" s="247"/>
      <c r="P30" s="247"/>
      <c r="Q30" s="247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247"/>
      <c r="AJ30" s="247"/>
      <c r="AK30" s="247"/>
      <c r="AL30" s="304"/>
      <c r="AM30" s="304"/>
      <c r="AN30" s="304"/>
      <c r="AO30" s="304"/>
      <c r="AP30" s="304"/>
      <c r="AQ30" s="304"/>
      <c r="AR30" s="304"/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/>
      <c r="BJ30" s="304"/>
      <c r="BK30" s="1229">
        <v>45956</v>
      </c>
      <c r="BL30" s="304">
        <f>'EGEC - NIS2'!M232</f>
        <v>44199.17</v>
      </c>
      <c r="BM30" s="304">
        <f>'Invoices (2)'!$BL30*15%</f>
        <v>6629.8754999999992</v>
      </c>
      <c r="BN30" s="304">
        <f>'Invoices (2)'!$BL30+'Invoices (2)'!$BM30</f>
        <v>50829.0455</v>
      </c>
      <c r="BO30" s="304"/>
      <c r="BP30" s="304"/>
      <c r="BQ30" s="304"/>
      <c r="BR30" s="328"/>
      <c r="BS30" s="328"/>
      <c r="BT30" s="328"/>
      <c r="BU30" s="328"/>
      <c r="BV30" s="328"/>
      <c r="BW30" s="1240">
        <v>46056</v>
      </c>
      <c r="BX30" s="304">
        <v>66300</v>
      </c>
      <c r="BY30" s="304">
        <f>Currentinvoices[[#This Row],[Invoice '# 18 amount]]*15%</f>
        <v>9945</v>
      </c>
      <c r="BZ30" s="328">
        <f>Currentinvoices[[#This Row],[Invoice '# 18 vat]]+Currentinvoices[[#This Row],[Invoice '# 18 amount]]</f>
        <v>76245</v>
      </c>
      <c r="CA30" s="328"/>
      <c r="CB30" s="328"/>
      <c r="CC30" s="328"/>
      <c r="CD30" s="328"/>
      <c r="CE30" s="328"/>
      <c r="CF30" s="328"/>
      <c r="CG30" s="328"/>
      <c r="CH30" s="328"/>
      <c r="CI30" s="328"/>
      <c r="CJ30" s="328"/>
      <c r="CK30" s="328"/>
      <c r="CL30" s="328"/>
      <c r="CM30" s="328"/>
      <c r="CN30" s="328"/>
      <c r="CO30" s="328"/>
      <c r="CP30" s="328"/>
      <c r="CQ30" s="328"/>
      <c r="CR30" s="328"/>
      <c r="CS30" s="328"/>
      <c r="CT30" s="328"/>
      <c r="CU30" s="328"/>
      <c r="CV30" s="328"/>
      <c r="CW30" s="328"/>
      <c r="CX30" s="328"/>
      <c r="CY30" s="328"/>
      <c r="CZ30" s="328"/>
      <c r="DA30" s="328"/>
      <c r="DB30" s="328"/>
      <c r="DC30" s="1216"/>
      <c r="DD30" s="1217">
        <f t="shared" si="8"/>
        <v>110500</v>
      </c>
      <c r="DE30" s="1217">
        <f t="shared" si="9"/>
        <v>16575</v>
      </c>
      <c r="DF30" s="1217">
        <f t="shared" si="10"/>
        <v>127075</v>
      </c>
      <c r="DG30" s="1217">
        <f t="shared" si="6"/>
        <v>110499.17</v>
      </c>
      <c r="DH30" s="1217">
        <f t="shared" si="7"/>
        <v>127074.04550000001</v>
      </c>
      <c r="DI30" s="1218">
        <v>1</v>
      </c>
      <c r="DJ30" s="1219">
        <f t="shared" si="11"/>
        <v>110500</v>
      </c>
      <c r="DK30" s="1217">
        <f t="shared" si="12"/>
        <v>0.83000000000174623</v>
      </c>
    </row>
    <row r="31" spans="1:115" ht="15.6">
      <c r="A31" s="1228" t="s">
        <v>235</v>
      </c>
      <c r="B31" t="s">
        <v>117</v>
      </c>
      <c r="C31" s="1210">
        <v>14</v>
      </c>
      <c r="D31" s="1226" t="s">
        <v>397</v>
      </c>
      <c r="E31" s="1210" t="s">
        <v>398</v>
      </c>
      <c r="F31" s="1212">
        <v>500000</v>
      </c>
      <c r="G31" s="1222"/>
      <c r="H31" s="45"/>
      <c r="I31" s="45"/>
      <c r="J31" s="45"/>
      <c r="K31" s="247"/>
      <c r="L31" s="247"/>
      <c r="M31" s="247"/>
      <c r="N31" s="45"/>
      <c r="O31" s="247"/>
      <c r="P31" s="247"/>
      <c r="Q31" s="247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247"/>
      <c r="AJ31" s="247"/>
      <c r="AK31" s="247"/>
      <c r="AL31" s="304"/>
      <c r="AM31" s="304"/>
      <c r="AN31" s="304"/>
      <c r="AO31" s="304"/>
      <c r="AP31" s="304"/>
      <c r="AQ31" s="304"/>
      <c r="AR31" s="304"/>
      <c r="AS31" s="304"/>
      <c r="AT31" s="304"/>
      <c r="AU31" s="304"/>
      <c r="AV31" s="304"/>
      <c r="AW31" s="304"/>
      <c r="AX31" s="304"/>
      <c r="AY31" s="304"/>
      <c r="AZ31" s="304"/>
      <c r="BA31" s="304"/>
      <c r="BB31" s="304"/>
      <c r="BC31" s="304"/>
      <c r="BD31" s="304"/>
      <c r="BE31" s="304"/>
      <c r="BF31" s="304"/>
      <c r="BG31" s="304"/>
      <c r="BH31" s="304"/>
      <c r="BI31" s="304"/>
      <c r="BJ31" s="304"/>
      <c r="BK31" s="304"/>
      <c r="BL31" s="304"/>
      <c r="BM31" s="304"/>
      <c r="BN31" s="304"/>
      <c r="BO31" s="1222">
        <v>45994</v>
      </c>
      <c r="BP31" s="304">
        <f>'EGEC - NIS2'!M262</f>
        <v>100000</v>
      </c>
      <c r="BQ31" s="304">
        <f>'Invoices (2)'!$BP31*15%</f>
        <v>15000</v>
      </c>
      <c r="BR31" s="328">
        <f>'Invoices (2)'!$BQ31+'Invoices (2)'!$BP31</f>
        <v>115000</v>
      </c>
      <c r="BS31" s="1240">
        <v>46014</v>
      </c>
      <c r="BT31" s="328">
        <v>225000</v>
      </c>
      <c r="BU31" s="328">
        <f>Currentinvoices[[#This Row],[Invoice '# 17 amount]]*15%</f>
        <v>33750</v>
      </c>
      <c r="BV31" s="328">
        <f>Currentinvoices[[#This Row],[Invoice '# 17 amount]]+Currentinvoices[[#This Row],[Invoice '# 17 vat]]</f>
        <v>258750</v>
      </c>
      <c r="BW31" s="1240">
        <v>46056</v>
      </c>
      <c r="BX31" s="304">
        <v>100000</v>
      </c>
      <c r="BY31" s="304">
        <f>Currentinvoices[[#This Row],[Invoice '# 18 amount]]*15%</f>
        <v>15000</v>
      </c>
      <c r="BZ31" s="328">
        <f>Currentinvoices[[#This Row],[Invoice '# 18 vat]]+Currentinvoices[[#This Row],[Invoice '# 18 amount]]</f>
        <v>115000</v>
      </c>
      <c r="CA31" s="1240">
        <v>46140</v>
      </c>
      <c r="CB31" s="328">
        <v>75000</v>
      </c>
      <c r="CC31" s="304">
        <f>Currentinvoices[[#This Row],[Invoice '# 19 amount]]*15%</f>
        <v>11250</v>
      </c>
      <c r="CD31" s="328">
        <f>Currentinvoices[[#This Row],[Invoice '# 19 vat]]+Currentinvoices[[#This Row],[Invoice '# 19 amount]]</f>
        <v>86250</v>
      </c>
      <c r="CE31" s="328"/>
      <c r="CF31" s="328"/>
      <c r="CG31" s="328"/>
      <c r="CH31" s="328"/>
      <c r="CI31" s="328"/>
      <c r="CJ31" s="328"/>
      <c r="CK31" s="328"/>
      <c r="CL31" s="328"/>
      <c r="CM31" s="328"/>
      <c r="CN31" s="328"/>
      <c r="CO31" s="328"/>
      <c r="CP31" s="328"/>
      <c r="CQ31" s="328"/>
      <c r="CR31" s="328"/>
      <c r="CS31" s="328"/>
      <c r="CT31" s="328"/>
      <c r="CU31" s="328"/>
      <c r="CV31" s="328"/>
      <c r="CW31" s="328"/>
      <c r="CX31" s="328"/>
      <c r="CY31" s="328"/>
      <c r="CZ31" s="328"/>
      <c r="DA31" s="328"/>
      <c r="DB31" s="328"/>
      <c r="DC31" s="1216"/>
      <c r="DD31" s="1217">
        <f t="shared" si="8"/>
        <v>500000</v>
      </c>
      <c r="DE31" s="1217">
        <f t="shared" si="9"/>
        <v>75000</v>
      </c>
      <c r="DF31" s="1217">
        <f t="shared" si="10"/>
        <v>575000</v>
      </c>
      <c r="DG31" s="1217">
        <f t="shared" si="6"/>
        <v>500000</v>
      </c>
      <c r="DH31" s="1217">
        <f t="shared" si="7"/>
        <v>575000</v>
      </c>
      <c r="DI31" s="1218">
        <v>1</v>
      </c>
      <c r="DJ31" s="1219">
        <f t="shared" si="11"/>
        <v>500000</v>
      </c>
      <c r="DK31" s="1217">
        <f t="shared" si="12"/>
        <v>0</v>
      </c>
    </row>
    <row r="32" spans="1:115" ht="15.6">
      <c r="A32" s="1228" t="s">
        <v>235</v>
      </c>
      <c r="B32" t="s">
        <v>117</v>
      </c>
      <c r="C32" s="1210">
        <v>15</v>
      </c>
      <c r="D32" s="1226" t="s">
        <v>400</v>
      </c>
      <c r="E32" s="1210"/>
      <c r="F32" s="1212">
        <v>1798340</v>
      </c>
      <c r="G32" s="1222"/>
      <c r="H32" s="45"/>
      <c r="I32" s="45"/>
      <c r="J32" s="45"/>
      <c r="K32" s="247"/>
      <c r="L32" s="247"/>
      <c r="M32" s="247"/>
      <c r="N32" s="45"/>
      <c r="O32" s="247"/>
      <c r="P32" s="247"/>
      <c r="Q32" s="247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247"/>
      <c r="AJ32" s="247"/>
      <c r="AK32" s="247"/>
      <c r="AL32" s="304"/>
      <c r="AM32" s="304"/>
      <c r="AN32" s="304"/>
      <c r="AO32" s="304"/>
      <c r="AP32" s="304"/>
      <c r="AQ32" s="304"/>
      <c r="AR32" s="304"/>
      <c r="AS32" s="304"/>
      <c r="AT32" s="304"/>
      <c r="AU32" s="304"/>
      <c r="AV32" s="304"/>
      <c r="AW32" s="304"/>
      <c r="AX32" s="304"/>
      <c r="AY32" s="304"/>
      <c r="AZ32" s="304"/>
      <c r="BA32" s="304"/>
      <c r="BB32" s="304"/>
      <c r="BC32" s="1222">
        <v>45907</v>
      </c>
      <c r="BD32" s="304">
        <f>'EGEC - NIS2'!M202</f>
        <v>449585</v>
      </c>
      <c r="BE32" s="45">
        <f>BD32*15%</f>
        <v>67437.75</v>
      </c>
      <c r="BF32" s="45">
        <f>BD32+BE32</f>
        <v>517022.75</v>
      </c>
      <c r="BG32" s="1222">
        <v>45929</v>
      </c>
      <c r="BH32" s="304">
        <f>'EGEC - NIS2'!O202</f>
        <v>449585</v>
      </c>
      <c r="BI32" s="304">
        <f>'Invoices (2)'!$BH32*15%</f>
        <v>67437.75</v>
      </c>
      <c r="BJ32" s="304">
        <f>'Invoices (2)'!$BH32+'Invoices (2)'!$BI32</f>
        <v>517022.75</v>
      </c>
      <c r="BK32" s="304"/>
      <c r="BL32" s="304"/>
      <c r="BM32" s="304"/>
      <c r="BN32" s="304"/>
      <c r="BO32" s="304"/>
      <c r="BP32" s="304"/>
      <c r="BQ32" s="304"/>
      <c r="BR32" s="328"/>
      <c r="BS32" s="1240">
        <v>46014</v>
      </c>
      <c r="BT32" s="328">
        <v>449585</v>
      </c>
      <c r="BU32" s="328">
        <f>Currentinvoices[[#This Row],[Invoice '# 17 amount]]*15%</f>
        <v>67437.75</v>
      </c>
      <c r="BV32" s="328">
        <f>Currentinvoices[[#This Row],[Invoice '# 17 amount]]+Currentinvoices[[#This Row],[Invoice '# 17 vat]]</f>
        <v>517022.75</v>
      </c>
      <c r="BW32" s="1240">
        <v>46056</v>
      </c>
      <c r="BX32" s="304">
        <v>449585</v>
      </c>
      <c r="BY32" s="304">
        <f>Currentinvoices[[#This Row],[Invoice '# 18 amount]]*15%</f>
        <v>67437.75</v>
      </c>
      <c r="BZ32" s="328">
        <f>Currentinvoices[[#This Row],[Invoice '# 18 vat]]+Currentinvoices[[#This Row],[Invoice '# 18 amount]]</f>
        <v>517022.75</v>
      </c>
      <c r="CA32" s="328"/>
      <c r="CB32" s="328"/>
      <c r="CC32" s="328"/>
      <c r="CD32" s="328"/>
      <c r="CE32" s="328"/>
      <c r="CF32" s="328"/>
      <c r="CG32" s="328"/>
      <c r="CH32" s="328"/>
      <c r="CI32" s="328"/>
      <c r="CJ32" s="328"/>
      <c r="CK32" s="328"/>
      <c r="CL32" s="328"/>
      <c r="CM32" s="328"/>
      <c r="CN32" s="328"/>
      <c r="CO32" s="328"/>
      <c r="CP32" s="328"/>
      <c r="CQ32" s="328"/>
      <c r="CR32" s="328"/>
      <c r="CS32" s="328"/>
      <c r="CT32" s="328"/>
      <c r="CU32" s="328"/>
      <c r="CV32" s="328"/>
      <c r="CW32" s="328"/>
      <c r="CX32" s="328"/>
      <c r="CY32" s="328"/>
      <c r="CZ32" s="328"/>
      <c r="DA32" s="328"/>
      <c r="DB32" s="328"/>
      <c r="DC32" s="1216"/>
      <c r="DD32" s="1217">
        <f>'Invoices (2)'!$F32</f>
        <v>1798340</v>
      </c>
      <c r="DE32" s="1217">
        <f t="shared" si="9"/>
        <v>269751</v>
      </c>
      <c r="DF32" s="1217">
        <f t="shared" si="10"/>
        <v>2068091</v>
      </c>
      <c r="DG32" s="1217">
        <f t="shared" si="6"/>
        <v>1798340</v>
      </c>
      <c r="DH32" s="1217">
        <f t="shared" si="7"/>
        <v>2068091</v>
      </c>
      <c r="DI32" s="1218">
        <v>1</v>
      </c>
      <c r="DJ32" s="1219">
        <f t="shared" si="11"/>
        <v>1798340</v>
      </c>
      <c r="DK32" s="1217">
        <f t="shared" si="12"/>
        <v>0</v>
      </c>
    </row>
    <row r="33" spans="1:115" ht="15.6">
      <c r="A33" s="1228" t="s">
        <v>235</v>
      </c>
      <c r="B33" t="s">
        <v>117</v>
      </c>
      <c r="C33" s="1210">
        <v>16</v>
      </c>
      <c r="D33" s="1226" t="s">
        <v>405</v>
      </c>
      <c r="E33" s="1210" t="s">
        <v>558</v>
      </c>
      <c r="F33" s="1212">
        <v>590000</v>
      </c>
      <c r="G33" s="1222"/>
      <c r="H33" s="45"/>
      <c r="I33" s="45"/>
      <c r="J33" s="45"/>
      <c r="K33" s="247"/>
      <c r="L33" s="247"/>
      <c r="M33" s="247"/>
      <c r="N33" s="45"/>
      <c r="O33" s="247"/>
      <c r="P33" s="247"/>
      <c r="Q33" s="247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247"/>
      <c r="AJ33" s="247"/>
      <c r="AK33" s="247"/>
      <c r="AL33" s="304"/>
      <c r="AM33" s="304"/>
      <c r="AN33" s="304"/>
      <c r="AO33" s="304"/>
      <c r="AP33" s="304"/>
      <c r="AQ33" s="304"/>
      <c r="AR33" s="304"/>
      <c r="AS33" s="304"/>
      <c r="AT33" s="304"/>
      <c r="AU33" s="304"/>
      <c r="AV33" s="304"/>
      <c r="AW33" s="304"/>
      <c r="AX33" s="304"/>
      <c r="AY33" s="304"/>
      <c r="AZ33" s="304"/>
      <c r="BA33" s="304"/>
      <c r="BB33" s="304"/>
      <c r="BC33" s="1230"/>
      <c r="BD33" s="304"/>
      <c r="BE33" s="328"/>
      <c r="BF33" s="328"/>
      <c r="BG33" s="1222">
        <v>45929</v>
      </c>
      <c r="BH33" s="304">
        <f>'EGEC - NIS2'!M217</f>
        <v>471999.23</v>
      </c>
      <c r="BI33" s="304">
        <f>'Invoices (2)'!$BH33*15%</f>
        <v>70799.8845</v>
      </c>
      <c r="BJ33" s="304">
        <f>'Invoices (2)'!$BH33+'Invoices (2)'!$BI33</f>
        <v>542799.11450000003</v>
      </c>
      <c r="BK33" s="304"/>
      <c r="BL33" s="304"/>
      <c r="BM33" s="304"/>
      <c r="BN33" s="304"/>
      <c r="BO33" s="1222">
        <v>45994</v>
      </c>
      <c r="BP33" s="304">
        <f>'EGEC - NIS2'!O217</f>
        <v>59000</v>
      </c>
      <c r="BQ33" s="304">
        <f>'Invoices (2)'!$BP33*15%</f>
        <v>8850</v>
      </c>
      <c r="BR33" s="328">
        <f>'Invoices (2)'!$BQ33+'Invoices (2)'!$BP33</f>
        <v>67850</v>
      </c>
      <c r="BS33" s="328"/>
      <c r="BT33" s="328"/>
      <c r="BU33" s="328"/>
      <c r="BV33" s="328"/>
      <c r="BW33" s="1240">
        <v>46056</v>
      </c>
      <c r="BX33" s="304">
        <v>59000</v>
      </c>
      <c r="BY33" s="304">
        <f>Currentinvoices[[#This Row],[Invoice '# 18 amount]]*15%</f>
        <v>8850</v>
      </c>
      <c r="BZ33" s="328">
        <f>Currentinvoices[[#This Row],[Invoice '# 18 vat]]+Currentinvoices[[#This Row],[Invoice '# 18 amount]]</f>
        <v>67850</v>
      </c>
      <c r="CA33" s="328"/>
      <c r="CB33" s="328"/>
      <c r="CC33" s="328"/>
      <c r="CD33" s="328"/>
      <c r="CE33" s="328"/>
      <c r="CF33" s="328"/>
      <c r="CG33" s="328"/>
      <c r="CH33" s="328"/>
      <c r="CI33" s="328"/>
      <c r="CJ33" s="328"/>
      <c r="CK33" s="328"/>
      <c r="CL33" s="328"/>
      <c r="CM33" s="328"/>
      <c r="CN33" s="328"/>
      <c r="CO33" s="328"/>
      <c r="CP33" s="328"/>
      <c r="CQ33" s="328"/>
      <c r="CR33" s="328"/>
      <c r="CS33" s="328"/>
      <c r="CT33" s="328"/>
      <c r="CU33" s="328"/>
      <c r="CV33" s="328"/>
      <c r="CW33" s="328"/>
      <c r="CX33" s="328"/>
      <c r="CY33" s="328"/>
      <c r="CZ33" s="328"/>
      <c r="DA33" s="328"/>
      <c r="DB33" s="328"/>
      <c r="DC33" s="1216"/>
      <c r="DD33" s="1217">
        <f>'Invoices (2)'!$F33</f>
        <v>590000</v>
      </c>
      <c r="DE33" s="1217">
        <f t="shared" si="9"/>
        <v>88500</v>
      </c>
      <c r="DF33" s="1217">
        <f t="shared" si="10"/>
        <v>678500</v>
      </c>
      <c r="DG33" s="1217">
        <f t="shared" si="6"/>
        <v>589999.23</v>
      </c>
      <c r="DH33" s="1217">
        <f t="shared" si="7"/>
        <v>678499.11450000003</v>
      </c>
      <c r="DI33" s="1218">
        <v>0.95</v>
      </c>
      <c r="DJ33" s="1219">
        <f>DI33*DD33</f>
        <v>560500</v>
      </c>
      <c r="DK33" s="1217">
        <f>DJ33-DG33</f>
        <v>-29499.229999999981</v>
      </c>
    </row>
    <row r="34" spans="1:115" ht="15.6">
      <c r="A34" s="1228" t="s">
        <v>235</v>
      </c>
      <c r="B34" t="s">
        <v>117</v>
      </c>
      <c r="C34" s="1210">
        <v>17</v>
      </c>
      <c r="D34" s="1226" t="s">
        <v>649</v>
      </c>
      <c r="E34" s="1210"/>
      <c r="F34" s="1212">
        <v>170000</v>
      </c>
      <c r="G34" s="1222"/>
      <c r="H34" s="45"/>
      <c r="I34" s="45"/>
      <c r="J34" s="45"/>
      <c r="K34" s="247"/>
      <c r="L34" s="247"/>
      <c r="M34" s="247"/>
      <c r="N34" s="45"/>
      <c r="O34" s="247"/>
      <c r="P34" s="247"/>
      <c r="Q34" s="247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247"/>
      <c r="AJ34" s="247"/>
      <c r="AK34" s="247"/>
      <c r="AL34" s="304"/>
      <c r="AM34" s="304"/>
      <c r="AN34" s="304"/>
      <c r="AO34" s="304"/>
      <c r="AP34" s="304"/>
      <c r="AQ34" s="304"/>
      <c r="AR34" s="304"/>
      <c r="AS34" s="304"/>
      <c r="AT34" s="304"/>
      <c r="AU34" s="304"/>
      <c r="AV34" s="304"/>
      <c r="AW34" s="304"/>
      <c r="AX34" s="304"/>
      <c r="AY34" s="304"/>
      <c r="AZ34" s="304"/>
      <c r="BA34" s="304"/>
      <c r="BB34" s="304"/>
      <c r="BC34" s="1230"/>
      <c r="BD34" s="304"/>
      <c r="BE34" s="328"/>
      <c r="BF34" s="328"/>
      <c r="BG34" s="1230"/>
      <c r="BH34" s="304"/>
      <c r="BI34" s="304"/>
      <c r="BJ34" s="304"/>
      <c r="BK34" s="304"/>
      <c r="BL34" s="304"/>
      <c r="BM34" s="304"/>
      <c r="BN34" s="304"/>
      <c r="BO34" s="304"/>
      <c r="BP34" s="304"/>
      <c r="BQ34" s="304"/>
      <c r="BR34" s="328"/>
      <c r="BS34" s="328"/>
      <c r="BT34" s="328"/>
      <c r="BU34" s="328"/>
      <c r="BV34" s="328"/>
      <c r="BW34" s="304"/>
      <c r="BX34" s="304"/>
      <c r="BY34" s="304"/>
      <c r="BZ34" s="328"/>
      <c r="CA34" s="1240">
        <v>46140</v>
      </c>
      <c r="CB34" s="328">
        <v>119000</v>
      </c>
      <c r="CC34" s="304">
        <f>Currentinvoices[[#This Row],[Invoice '# 19 amount]]*15%</f>
        <v>17850</v>
      </c>
      <c r="CD34" s="328">
        <f>Currentinvoices[[#This Row],[Invoice '# 19 vat]]+Currentinvoices[[#This Row],[Invoice '# 19 amount]]</f>
        <v>136850</v>
      </c>
      <c r="CE34" s="1240">
        <v>46190</v>
      </c>
      <c r="CF34" s="304">
        <f>'EGEC - NIS2'!O291</f>
        <v>51000.21</v>
      </c>
      <c r="CG34" s="328">
        <f>Currentinvoices[[#This Row],[Invoice '# 20 amount]]*15%</f>
        <v>7650.0314999999991</v>
      </c>
      <c r="CH34" s="328">
        <f>Currentinvoices[[#This Row],[Invoice '# 20 amount]]+Currentinvoices[[#This Row],[Invoice '# 20 vat]]</f>
        <v>58650.241499999996</v>
      </c>
      <c r="CI34" s="328"/>
      <c r="CJ34" s="328"/>
      <c r="CK34" s="328"/>
      <c r="CL34" s="328"/>
      <c r="CM34" s="328"/>
      <c r="CN34" s="328"/>
      <c r="CO34" s="328"/>
      <c r="CP34" s="328"/>
      <c r="CQ34" s="328"/>
      <c r="CR34" s="328"/>
      <c r="CS34" s="328"/>
      <c r="CT34" s="328"/>
      <c r="CU34" s="328"/>
      <c r="CV34" s="328"/>
      <c r="CW34" s="328"/>
      <c r="CX34" s="328"/>
      <c r="CY34" s="328"/>
      <c r="CZ34" s="328"/>
      <c r="DA34" s="328"/>
      <c r="DB34" s="328"/>
      <c r="DC34" s="1216"/>
      <c r="DD34" s="1217">
        <f>Currentinvoices[[#This Row],[Task Value]]</f>
        <v>170000</v>
      </c>
      <c r="DE34" s="1217">
        <f t="shared" ref="DE34" si="13">DD34*15%</f>
        <v>25500</v>
      </c>
      <c r="DF34" s="1217">
        <f t="shared" ref="DF34" si="14">DD34+DE34</f>
        <v>195500</v>
      </c>
      <c r="DG34" s="1217">
        <f t="shared" si="6"/>
        <v>170000.21</v>
      </c>
      <c r="DH34" s="1217">
        <f t="shared" si="7"/>
        <v>195500.2415</v>
      </c>
      <c r="DI34" s="1218">
        <v>1</v>
      </c>
      <c r="DJ34" s="1219">
        <f>DI34*DD34</f>
        <v>170000</v>
      </c>
      <c r="DK34" s="1217">
        <f>DJ34-DG34</f>
        <v>-0.20999999999185093</v>
      </c>
    </row>
    <row r="35" spans="1:115" ht="15.6">
      <c r="A35" s="1210" t="s">
        <v>122</v>
      </c>
      <c r="B35" t="s">
        <v>307</v>
      </c>
      <c r="C35" s="1210">
        <v>1</v>
      </c>
      <c r="D35" s="1226" t="s">
        <v>123</v>
      </c>
      <c r="E35" s="1210"/>
      <c r="F35" s="1212">
        <v>27837620</v>
      </c>
      <c r="G35" s="1222">
        <v>45480</v>
      </c>
      <c r="H35" s="45">
        <f>ENGICON!F45</f>
        <v>2361050.1</v>
      </c>
      <c r="I35" s="45">
        <f>H35*15%</f>
        <v>354157.51500000001</v>
      </c>
      <c r="J35" s="45">
        <f>H35+I35</f>
        <v>2715207.6150000002</v>
      </c>
      <c r="K35" s="1222">
        <v>45511</v>
      </c>
      <c r="L35" s="45">
        <f>ENGICON!H45</f>
        <v>3157746.6510000001</v>
      </c>
      <c r="M35" s="45">
        <f>L35*15%</f>
        <v>473661.99764999998</v>
      </c>
      <c r="N35" s="45">
        <f>L35+M35</f>
        <v>3631408.6486499999</v>
      </c>
      <c r="O35" s="1222">
        <v>45535</v>
      </c>
      <c r="P35" s="45">
        <f>ENGICON!J45</f>
        <v>3983985.909</v>
      </c>
      <c r="Q35" s="45">
        <f>P35*15%</f>
        <v>597597.88634999993</v>
      </c>
      <c r="R35" s="45">
        <f>P35+Q35</f>
        <v>4581583.7953500003</v>
      </c>
      <c r="S35" s="1222">
        <v>45567</v>
      </c>
      <c r="T35" s="45">
        <f>ENGICON!L45</f>
        <v>3449998.2960000001</v>
      </c>
      <c r="U35" s="45">
        <f>T35*15%</f>
        <v>517499.74439999997</v>
      </c>
      <c r="V35" s="45">
        <f>T35+U35</f>
        <v>3967498.0404000003</v>
      </c>
      <c r="W35" s="1222">
        <v>45636</v>
      </c>
      <c r="X35" s="45">
        <f>ENGICON!N45</f>
        <v>1820099.709</v>
      </c>
      <c r="Y35" s="45">
        <f>X35*15%</f>
        <v>273014.95634999999</v>
      </c>
      <c r="Z35" s="45">
        <f>X35+Y35</f>
        <v>2093114.6653499999</v>
      </c>
      <c r="AA35" s="1222">
        <v>45685</v>
      </c>
      <c r="AB35" s="45">
        <f>ENGICON!P45</f>
        <v>999999.99900000007</v>
      </c>
      <c r="AC35" s="45">
        <f>AB35*15%</f>
        <v>149999.99984999999</v>
      </c>
      <c r="AD35" s="45">
        <f>AB35+AC35</f>
        <v>1149999.9988500001</v>
      </c>
      <c r="AE35" s="1222">
        <v>45720</v>
      </c>
      <c r="AF35" s="45">
        <f>ENGICON!R45</f>
        <v>2695839.6150000002</v>
      </c>
      <c r="AG35" s="45">
        <f>AF35*15%</f>
        <v>404375.94225000002</v>
      </c>
      <c r="AH35" s="45">
        <f>AF35+AG35</f>
        <v>3100215.5572500001</v>
      </c>
      <c r="AI35" s="247">
        <v>45767</v>
      </c>
      <c r="AJ35" s="45">
        <f>ENGICON!T45</f>
        <v>2223402.8760000002</v>
      </c>
      <c r="AK35" s="45">
        <f>AJ35*15%</f>
        <v>333510.4314</v>
      </c>
      <c r="AL35" s="45">
        <f>AJ35+AK35</f>
        <v>2556913.3074000003</v>
      </c>
      <c r="AM35" s="247">
        <v>45789</v>
      </c>
      <c r="AN35" s="304">
        <v>1742432.4</v>
      </c>
      <c r="AO35" s="45">
        <f>AN35*15%</f>
        <v>261364.86</v>
      </c>
      <c r="AP35" s="45">
        <f>AN35+AO35</f>
        <v>2003797.2599999998</v>
      </c>
      <c r="AQ35" s="247">
        <v>45809</v>
      </c>
      <c r="AR35" s="304">
        <v>2619302.44</v>
      </c>
      <c r="AS35" s="45">
        <f>AR35*15%</f>
        <v>392895.36599999998</v>
      </c>
      <c r="AT35" s="45">
        <f>AR35+AS35</f>
        <v>3012197.8059999999</v>
      </c>
      <c r="AU35" s="304"/>
      <c r="AV35" s="304"/>
      <c r="AW35" s="304"/>
      <c r="AX35" s="304"/>
      <c r="AY35" s="304"/>
      <c r="AZ35" s="304"/>
      <c r="BA35" s="304"/>
      <c r="BB35" s="304"/>
      <c r="BC35" s="304"/>
      <c r="BD35" s="304"/>
      <c r="BE35" s="304"/>
      <c r="BF35" s="304"/>
      <c r="BG35" s="304"/>
      <c r="BH35" s="304"/>
      <c r="BI35" s="304"/>
      <c r="BJ35" s="304"/>
      <c r="BK35" s="304"/>
      <c r="BL35" s="304"/>
      <c r="BM35" s="304"/>
      <c r="BN35" s="304"/>
      <c r="BO35" s="304"/>
      <c r="BP35" s="304"/>
      <c r="BQ35" s="304"/>
      <c r="BR35" s="247"/>
      <c r="BS35" s="328"/>
      <c r="BT35" s="247"/>
      <c r="BU35" s="45"/>
      <c r="BV35" s="247"/>
      <c r="BW35" s="304"/>
      <c r="BX35" s="304"/>
      <c r="BY35" s="304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1217"/>
      <c r="DB35" s="1217"/>
      <c r="DC35" s="1216"/>
      <c r="DD35" s="1217">
        <f>F35</f>
        <v>27837620</v>
      </c>
      <c r="DE35" s="1217">
        <f>DD35*15%</f>
        <v>4175643</v>
      </c>
      <c r="DF35" s="1217">
        <f>DD35+DE35</f>
        <v>32013263</v>
      </c>
      <c r="DG35" s="1217">
        <f t="shared" si="6"/>
        <v>25053857.995000001</v>
      </c>
      <c r="DH35" s="1217">
        <f t="shared" si="7"/>
        <v>28811936.694250003</v>
      </c>
      <c r="DI35" s="1218">
        <v>1</v>
      </c>
      <c r="DJ35" s="1219">
        <f>DI35*DD35</f>
        <v>27837620</v>
      </c>
      <c r="DK35" s="1217">
        <f>DJ35-DG35</f>
        <v>2783762.004999999</v>
      </c>
    </row>
    <row r="36" spans="1:115" ht="15.6">
      <c r="A36" s="1210" t="s">
        <v>122</v>
      </c>
      <c r="B36" t="s">
        <v>307</v>
      </c>
      <c r="C36" s="1210"/>
      <c r="D36" s="1225"/>
      <c r="E36" s="1210"/>
      <c r="F36" s="1212"/>
      <c r="G36" s="1222"/>
      <c r="H36" s="45"/>
      <c r="I36" s="45"/>
      <c r="J36" s="45"/>
      <c r="K36" s="1222"/>
      <c r="L36" s="45"/>
      <c r="M36" s="45"/>
      <c r="N36" s="45"/>
      <c r="O36" s="1222"/>
      <c r="P36" s="45"/>
      <c r="Q36" s="45"/>
      <c r="R36" s="45"/>
      <c r="S36" s="1222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247"/>
      <c r="AJ36" s="247"/>
      <c r="AK36" s="247"/>
      <c r="AL36" s="304"/>
      <c r="AM36" s="304"/>
      <c r="AN36" s="304"/>
      <c r="AO36" s="304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28"/>
      <c r="BS36" s="328"/>
      <c r="BT36" s="328"/>
      <c r="BU36" s="328"/>
      <c r="BV36" s="328"/>
      <c r="BW36" s="304"/>
      <c r="BX36" s="304"/>
      <c r="BY36" s="304"/>
      <c r="BZ36" s="328"/>
      <c r="CA36" s="328"/>
      <c r="CB36" s="328"/>
      <c r="CC36" s="328"/>
      <c r="CD36" s="328"/>
      <c r="CE36" s="328"/>
      <c r="CF36" s="328"/>
      <c r="CG36" s="328"/>
      <c r="CH36" s="328"/>
      <c r="CI36" s="328"/>
      <c r="CJ36" s="328"/>
      <c r="CK36" s="328"/>
      <c r="CL36" s="328"/>
      <c r="CM36" s="328"/>
      <c r="CN36" s="328"/>
      <c r="CO36" s="328"/>
      <c r="CP36" s="328"/>
      <c r="CQ36" s="328"/>
      <c r="CR36" s="328"/>
      <c r="CS36" s="328"/>
      <c r="CT36" s="328"/>
      <c r="CU36" s="328"/>
      <c r="CV36" s="328"/>
      <c r="CW36" s="328"/>
      <c r="CX36" s="328"/>
      <c r="CY36" s="328"/>
      <c r="CZ36" s="328"/>
      <c r="DA36" s="328"/>
      <c r="DB36" s="328"/>
      <c r="DC36" s="1216"/>
      <c r="DD36" s="1217"/>
      <c r="DE36" s="1217"/>
      <c r="DF36" s="1217"/>
      <c r="DG36" s="1217">
        <f t="shared" si="6"/>
        <v>0</v>
      </c>
      <c r="DH36" s="1217">
        <f t="shared" si="7"/>
        <v>0</v>
      </c>
      <c r="DI36" s="1218"/>
      <c r="DJ36" s="1219"/>
      <c r="DK36" s="1217"/>
    </row>
    <row r="37" spans="1:115" ht="15.6">
      <c r="A37" s="1210" t="s">
        <v>234</v>
      </c>
      <c r="B37" t="s">
        <v>308</v>
      </c>
      <c r="C37" s="1210">
        <v>1</v>
      </c>
      <c r="D37" s="1226" t="s">
        <v>304</v>
      </c>
      <c r="E37" s="1210" t="s">
        <v>557</v>
      </c>
      <c r="F37" s="1212">
        <v>4421850</v>
      </c>
      <c r="G37" s="1222">
        <v>45354</v>
      </c>
      <c r="H37" s="45">
        <f>'EGEC - WAS'!M17</f>
        <v>1726555</v>
      </c>
      <c r="I37" s="45">
        <f>H37*15%</f>
        <v>258983.25</v>
      </c>
      <c r="J37" s="45">
        <f>H37+I37</f>
        <v>1985538.25</v>
      </c>
      <c r="K37" s="1222"/>
      <c r="L37" s="45"/>
      <c r="M37" s="247"/>
      <c r="N37" s="45"/>
      <c r="O37" s="247">
        <v>45777</v>
      </c>
      <c r="P37" s="45">
        <f>'EGEC - WAS'!Q17</f>
        <v>1641704.6800000002</v>
      </c>
      <c r="Q37" s="45">
        <f>P37*15%</f>
        <v>246255.70200000002</v>
      </c>
      <c r="R37" s="45">
        <f>P37+Q37</f>
        <v>1887960.3820000002</v>
      </c>
      <c r="S37" s="247">
        <v>45807</v>
      </c>
      <c r="T37" s="45">
        <f>'EGEC - WAS'!S17</f>
        <v>611379</v>
      </c>
      <c r="U37" s="45">
        <f>T37*15%</f>
        <v>91706.849999999991</v>
      </c>
      <c r="V37" s="45">
        <f>T37+U37</f>
        <v>703085.85</v>
      </c>
      <c r="W37" s="247">
        <v>45865</v>
      </c>
      <c r="X37" s="45">
        <f>'EGEC - WAS'!U17</f>
        <v>221091</v>
      </c>
      <c r="Y37" s="45">
        <f>X37*15%</f>
        <v>33163.65</v>
      </c>
      <c r="Z37" s="45">
        <f>X37+Y37</f>
        <v>254254.65</v>
      </c>
      <c r="AA37" s="247">
        <v>45901</v>
      </c>
      <c r="AB37" s="45">
        <f>'EGEC - WAS'!W17</f>
        <v>221120.33000000002</v>
      </c>
      <c r="AC37" s="45">
        <f>'Invoices (2)'!$AB37*15%</f>
        <v>33168.049500000001</v>
      </c>
      <c r="AD37" s="45">
        <f>'Invoices (2)'!$AB37+'Invoices (2)'!$AC37</f>
        <v>254288.37950000001</v>
      </c>
      <c r="AE37" s="247"/>
      <c r="AF37" s="45"/>
      <c r="AG37" s="45"/>
      <c r="AH37" s="45"/>
      <c r="AI37" s="247"/>
      <c r="AJ37" s="247"/>
      <c r="AK37" s="247"/>
      <c r="AL37" s="304"/>
      <c r="AM37" s="304"/>
      <c r="AN37" s="304"/>
      <c r="AO37" s="304"/>
      <c r="AP37" s="304"/>
      <c r="AQ37" s="304"/>
      <c r="AR37" s="304"/>
      <c r="AS37" s="304"/>
      <c r="AT37" s="304"/>
      <c r="AU37" s="304"/>
      <c r="AV37" s="304"/>
      <c r="AW37" s="304"/>
      <c r="AX37" s="304"/>
      <c r="AY37" s="304"/>
      <c r="AZ37" s="304"/>
      <c r="BA37" s="304"/>
      <c r="BB37" s="304"/>
      <c r="BC37" s="304"/>
      <c r="BD37" s="304"/>
      <c r="BE37" s="304"/>
      <c r="BF37" s="304"/>
      <c r="BG37" s="304"/>
      <c r="BH37" s="304"/>
      <c r="BI37" s="304"/>
      <c r="BJ37" s="304"/>
      <c r="BK37" s="304"/>
      <c r="BL37" s="304"/>
      <c r="BM37" s="304"/>
      <c r="BN37" s="304"/>
      <c r="BO37" s="304"/>
      <c r="BP37" s="304"/>
      <c r="BQ37" s="304"/>
      <c r="BR37" s="328"/>
      <c r="BS37" s="328"/>
      <c r="BT37" s="328"/>
      <c r="BU37" s="328"/>
      <c r="BV37" s="328"/>
      <c r="BW37" s="304"/>
      <c r="BX37" s="304"/>
      <c r="BY37" s="304"/>
      <c r="BZ37" s="328"/>
      <c r="CA37" s="247"/>
      <c r="CB37" s="247"/>
      <c r="CC37" s="247"/>
      <c r="CD37" s="247"/>
      <c r="CE37" s="247"/>
      <c r="CF37" s="247"/>
      <c r="CG37" s="247"/>
      <c r="CH37" s="247"/>
      <c r="CI37" s="328"/>
      <c r="CJ37" s="328"/>
      <c r="CK37" s="328"/>
      <c r="CL37" s="328"/>
      <c r="CM37" s="328"/>
      <c r="CN37" s="328"/>
      <c r="CO37" s="328"/>
      <c r="CP37" s="328"/>
      <c r="CQ37" s="328"/>
      <c r="CR37" s="328"/>
      <c r="CS37" s="328"/>
      <c r="CT37" s="328"/>
      <c r="CU37" s="328"/>
      <c r="CV37" s="328"/>
      <c r="CW37" s="328"/>
      <c r="CX37" s="328"/>
      <c r="CY37" s="328"/>
      <c r="CZ37" s="328"/>
      <c r="DA37" s="328"/>
      <c r="DB37" s="328"/>
      <c r="DC37" s="1216"/>
      <c r="DD37" s="1217">
        <f>F37</f>
        <v>4421850</v>
      </c>
      <c r="DE37" s="1217">
        <f>DD37*15%</f>
        <v>663277.5</v>
      </c>
      <c r="DF37" s="1217">
        <f>DD37+DE37</f>
        <v>5085127.5</v>
      </c>
      <c r="DG37" s="1217">
        <f t="shared" si="6"/>
        <v>4421850.01</v>
      </c>
      <c r="DH37" s="1217">
        <f t="shared" si="7"/>
        <v>5085127.5115</v>
      </c>
      <c r="DI37" s="1218">
        <v>1</v>
      </c>
      <c r="DJ37" s="1219">
        <f>DI37*DD37</f>
        <v>4421850</v>
      </c>
      <c r="DK37" s="1217">
        <f>DJ37-DG37</f>
        <v>-9.9999997764825821E-3</v>
      </c>
    </row>
    <row r="38" spans="1:115" ht="15.6">
      <c r="A38" s="1210" t="s">
        <v>234</v>
      </c>
      <c r="B38" t="s">
        <v>308</v>
      </c>
      <c r="C38" s="1210">
        <v>2</v>
      </c>
      <c r="D38" s="1226" t="s">
        <v>309</v>
      </c>
      <c r="E38" s="1210" t="s">
        <v>310</v>
      </c>
      <c r="F38" s="1212">
        <v>650000</v>
      </c>
      <c r="G38" s="1222"/>
      <c r="H38" s="45"/>
      <c r="I38" s="45"/>
      <c r="J38" s="45"/>
      <c r="K38" s="1222">
        <v>45395</v>
      </c>
      <c r="L38" s="45">
        <f>'EGEC - WAS'!O36</f>
        <v>195000</v>
      </c>
      <c r="M38" s="45">
        <f>L38*15%</f>
        <v>29250</v>
      </c>
      <c r="N38" s="45">
        <f>L38+M38</f>
        <v>224250</v>
      </c>
      <c r="O38" s="247">
        <v>45777</v>
      </c>
      <c r="P38" s="45">
        <f>'EGEC - WAS'!Q36</f>
        <v>227500</v>
      </c>
      <c r="Q38" s="45">
        <f>P38*15%</f>
        <v>34125</v>
      </c>
      <c r="R38" s="45">
        <f>P38+Q38</f>
        <v>261625</v>
      </c>
      <c r="S38" s="247">
        <v>45807</v>
      </c>
      <c r="T38" s="45">
        <f>'EGEC - WAS'!S36</f>
        <v>227500</v>
      </c>
      <c r="U38" s="45">
        <f>T38*15%</f>
        <v>34125</v>
      </c>
      <c r="V38" s="45">
        <f>T38+U38</f>
        <v>261625</v>
      </c>
      <c r="W38" s="1222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247"/>
      <c r="AJ38" s="247"/>
      <c r="AK38" s="247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AZ38" s="304"/>
      <c r="BA38" s="304"/>
      <c r="BB38" s="304"/>
      <c r="BC38" s="304"/>
      <c r="BD38" s="304"/>
      <c r="BE38" s="304"/>
      <c r="BF38" s="304"/>
      <c r="BG38" s="304"/>
      <c r="BH38" s="304"/>
      <c r="BI38" s="304"/>
      <c r="BJ38" s="304"/>
      <c r="BK38" s="304"/>
      <c r="BL38" s="304"/>
      <c r="BM38" s="304"/>
      <c r="BN38" s="304"/>
      <c r="BO38" s="304"/>
      <c r="BP38" s="304"/>
      <c r="BQ38" s="304"/>
      <c r="BR38" s="328"/>
      <c r="BS38" s="328"/>
      <c r="BT38" s="328"/>
      <c r="BU38" s="328"/>
      <c r="BV38" s="328"/>
      <c r="BW38" s="304"/>
      <c r="BX38" s="304"/>
      <c r="BY38" s="304"/>
      <c r="BZ38" s="328"/>
      <c r="CA38" s="247"/>
      <c r="CB38" s="247"/>
      <c r="CC38" s="247"/>
      <c r="CD38" s="247"/>
      <c r="CE38" s="247"/>
      <c r="CF38" s="247"/>
      <c r="CG38" s="247"/>
      <c r="CH38" s="247"/>
      <c r="CI38" s="328"/>
      <c r="CJ38" s="328"/>
      <c r="CK38" s="328"/>
      <c r="CL38" s="328"/>
      <c r="CM38" s="328"/>
      <c r="CN38" s="328"/>
      <c r="CO38" s="328"/>
      <c r="CP38" s="328"/>
      <c r="CQ38" s="328"/>
      <c r="CR38" s="328"/>
      <c r="CS38" s="328"/>
      <c r="CT38" s="328"/>
      <c r="CU38" s="328"/>
      <c r="CV38" s="328"/>
      <c r="CW38" s="328"/>
      <c r="CX38" s="328"/>
      <c r="CY38" s="328"/>
      <c r="CZ38" s="328"/>
      <c r="DA38" s="328"/>
      <c r="DB38" s="328"/>
      <c r="DC38" s="1216"/>
      <c r="DD38" s="1217">
        <f>F38</f>
        <v>650000</v>
      </c>
      <c r="DE38" s="1217">
        <f>DD38*15%</f>
        <v>97500</v>
      </c>
      <c r="DF38" s="1217">
        <f>DD38+DE38</f>
        <v>747500</v>
      </c>
      <c r="DG38" s="1217">
        <f t="shared" si="6"/>
        <v>650000</v>
      </c>
      <c r="DH38" s="1217">
        <f t="shared" si="7"/>
        <v>747500</v>
      </c>
      <c r="DI38" s="1218">
        <v>1</v>
      </c>
      <c r="DJ38" s="1219">
        <f>DI38*DD38</f>
        <v>650000</v>
      </c>
      <c r="DK38" s="1217">
        <f>DJ38-DG38</f>
        <v>0</v>
      </c>
    </row>
    <row r="39" spans="1:115" ht="15.6">
      <c r="A39" s="1210" t="s">
        <v>234</v>
      </c>
      <c r="B39" t="s">
        <v>308</v>
      </c>
      <c r="C39" s="1210">
        <v>4</v>
      </c>
      <c r="D39" s="1226" t="s">
        <v>359</v>
      </c>
      <c r="E39" s="1210" t="s">
        <v>360</v>
      </c>
      <c r="F39" s="1212">
        <v>1150000</v>
      </c>
      <c r="G39" s="1222"/>
      <c r="H39" s="45"/>
      <c r="I39" s="45"/>
      <c r="J39" s="45"/>
      <c r="K39" s="247"/>
      <c r="L39" s="247"/>
      <c r="M39" s="247"/>
      <c r="N39" s="45"/>
      <c r="O39" s="247"/>
      <c r="P39" s="247"/>
      <c r="Q39" s="247"/>
      <c r="R39" s="45"/>
      <c r="S39" s="45"/>
      <c r="T39" s="45"/>
      <c r="U39" s="45"/>
      <c r="V39" s="45"/>
      <c r="W39" s="247">
        <v>45865</v>
      </c>
      <c r="X39" s="45">
        <v>115000</v>
      </c>
      <c r="Y39" s="45">
        <f>X39*15%</f>
        <v>17250</v>
      </c>
      <c r="Z39" s="45">
        <f>X39+Y39</f>
        <v>132250</v>
      </c>
      <c r="AA39" s="247"/>
      <c r="AB39" s="45"/>
      <c r="AC39" s="45"/>
      <c r="AD39" s="45"/>
      <c r="AE39" s="247">
        <v>45917</v>
      </c>
      <c r="AF39" s="45">
        <v>460000</v>
      </c>
      <c r="AG39" s="45">
        <f>'Invoices (2)'!$AF39*15%</f>
        <v>69000</v>
      </c>
      <c r="AH39" s="45">
        <f>'Invoices (2)'!$AF39+'Invoices (2)'!$AG39</f>
        <v>529000</v>
      </c>
      <c r="AI39" s="247">
        <v>45956</v>
      </c>
      <c r="AJ39" s="45">
        <v>575000</v>
      </c>
      <c r="AK39" s="45">
        <f>'Invoices (2)'!$AJ39*15%</f>
        <v>86250</v>
      </c>
      <c r="AL39" s="304">
        <f>'Invoices (2)'!$AJ39+'Invoices (2)'!$AK39</f>
        <v>661250</v>
      </c>
      <c r="AM39" s="304"/>
      <c r="AN39" s="304"/>
      <c r="AO39" s="304"/>
      <c r="AP39" s="304"/>
      <c r="AQ39" s="304"/>
      <c r="AR39" s="304"/>
      <c r="AS39" s="304"/>
      <c r="AT39" s="304"/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  <c r="BE39" s="304"/>
      <c r="BF39" s="304"/>
      <c r="BG39" s="304"/>
      <c r="BH39" s="304"/>
      <c r="BI39" s="304"/>
      <c r="BJ39" s="304"/>
      <c r="BK39" s="304"/>
      <c r="BL39" s="304"/>
      <c r="BM39" s="304"/>
      <c r="BN39" s="304"/>
      <c r="BO39" s="304"/>
      <c r="BP39" s="304"/>
      <c r="BQ39" s="304"/>
      <c r="BR39" s="328"/>
      <c r="BS39" s="328"/>
      <c r="BT39" s="328"/>
      <c r="BU39" s="328"/>
      <c r="BV39" s="328"/>
      <c r="BW39" s="304"/>
      <c r="BX39" s="304"/>
      <c r="BY39" s="304"/>
      <c r="BZ39" s="328"/>
      <c r="CA39" s="247"/>
      <c r="CB39" s="247"/>
      <c r="CC39" s="247"/>
      <c r="CD39" s="247"/>
      <c r="CE39" s="247"/>
      <c r="CF39" s="247"/>
      <c r="CG39" s="247"/>
      <c r="CH39" s="247"/>
      <c r="CI39" s="328"/>
      <c r="CJ39" s="328"/>
      <c r="CK39" s="328"/>
      <c r="CL39" s="328"/>
      <c r="CM39" s="328"/>
      <c r="CN39" s="328"/>
      <c r="CO39" s="328"/>
      <c r="CP39" s="328"/>
      <c r="CQ39" s="328"/>
      <c r="CR39" s="328"/>
      <c r="CS39" s="328"/>
      <c r="CT39" s="328"/>
      <c r="CU39" s="328"/>
      <c r="CV39" s="328"/>
      <c r="CW39" s="328"/>
      <c r="CX39" s="328"/>
      <c r="CY39" s="328"/>
      <c r="CZ39" s="328"/>
      <c r="DA39" s="328"/>
      <c r="DB39" s="328"/>
      <c r="DC39" s="1216"/>
      <c r="DD39" s="1217">
        <f>F39</f>
        <v>1150000</v>
      </c>
      <c r="DE39" s="1217">
        <f>DD39*15%</f>
        <v>172500</v>
      </c>
      <c r="DF39" s="1217">
        <f>DD39+DE39</f>
        <v>1322500</v>
      </c>
      <c r="DG39" s="1217">
        <f t="shared" si="6"/>
        <v>1150000</v>
      </c>
      <c r="DH39" s="1217">
        <f t="shared" si="7"/>
        <v>1322500</v>
      </c>
      <c r="DI39" s="1218">
        <v>1</v>
      </c>
      <c r="DJ39" s="1219">
        <f>DI39*DD39</f>
        <v>1150000</v>
      </c>
      <c r="DK39" s="1217">
        <f>DJ39-DG39</f>
        <v>0</v>
      </c>
    </row>
    <row r="40" spans="1:115" ht="15.6">
      <c r="A40" s="1210" t="s">
        <v>234</v>
      </c>
      <c r="B40" t="s">
        <v>308</v>
      </c>
      <c r="C40" s="1210">
        <v>4</v>
      </c>
      <c r="D40" s="1226" t="s">
        <v>532</v>
      </c>
      <c r="E40" s="1210"/>
      <c r="F40" s="1212">
        <v>853820</v>
      </c>
      <c r="G40" s="1222"/>
      <c r="H40" s="45"/>
      <c r="I40" s="45"/>
      <c r="J40" s="45"/>
      <c r="K40" s="247"/>
      <c r="L40" s="247"/>
      <c r="M40" s="247"/>
      <c r="N40" s="45"/>
      <c r="O40" s="247"/>
      <c r="P40" s="247"/>
      <c r="Q40" s="247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247"/>
      <c r="AJ40" s="247"/>
      <c r="AK40" s="247"/>
      <c r="AL40" s="304"/>
      <c r="AM40" s="247">
        <v>45994</v>
      </c>
      <c r="AN40" s="304">
        <f>'EGEC - WAS'!M65</f>
        <v>284606.76</v>
      </c>
      <c r="AO40" s="304">
        <f>'Invoices (2)'!$AN40*15%</f>
        <v>42691.014000000003</v>
      </c>
      <c r="AP40" s="304">
        <f>'Invoices (2)'!$AN40+'Invoices (2)'!$AO40</f>
        <v>327297.77400000003</v>
      </c>
      <c r="AQ40" s="247">
        <v>46056</v>
      </c>
      <c r="AR40" s="304">
        <f>'EGEC - WAS'!O65</f>
        <v>355759.13</v>
      </c>
      <c r="AS40" s="304">
        <f>Currentinvoices[[#This Row],[Invoice '# 10 amount]]*15%</f>
        <v>53363.869500000001</v>
      </c>
      <c r="AT40" s="304">
        <f>Currentinvoices[[#This Row],[Invoice '# 10 amount]]+Currentinvoices[[#This Row],[Invoice '# 10 vat]]</f>
        <v>409122.99950000003</v>
      </c>
      <c r="AU40" s="247">
        <v>46205</v>
      </c>
      <c r="AV40" s="304">
        <v>213455</v>
      </c>
      <c r="AW40" s="304">
        <f>Currentinvoices[[#This Row],[Invoice '# 11 amount]]*15%</f>
        <v>32018.25</v>
      </c>
      <c r="AX40" s="304">
        <f>Currentinvoices[[#This Row],[Invoice '# 11 vat]]+Currentinvoices[[#This Row],[Invoice '# 11 amount]]</f>
        <v>245473.25</v>
      </c>
      <c r="AY40" s="304"/>
      <c r="AZ40" s="304"/>
      <c r="BA40" s="304"/>
      <c r="BB40" s="304"/>
      <c r="BC40" s="304"/>
      <c r="BD40" s="304"/>
      <c r="BE40" s="304"/>
      <c r="BF40" s="304"/>
      <c r="BG40" s="304"/>
      <c r="BH40" s="304"/>
      <c r="BI40" s="304"/>
      <c r="BJ40" s="304"/>
      <c r="BK40" s="304"/>
      <c r="BL40" s="304"/>
      <c r="BM40" s="304"/>
      <c r="BN40" s="304"/>
      <c r="BO40" s="304"/>
      <c r="BP40" s="304"/>
      <c r="BQ40" s="304"/>
      <c r="BR40" s="328"/>
      <c r="BS40" s="328"/>
      <c r="BT40" s="328"/>
      <c r="BU40" s="328"/>
      <c r="BV40" s="328"/>
      <c r="BW40" s="304"/>
      <c r="BX40" s="304"/>
      <c r="BY40" s="304"/>
      <c r="BZ40" s="328"/>
      <c r="CA40" s="247"/>
      <c r="CB40" s="247"/>
      <c r="CC40" s="247"/>
      <c r="CD40" s="247"/>
      <c r="CE40" s="247"/>
      <c r="CF40" s="247"/>
      <c r="CG40" s="247"/>
      <c r="CH40" s="247"/>
      <c r="CI40" s="328"/>
      <c r="CJ40" s="328"/>
      <c r="CK40" s="328"/>
      <c r="CL40" s="328"/>
      <c r="CM40" s="328"/>
      <c r="CN40" s="328"/>
      <c r="CO40" s="328"/>
      <c r="CP40" s="328"/>
      <c r="CQ40" s="328"/>
      <c r="CR40" s="328"/>
      <c r="CS40" s="328"/>
      <c r="CT40" s="328"/>
      <c r="CU40" s="328"/>
      <c r="CV40" s="328"/>
      <c r="CW40" s="328"/>
      <c r="CX40" s="328"/>
      <c r="CY40" s="328"/>
      <c r="CZ40" s="328"/>
      <c r="DA40" s="328"/>
      <c r="DB40" s="328"/>
      <c r="DC40" s="1216"/>
      <c r="DD40" s="1217">
        <f>Currentinvoices[[#This Row],[Task Value]]</f>
        <v>853820</v>
      </c>
      <c r="DE40" s="1217">
        <f>DD40*15%</f>
        <v>128073</v>
      </c>
      <c r="DF40" s="1217">
        <f>DD40+DE40</f>
        <v>981893</v>
      </c>
      <c r="DG40" s="1217">
        <f t="shared" si="6"/>
        <v>853820.89</v>
      </c>
      <c r="DH40" s="1217">
        <f t="shared" si="7"/>
        <v>981894.02350000013</v>
      </c>
      <c r="DI40" s="1218">
        <v>1</v>
      </c>
      <c r="DJ40" s="1219">
        <f>DI40*DD40</f>
        <v>853820</v>
      </c>
      <c r="DK40" s="1217">
        <f>DJ40-DG40</f>
        <v>-0.89000000001396984</v>
      </c>
    </row>
    <row r="41" spans="1:115" ht="15.6">
      <c r="A41" s="1210" t="s">
        <v>233</v>
      </c>
      <c r="B41" t="s">
        <v>306</v>
      </c>
      <c r="C41" s="1210">
        <v>1</v>
      </c>
      <c r="D41" s="1226" t="s">
        <v>289</v>
      </c>
      <c r="E41" s="1210"/>
      <c r="F41" s="1212">
        <v>7025000</v>
      </c>
      <c r="G41" s="1222">
        <v>45684</v>
      </c>
      <c r="H41" s="45">
        <f>'ENGICON-RDH4'!F11</f>
        <v>1999999.85</v>
      </c>
      <c r="I41" s="45">
        <f>H41*15%</f>
        <v>299999.97749999998</v>
      </c>
      <c r="J41" s="45">
        <f>H41+I41</f>
        <v>2299999.8275000001</v>
      </c>
      <c r="K41" s="1222">
        <v>45839</v>
      </c>
      <c r="L41" s="247">
        <f>'ENGICON-RDH4'!H11</f>
        <v>2350000</v>
      </c>
      <c r="M41" s="45">
        <f>L41*15%</f>
        <v>352500</v>
      </c>
      <c r="N41" s="45">
        <f>L41+M41</f>
        <v>2702500</v>
      </c>
      <c r="O41" s="1222">
        <v>45848</v>
      </c>
      <c r="P41" s="247">
        <f>'ENGICON-RDH4'!J11</f>
        <v>2675000</v>
      </c>
      <c r="Q41" s="45">
        <f>P41*15%</f>
        <v>401250</v>
      </c>
      <c r="R41" s="45">
        <f>P41+Q41</f>
        <v>3076250</v>
      </c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247"/>
      <c r="AJ41" s="247"/>
      <c r="AK41" s="247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  <c r="BC41" s="304"/>
      <c r="BD41" s="304"/>
      <c r="BE41" s="304"/>
      <c r="BF41" s="304"/>
      <c r="BG41" s="304"/>
      <c r="BH41" s="304"/>
      <c r="BI41" s="304"/>
      <c r="BJ41" s="304"/>
      <c r="BK41" s="304"/>
      <c r="BL41" s="304"/>
      <c r="BM41" s="304"/>
      <c r="BN41" s="304"/>
      <c r="BO41" s="304"/>
      <c r="BP41" s="304"/>
      <c r="BQ41" s="304"/>
      <c r="BR41" s="328"/>
      <c r="BS41" s="328"/>
      <c r="BT41" s="328"/>
      <c r="BU41" s="328"/>
      <c r="BV41" s="328"/>
      <c r="BW41" s="304"/>
      <c r="BX41" s="304"/>
      <c r="BY41" s="304"/>
      <c r="BZ41" s="328"/>
      <c r="CA41" s="247"/>
      <c r="CB41" s="247"/>
      <c r="CC41" s="247"/>
      <c r="CD41" s="247"/>
      <c r="CE41" s="247"/>
      <c r="CF41" s="247"/>
      <c r="CG41" s="247"/>
      <c r="CH41" s="247"/>
      <c r="CI41" s="328"/>
      <c r="CJ41" s="328"/>
      <c r="CK41" s="328"/>
      <c r="CL41" s="328"/>
      <c r="CM41" s="328"/>
      <c r="CN41" s="328"/>
      <c r="CO41" s="328"/>
      <c r="CP41" s="328"/>
      <c r="CQ41" s="328"/>
      <c r="CR41" s="328"/>
      <c r="CS41" s="328"/>
      <c r="CT41" s="328"/>
      <c r="CU41" s="328"/>
      <c r="CV41" s="328"/>
      <c r="CW41" s="328"/>
      <c r="CX41" s="328"/>
      <c r="CY41" s="328"/>
      <c r="CZ41" s="328"/>
      <c r="DA41" s="328"/>
      <c r="DB41" s="328"/>
      <c r="DC41" s="1216"/>
      <c r="DD41" s="1217">
        <f>F41</f>
        <v>7025000</v>
      </c>
      <c r="DE41" s="1217">
        <f>DD41*15%</f>
        <v>1053750</v>
      </c>
      <c r="DF41" s="1217">
        <f>DD41+DE41</f>
        <v>8078750</v>
      </c>
      <c r="DG41" s="1217">
        <f t="shared" si="6"/>
        <v>7024999.8499999996</v>
      </c>
      <c r="DH41" s="1217">
        <f t="shared" si="7"/>
        <v>8078749.8275000006</v>
      </c>
      <c r="DI41" s="1218">
        <v>1</v>
      </c>
      <c r="DJ41" s="1219">
        <f>DI41*DD41</f>
        <v>7025000</v>
      </c>
      <c r="DK41" s="1217">
        <f>DJ41-DG41</f>
        <v>0.15000000037252903</v>
      </c>
    </row>
    <row r="42" spans="1:115" ht="17.399999999999999" customHeight="1">
      <c r="A42" s="1210" t="s">
        <v>233</v>
      </c>
      <c r="B42" t="s">
        <v>306</v>
      </c>
      <c r="C42" s="1210"/>
      <c r="D42" s="1225"/>
      <c r="E42" s="1210"/>
      <c r="F42" s="1212"/>
      <c r="G42" s="1222"/>
      <c r="H42" s="45"/>
      <c r="I42" s="45"/>
      <c r="J42" s="45"/>
      <c r="K42" s="247"/>
      <c r="L42" s="247"/>
      <c r="M42" s="247"/>
      <c r="N42" s="45"/>
      <c r="O42" s="247"/>
      <c r="P42" s="247"/>
      <c r="Q42" s="247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247"/>
      <c r="AJ42" s="247"/>
      <c r="AK42" s="247"/>
      <c r="AL42" s="304"/>
      <c r="AM42" s="304"/>
      <c r="AN42" s="304"/>
      <c r="AO42" s="304"/>
      <c r="AP42" s="304"/>
      <c r="AQ42" s="304"/>
      <c r="AR42" s="304"/>
      <c r="AS42" s="304"/>
      <c r="AT42" s="304"/>
      <c r="AU42" s="304"/>
      <c r="AV42" s="304"/>
      <c r="AW42" s="304"/>
      <c r="AX42" s="304"/>
      <c r="AY42" s="304"/>
      <c r="AZ42" s="304"/>
      <c r="BA42" s="304"/>
      <c r="BB42" s="304"/>
      <c r="BC42" s="304"/>
      <c r="BD42" s="304"/>
      <c r="BE42" s="304"/>
      <c r="BF42" s="304"/>
      <c r="BG42" s="304"/>
      <c r="BH42" s="304"/>
      <c r="BI42" s="304"/>
      <c r="BJ42" s="304"/>
      <c r="BK42" s="304"/>
      <c r="BL42" s="304"/>
      <c r="BM42" s="304"/>
      <c r="BN42" s="304"/>
      <c r="BO42" s="304"/>
      <c r="BP42" s="304"/>
      <c r="BQ42" s="304"/>
      <c r="BR42" s="328"/>
      <c r="BS42" s="328"/>
      <c r="BT42" s="328"/>
      <c r="BU42" s="328"/>
      <c r="BV42" s="328"/>
      <c r="BW42" s="304"/>
      <c r="BX42" s="304"/>
      <c r="BY42" s="304"/>
      <c r="BZ42" s="328"/>
      <c r="CA42" s="247"/>
      <c r="CB42" s="247"/>
      <c r="CC42" s="247"/>
      <c r="CD42" s="247"/>
      <c r="CE42" s="247"/>
      <c r="CF42" s="247"/>
      <c r="CG42" s="247"/>
      <c r="CH42" s="247"/>
      <c r="CI42" s="328"/>
      <c r="CJ42" s="328"/>
      <c r="CK42" s="328"/>
      <c r="CL42" s="328"/>
      <c r="CM42" s="328"/>
      <c r="CN42" s="328"/>
      <c r="CO42" s="328"/>
      <c r="CP42" s="328"/>
      <c r="CQ42" s="328"/>
      <c r="CR42" s="328"/>
      <c r="CS42" s="328"/>
      <c r="CT42" s="328"/>
      <c r="CU42" s="328"/>
      <c r="CV42" s="328"/>
      <c r="CW42" s="328"/>
      <c r="CX42" s="328"/>
      <c r="CY42" s="328"/>
      <c r="CZ42" s="328"/>
      <c r="DA42" s="328"/>
      <c r="DB42" s="328"/>
      <c r="DC42" s="1216"/>
      <c r="DD42" s="1217">
        <f>SUM(DD41:DD41)</f>
        <v>7025000</v>
      </c>
      <c r="DE42" s="1217">
        <f>SUM(DE41:DE41)</f>
        <v>1053750</v>
      </c>
      <c r="DF42" s="1217">
        <f>SUM(DF41:DF41)</f>
        <v>8078750</v>
      </c>
      <c r="DG42" s="1217">
        <f t="shared" si="6"/>
        <v>0</v>
      </c>
      <c r="DH42" s="1217">
        <f t="shared" si="7"/>
        <v>0</v>
      </c>
      <c r="DI42" s="1218"/>
      <c r="DJ42" s="1217">
        <f>SUM(DJ41:DJ41)</f>
        <v>7025000</v>
      </c>
      <c r="DK42" s="1217">
        <f>SUM(DK41:DK41)</f>
        <v>0.15000000037252903</v>
      </c>
    </row>
    <row r="43" spans="1:115" ht="15.6">
      <c r="A43" s="1210" t="s">
        <v>236</v>
      </c>
      <c r="B43" t="s">
        <v>313</v>
      </c>
      <c r="C43" s="1210"/>
      <c r="D43" s="1225"/>
      <c r="E43" s="1210"/>
      <c r="F43" s="1212">
        <v>1</v>
      </c>
      <c r="G43" s="1222">
        <v>45645</v>
      </c>
      <c r="H43" s="45">
        <v>40768</v>
      </c>
      <c r="I43" s="45">
        <f t="shared" ref="I43:I57" si="15">H43*15%</f>
        <v>6115.2</v>
      </c>
      <c r="J43" s="45">
        <f t="shared" ref="J43:J57" si="16">H43+I43</f>
        <v>46883.199999999997</v>
      </c>
      <c r="K43" s="247"/>
      <c r="L43" s="247"/>
      <c r="M43" s="247"/>
      <c r="N43" s="45"/>
      <c r="O43" s="247"/>
      <c r="P43" s="247"/>
      <c r="Q43" s="247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247"/>
      <c r="AJ43" s="247"/>
      <c r="AK43" s="247"/>
      <c r="AL43" s="304"/>
      <c r="AM43" s="304"/>
      <c r="AN43" s="304"/>
      <c r="AO43" s="304"/>
      <c r="AP43" s="304"/>
      <c r="AQ43" s="304"/>
      <c r="AR43" s="304"/>
      <c r="AS43" s="304"/>
      <c r="AT43" s="304"/>
      <c r="AU43" s="304"/>
      <c r="AV43" s="304"/>
      <c r="AW43" s="304"/>
      <c r="AX43" s="304"/>
      <c r="AY43" s="304"/>
      <c r="AZ43" s="304"/>
      <c r="BA43" s="304"/>
      <c r="BB43" s="304"/>
      <c r="BC43" s="304"/>
      <c r="BD43" s="304"/>
      <c r="BE43" s="304"/>
      <c r="BF43" s="304"/>
      <c r="BG43" s="304"/>
      <c r="BH43" s="304"/>
      <c r="BI43" s="304"/>
      <c r="BJ43" s="304"/>
      <c r="BK43" s="304"/>
      <c r="BL43" s="304"/>
      <c r="BM43" s="304"/>
      <c r="BN43" s="304"/>
      <c r="BO43" s="304"/>
      <c r="BP43" s="304"/>
      <c r="BQ43" s="304"/>
      <c r="BR43" s="328"/>
      <c r="BS43" s="328"/>
      <c r="BT43" s="328"/>
      <c r="BU43" s="328"/>
      <c r="BV43" s="328"/>
      <c r="BW43" s="304"/>
      <c r="BX43" s="304"/>
      <c r="BY43" s="304"/>
      <c r="BZ43" s="328"/>
      <c r="CA43" s="247"/>
      <c r="CB43" s="247"/>
      <c r="CC43" s="247"/>
      <c r="CD43" s="247"/>
      <c r="CE43" s="247"/>
      <c r="CF43" s="247"/>
      <c r="CG43" s="247"/>
      <c r="CH43" s="247"/>
      <c r="CI43" s="328"/>
      <c r="CJ43" s="328"/>
      <c r="CK43" s="328"/>
      <c r="CL43" s="328"/>
      <c r="CM43" s="328"/>
      <c r="CN43" s="328"/>
      <c r="CO43" s="328"/>
      <c r="CP43" s="328"/>
      <c r="CQ43" s="328"/>
      <c r="CR43" s="328"/>
      <c r="CS43" s="328"/>
      <c r="CT43" s="328"/>
      <c r="CU43" s="328"/>
      <c r="CV43" s="328"/>
      <c r="CW43" s="328"/>
      <c r="CX43" s="328"/>
      <c r="CY43" s="328"/>
      <c r="CZ43" s="328"/>
      <c r="DA43" s="328"/>
      <c r="DB43" s="328"/>
      <c r="DC43" s="1216"/>
      <c r="DD43" s="1217"/>
      <c r="DE43" s="1217"/>
      <c r="DF43" s="1217"/>
      <c r="DG43" s="1217">
        <f t="shared" si="6"/>
        <v>40768</v>
      </c>
      <c r="DH43" s="1217">
        <f t="shared" si="7"/>
        <v>46883.199999999997</v>
      </c>
      <c r="DI43" s="1218">
        <v>1</v>
      </c>
      <c r="DJ43" s="1219">
        <f t="shared" ref="DJ43:DJ70" si="17">DI43*DD43</f>
        <v>0</v>
      </c>
      <c r="DK43" s="1217">
        <f t="shared" ref="DK43:DK70" si="18">DJ43-DG43</f>
        <v>-40768</v>
      </c>
    </row>
    <row r="44" spans="1:115" ht="15.6">
      <c r="A44" s="1210" t="s">
        <v>236</v>
      </c>
      <c r="B44" t="s">
        <v>313</v>
      </c>
      <c r="C44" s="1210"/>
      <c r="D44" s="1225"/>
      <c r="E44" s="1210"/>
      <c r="F44" s="1212">
        <v>2</v>
      </c>
      <c r="G44" s="1222">
        <v>45645</v>
      </c>
      <c r="H44" s="45">
        <v>866679.33</v>
      </c>
      <c r="I44" s="45">
        <f t="shared" si="15"/>
        <v>130001.89949999998</v>
      </c>
      <c r="J44" s="45">
        <f t="shared" si="16"/>
        <v>996681.2294999999</v>
      </c>
      <c r="K44" s="247"/>
      <c r="L44" s="247"/>
      <c r="M44" s="247"/>
      <c r="N44" s="45"/>
      <c r="O44" s="247"/>
      <c r="P44" s="247"/>
      <c r="Q44" s="247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247"/>
      <c r="AJ44" s="247"/>
      <c r="AK44" s="247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304"/>
      <c r="BF44" s="304"/>
      <c r="BG44" s="304"/>
      <c r="BH44" s="304"/>
      <c r="BI44" s="304"/>
      <c r="BJ44" s="304"/>
      <c r="BK44" s="304"/>
      <c r="BL44" s="304"/>
      <c r="BM44" s="304"/>
      <c r="BN44" s="304"/>
      <c r="BO44" s="304"/>
      <c r="BP44" s="304"/>
      <c r="BQ44" s="304"/>
      <c r="BR44" s="328"/>
      <c r="BS44" s="328"/>
      <c r="BT44" s="328"/>
      <c r="BU44" s="328"/>
      <c r="BV44" s="328"/>
      <c r="BW44" s="304"/>
      <c r="BX44" s="304"/>
      <c r="BY44" s="304"/>
      <c r="BZ44" s="328"/>
      <c r="CA44" s="247"/>
      <c r="CB44" s="247"/>
      <c r="CC44" s="247"/>
      <c r="CD44" s="247"/>
      <c r="CE44" s="247"/>
      <c r="CF44" s="247"/>
      <c r="CG44" s="247"/>
      <c r="CH44" s="247"/>
      <c r="CI44" s="328"/>
      <c r="CJ44" s="328"/>
      <c r="CK44" s="328"/>
      <c r="CL44" s="328"/>
      <c r="CM44" s="328"/>
      <c r="CN44" s="328"/>
      <c r="CO44" s="328"/>
      <c r="CP44" s="328"/>
      <c r="CQ44" s="328"/>
      <c r="CR44" s="328"/>
      <c r="CS44" s="328"/>
      <c r="CT44" s="328"/>
      <c r="CU44" s="328"/>
      <c r="CV44" s="328"/>
      <c r="CW44" s="328"/>
      <c r="CX44" s="328"/>
      <c r="CY44" s="328"/>
      <c r="CZ44" s="328"/>
      <c r="DA44" s="328"/>
      <c r="DB44" s="328"/>
      <c r="DC44" s="1216"/>
      <c r="DD44" s="1217"/>
      <c r="DE44" s="1217"/>
      <c r="DF44" s="1217"/>
      <c r="DG44" s="1217">
        <f t="shared" si="6"/>
        <v>866679.33</v>
      </c>
      <c r="DH44" s="1217">
        <f t="shared" si="7"/>
        <v>996681.2294999999</v>
      </c>
      <c r="DI44" s="1218">
        <v>1</v>
      </c>
      <c r="DJ44" s="1219">
        <f t="shared" si="17"/>
        <v>0</v>
      </c>
      <c r="DK44" s="1217">
        <f t="shared" si="18"/>
        <v>-866679.33</v>
      </c>
    </row>
    <row r="45" spans="1:115" ht="15.6">
      <c r="A45" s="1210" t="s">
        <v>236</v>
      </c>
      <c r="B45" t="s">
        <v>313</v>
      </c>
      <c r="C45" s="1210"/>
      <c r="D45" s="1225"/>
      <c r="E45" s="1210"/>
      <c r="F45" s="1212">
        <v>3</v>
      </c>
      <c r="G45" s="1222">
        <v>45658</v>
      </c>
      <c r="H45" s="45">
        <v>1114782.01</v>
      </c>
      <c r="I45" s="45">
        <f t="shared" si="15"/>
        <v>167217.3015</v>
      </c>
      <c r="J45" s="45">
        <f t="shared" si="16"/>
        <v>1281999.3115000001</v>
      </c>
      <c r="K45" s="247"/>
      <c r="L45" s="247"/>
      <c r="M45" s="247"/>
      <c r="N45" s="45"/>
      <c r="O45" s="247"/>
      <c r="P45" s="247"/>
      <c r="Q45" s="247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247"/>
      <c r="AJ45" s="247"/>
      <c r="AK45" s="247"/>
      <c r="AL45" s="304"/>
      <c r="AM45" s="304"/>
      <c r="AN45" s="304"/>
      <c r="AO45" s="304"/>
      <c r="AP45" s="304"/>
      <c r="AQ45" s="304"/>
      <c r="AR45" s="304"/>
      <c r="AS45" s="304"/>
      <c r="AT45" s="304"/>
      <c r="AU45" s="304"/>
      <c r="AV45" s="304"/>
      <c r="AW45" s="304"/>
      <c r="AX45" s="304"/>
      <c r="AY45" s="304"/>
      <c r="AZ45" s="304"/>
      <c r="BA45" s="304"/>
      <c r="BB45" s="304"/>
      <c r="BC45" s="304"/>
      <c r="BD45" s="304"/>
      <c r="BE45" s="304"/>
      <c r="BF45" s="304"/>
      <c r="BG45" s="304"/>
      <c r="BH45" s="304"/>
      <c r="BI45" s="304"/>
      <c r="BJ45" s="304"/>
      <c r="BK45" s="304"/>
      <c r="BL45" s="304"/>
      <c r="BM45" s="304"/>
      <c r="BN45" s="304"/>
      <c r="BO45" s="304"/>
      <c r="BP45" s="304"/>
      <c r="BQ45" s="304"/>
      <c r="BR45" s="328"/>
      <c r="BS45" s="328"/>
      <c r="BT45" s="328"/>
      <c r="BU45" s="328"/>
      <c r="BV45" s="328"/>
      <c r="BW45" s="304"/>
      <c r="BX45" s="304"/>
      <c r="BY45" s="304"/>
      <c r="BZ45" s="328"/>
      <c r="CA45" s="247"/>
      <c r="CB45" s="247"/>
      <c r="CC45" s="247"/>
      <c r="CD45" s="247"/>
      <c r="CE45" s="247"/>
      <c r="CF45" s="247"/>
      <c r="CG45" s="247"/>
      <c r="CH45" s="247"/>
      <c r="CI45" s="328"/>
      <c r="CJ45" s="328"/>
      <c r="CK45" s="328"/>
      <c r="CL45" s="328"/>
      <c r="CM45" s="328"/>
      <c r="CN45" s="328"/>
      <c r="CO45" s="328"/>
      <c r="CP45" s="328"/>
      <c r="CQ45" s="328"/>
      <c r="CR45" s="328"/>
      <c r="CS45" s="328"/>
      <c r="CT45" s="328"/>
      <c r="CU45" s="328"/>
      <c r="CV45" s="328"/>
      <c r="CW45" s="328"/>
      <c r="CX45" s="328"/>
      <c r="CY45" s="328"/>
      <c r="CZ45" s="328"/>
      <c r="DA45" s="328"/>
      <c r="DB45" s="328"/>
      <c r="DC45" s="1216"/>
      <c r="DD45" s="1217"/>
      <c r="DE45" s="1217"/>
      <c r="DF45" s="1217"/>
      <c r="DG45" s="1217">
        <f t="shared" si="6"/>
        <v>1114782.01</v>
      </c>
      <c r="DH45" s="1217">
        <f t="shared" si="7"/>
        <v>1281999.3115000001</v>
      </c>
      <c r="DI45" s="1218">
        <v>1</v>
      </c>
      <c r="DJ45" s="1219">
        <f t="shared" si="17"/>
        <v>0</v>
      </c>
      <c r="DK45" s="1217">
        <f t="shared" si="18"/>
        <v>-1114782.01</v>
      </c>
    </row>
    <row r="46" spans="1:115" ht="15.6">
      <c r="A46" s="1210" t="s">
        <v>236</v>
      </c>
      <c r="B46" t="s">
        <v>313</v>
      </c>
      <c r="C46" s="1210"/>
      <c r="D46" s="1225"/>
      <c r="E46" s="1210"/>
      <c r="F46" s="1212">
        <v>4</v>
      </c>
      <c r="G46" s="1222">
        <v>45692</v>
      </c>
      <c r="H46" s="45">
        <v>1206719.08</v>
      </c>
      <c r="I46" s="45">
        <f t="shared" si="15"/>
        <v>181007.86199999999</v>
      </c>
      <c r="J46" s="45">
        <f t="shared" si="16"/>
        <v>1387726.942</v>
      </c>
      <c r="K46" s="247"/>
      <c r="L46" s="247"/>
      <c r="M46" s="247"/>
      <c r="N46" s="45"/>
      <c r="O46" s="247"/>
      <c r="P46" s="247"/>
      <c r="Q46" s="247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247"/>
      <c r="AJ46" s="247"/>
      <c r="AK46" s="247"/>
      <c r="AL46" s="304"/>
      <c r="AM46" s="304"/>
      <c r="AN46" s="304"/>
      <c r="AO46" s="304"/>
      <c r="AP46" s="304"/>
      <c r="AQ46" s="304"/>
      <c r="AR46" s="304"/>
      <c r="AS46" s="304"/>
      <c r="AT46" s="304"/>
      <c r="AU46" s="304"/>
      <c r="AV46" s="304"/>
      <c r="AW46" s="304"/>
      <c r="AX46" s="304"/>
      <c r="AY46" s="304"/>
      <c r="AZ46" s="304"/>
      <c r="BA46" s="304"/>
      <c r="BB46" s="304"/>
      <c r="BC46" s="304"/>
      <c r="BD46" s="304"/>
      <c r="BE46" s="304"/>
      <c r="BF46" s="304"/>
      <c r="BG46" s="304"/>
      <c r="BH46" s="304"/>
      <c r="BI46" s="304"/>
      <c r="BJ46" s="304"/>
      <c r="BK46" s="304"/>
      <c r="BL46" s="304"/>
      <c r="BM46" s="304"/>
      <c r="BN46" s="304"/>
      <c r="BO46" s="304"/>
      <c r="BP46" s="304"/>
      <c r="BQ46" s="304"/>
      <c r="BR46" s="328"/>
      <c r="BS46" s="328"/>
      <c r="BT46" s="328"/>
      <c r="BU46" s="328"/>
      <c r="BV46" s="328"/>
      <c r="BW46" s="304"/>
      <c r="BX46" s="304"/>
      <c r="BY46" s="304"/>
      <c r="BZ46" s="328"/>
      <c r="CA46" s="247"/>
      <c r="CB46" s="247"/>
      <c r="CC46" s="247"/>
      <c r="CD46" s="247"/>
      <c r="CE46" s="247"/>
      <c r="CF46" s="247"/>
      <c r="CG46" s="247"/>
      <c r="CH46" s="247"/>
      <c r="CI46" s="328"/>
      <c r="CJ46" s="328"/>
      <c r="CK46" s="328"/>
      <c r="CL46" s="328"/>
      <c r="CM46" s="328"/>
      <c r="CN46" s="328"/>
      <c r="CO46" s="328"/>
      <c r="CP46" s="328"/>
      <c r="CQ46" s="328"/>
      <c r="CR46" s="328"/>
      <c r="CS46" s="328"/>
      <c r="CT46" s="328"/>
      <c r="CU46" s="328"/>
      <c r="CV46" s="328"/>
      <c r="CW46" s="328"/>
      <c r="CX46" s="328"/>
      <c r="CY46" s="328"/>
      <c r="CZ46" s="328"/>
      <c r="DA46" s="328"/>
      <c r="DB46" s="328"/>
      <c r="DC46" s="1216"/>
      <c r="DD46" s="1217"/>
      <c r="DE46" s="1217"/>
      <c r="DF46" s="1217"/>
      <c r="DG46" s="1217">
        <f t="shared" si="6"/>
        <v>1206719.08</v>
      </c>
      <c r="DH46" s="1217">
        <f t="shared" si="7"/>
        <v>1387726.942</v>
      </c>
      <c r="DI46" s="1218">
        <v>1</v>
      </c>
      <c r="DJ46" s="1219">
        <f t="shared" si="17"/>
        <v>0</v>
      </c>
      <c r="DK46" s="1217">
        <f t="shared" si="18"/>
        <v>-1206719.08</v>
      </c>
    </row>
    <row r="47" spans="1:115" ht="15.6">
      <c r="A47" s="1210" t="s">
        <v>236</v>
      </c>
      <c r="B47" t="s">
        <v>313</v>
      </c>
      <c r="C47" s="1210"/>
      <c r="D47" s="1225"/>
      <c r="E47" s="1210"/>
      <c r="F47" s="1212">
        <v>5</v>
      </c>
      <c r="G47" s="1222">
        <v>45719</v>
      </c>
      <c r="H47" s="45">
        <v>1200633.93</v>
      </c>
      <c r="I47" s="45">
        <f t="shared" si="15"/>
        <v>180095.08949999997</v>
      </c>
      <c r="J47" s="45">
        <f t="shared" si="16"/>
        <v>1380729.0194999999</v>
      </c>
      <c r="K47" s="247"/>
      <c r="L47" s="247"/>
      <c r="M47" s="247"/>
      <c r="N47" s="45"/>
      <c r="O47" s="247"/>
      <c r="P47" s="247"/>
      <c r="Q47" s="247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247"/>
      <c r="AJ47" s="247"/>
      <c r="AK47" s="247"/>
      <c r="AL47" s="304"/>
      <c r="AM47" s="304"/>
      <c r="AN47" s="304"/>
      <c r="AO47" s="304"/>
      <c r="AP47" s="304"/>
      <c r="AQ47" s="304"/>
      <c r="AR47" s="304"/>
      <c r="AS47" s="304"/>
      <c r="AT47" s="304"/>
      <c r="AU47" s="304"/>
      <c r="AV47" s="304"/>
      <c r="AW47" s="304"/>
      <c r="AX47" s="304"/>
      <c r="AY47" s="304"/>
      <c r="AZ47" s="304"/>
      <c r="BA47" s="304"/>
      <c r="BB47" s="304"/>
      <c r="BC47" s="304"/>
      <c r="BD47" s="304"/>
      <c r="BE47" s="304"/>
      <c r="BF47" s="304"/>
      <c r="BG47" s="304"/>
      <c r="BH47" s="304"/>
      <c r="BI47" s="304"/>
      <c r="BJ47" s="304"/>
      <c r="BK47" s="304"/>
      <c r="BL47" s="304"/>
      <c r="BM47" s="304"/>
      <c r="BN47" s="304"/>
      <c r="BO47" s="304"/>
      <c r="BP47" s="304"/>
      <c r="BQ47" s="304"/>
      <c r="BR47" s="328"/>
      <c r="BS47" s="328"/>
      <c r="BT47" s="328"/>
      <c r="BU47" s="328"/>
      <c r="BV47" s="328"/>
      <c r="BW47" s="304"/>
      <c r="BX47" s="304"/>
      <c r="BY47" s="304"/>
      <c r="BZ47" s="328"/>
      <c r="CA47" s="247"/>
      <c r="CB47" s="247"/>
      <c r="CC47" s="247"/>
      <c r="CD47" s="247"/>
      <c r="CE47" s="247"/>
      <c r="CF47" s="247"/>
      <c r="CG47" s="247"/>
      <c r="CH47" s="247"/>
      <c r="CI47" s="328"/>
      <c r="CJ47" s="328"/>
      <c r="CK47" s="328"/>
      <c r="CL47" s="328"/>
      <c r="CM47" s="328"/>
      <c r="CN47" s="328"/>
      <c r="CO47" s="328"/>
      <c r="CP47" s="328"/>
      <c r="CQ47" s="328"/>
      <c r="CR47" s="328"/>
      <c r="CS47" s="328"/>
      <c r="CT47" s="328"/>
      <c r="CU47" s="328"/>
      <c r="CV47" s="328"/>
      <c r="CW47" s="328"/>
      <c r="CX47" s="328"/>
      <c r="CY47" s="328"/>
      <c r="CZ47" s="328"/>
      <c r="DA47" s="328"/>
      <c r="DB47" s="328"/>
      <c r="DC47" s="1216"/>
      <c r="DD47" s="1217"/>
      <c r="DE47" s="1217"/>
      <c r="DF47" s="1217"/>
      <c r="DG47" s="1217">
        <f t="shared" si="6"/>
        <v>1200633.93</v>
      </c>
      <c r="DH47" s="1217">
        <f t="shared" si="7"/>
        <v>1380729.0194999999</v>
      </c>
      <c r="DI47" s="1218">
        <v>1</v>
      </c>
      <c r="DJ47" s="1219">
        <f t="shared" si="17"/>
        <v>0</v>
      </c>
      <c r="DK47" s="1217">
        <f t="shared" si="18"/>
        <v>-1200633.93</v>
      </c>
    </row>
    <row r="48" spans="1:115" ht="15.6">
      <c r="A48" s="1210" t="s">
        <v>236</v>
      </c>
      <c r="B48" t="s">
        <v>313</v>
      </c>
      <c r="C48" s="1210"/>
      <c r="D48" s="1225"/>
      <c r="E48" s="1210"/>
      <c r="F48" s="1212">
        <v>6</v>
      </c>
      <c r="G48" s="1222">
        <v>45755</v>
      </c>
      <c r="H48" s="45">
        <v>1118030.3899999999</v>
      </c>
      <c r="I48" s="45">
        <f t="shared" si="15"/>
        <v>167704.55849999998</v>
      </c>
      <c r="J48" s="45">
        <f t="shared" si="16"/>
        <v>1285734.9484999999</v>
      </c>
      <c r="K48" s="247"/>
      <c r="L48" s="247"/>
      <c r="M48" s="247"/>
      <c r="N48" s="45"/>
      <c r="O48" s="247"/>
      <c r="P48" s="247"/>
      <c r="Q48" s="247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247"/>
      <c r="AJ48" s="247"/>
      <c r="AK48" s="247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304"/>
      <c r="BF48" s="304"/>
      <c r="BG48" s="304"/>
      <c r="BH48" s="304"/>
      <c r="BI48" s="304"/>
      <c r="BJ48" s="304"/>
      <c r="BK48" s="304"/>
      <c r="BL48" s="304"/>
      <c r="BM48" s="304"/>
      <c r="BN48" s="304"/>
      <c r="BO48" s="304"/>
      <c r="BP48" s="304"/>
      <c r="BQ48" s="304"/>
      <c r="BR48" s="328"/>
      <c r="BS48" s="328"/>
      <c r="BT48" s="328"/>
      <c r="BU48" s="328"/>
      <c r="BV48" s="328"/>
      <c r="BW48" s="304"/>
      <c r="BX48" s="304"/>
      <c r="BY48" s="304"/>
      <c r="BZ48" s="328"/>
      <c r="CA48" s="247"/>
      <c r="CB48" s="247"/>
      <c r="CC48" s="247"/>
      <c r="CD48" s="247"/>
      <c r="CE48" s="247"/>
      <c r="CF48" s="247"/>
      <c r="CG48" s="247"/>
      <c r="CH48" s="247"/>
      <c r="CI48" s="328"/>
      <c r="CJ48" s="328"/>
      <c r="CK48" s="328"/>
      <c r="CL48" s="328"/>
      <c r="CM48" s="328"/>
      <c r="CN48" s="328"/>
      <c r="CO48" s="328"/>
      <c r="CP48" s="328"/>
      <c r="CQ48" s="328"/>
      <c r="CR48" s="328"/>
      <c r="CS48" s="328"/>
      <c r="CT48" s="328"/>
      <c r="CU48" s="328"/>
      <c r="CV48" s="328"/>
      <c r="CW48" s="328"/>
      <c r="CX48" s="328"/>
      <c r="CY48" s="328"/>
      <c r="CZ48" s="328"/>
      <c r="DA48" s="328"/>
      <c r="DB48" s="328"/>
      <c r="DC48" s="1216"/>
      <c r="DD48" s="1217"/>
      <c r="DE48" s="1217"/>
      <c r="DF48" s="1217"/>
      <c r="DG48" s="1217">
        <f t="shared" si="6"/>
        <v>1118030.3899999999</v>
      </c>
      <c r="DH48" s="1217">
        <f t="shared" si="7"/>
        <v>1285734.9484999999</v>
      </c>
      <c r="DI48" s="1218">
        <v>1</v>
      </c>
      <c r="DJ48" s="1219">
        <f t="shared" si="17"/>
        <v>0</v>
      </c>
      <c r="DK48" s="1217">
        <f t="shared" si="18"/>
        <v>-1118030.3899999999</v>
      </c>
    </row>
    <row r="49" spans="1:115" ht="15.6">
      <c r="A49" s="1210" t="s">
        <v>236</v>
      </c>
      <c r="B49" t="s">
        <v>313</v>
      </c>
      <c r="C49" s="1210"/>
      <c r="D49" s="1225"/>
      <c r="E49" s="1210"/>
      <c r="F49" s="1212">
        <v>7</v>
      </c>
      <c r="G49" s="1222">
        <v>45781</v>
      </c>
      <c r="H49" s="45">
        <v>1216426.3</v>
      </c>
      <c r="I49" s="45">
        <f t="shared" si="15"/>
        <v>182463.94500000001</v>
      </c>
      <c r="J49" s="45">
        <f t="shared" si="16"/>
        <v>1398890.2450000001</v>
      </c>
      <c r="K49" s="247"/>
      <c r="L49" s="247"/>
      <c r="M49" s="247"/>
      <c r="N49" s="45"/>
      <c r="O49" s="247"/>
      <c r="P49" s="247"/>
      <c r="Q49" s="247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247"/>
      <c r="AJ49" s="247"/>
      <c r="AK49" s="247"/>
      <c r="AL49" s="304"/>
      <c r="AM49" s="304"/>
      <c r="AN49" s="304"/>
      <c r="AO49" s="304"/>
      <c r="AP49" s="304"/>
      <c r="AQ49" s="304"/>
      <c r="AR49" s="304"/>
      <c r="AS49" s="304"/>
      <c r="AT49" s="304"/>
      <c r="AU49" s="304"/>
      <c r="AV49" s="304"/>
      <c r="AW49" s="304"/>
      <c r="AX49" s="304"/>
      <c r="AY49" s="304"/>
      <c r="AZ49" s="304"/>
      <c r="BA49" s="304"/>
      <c r="BB49" s="304"/>
      <c r="BC49" s="304"/>
      <c r="BD49" s="304"/>
      <c r="BE49" s="304"/>
      <c r="BF49" s="304"/>
      <c r="BG49" s="304"/>
      <c r="BH49" s="304"/>
      <c r="BI49" s="304"/>
      <c r="BJ49" s="304"/>
      <c r="BK49" s="304"/>
      <c r="BL49" s="304"/>
      <c r="BM49" s="304"/>
      <c r="BN49" s="304"/>
      <c r="BO49" s="304"/>
      <c r="BP49" s="304"/>
      <c r="BQ49" s="304"/>
      <c r="BR49" s="328"/>
      <c r="BS49" s="328"/>
      <c r="BT49" s="328"/>
      <c r="BU49" s="328"/>
      <c r="BV49" s="328"/>
      <c r="BW49" s="304"/>
      <c r="BX49" s="304"/>
      <c r="BY49" s="304"/>
      <c r="BZ49" s="328"/>
      <c r="CA49" s="247"/>
      <c r="CB49" s="247"/>
      <c r="CC49" s="247"/>
      <c r="CD49" s="247"/>
      <c r="CE49" s="247"/>
      <c r="CF49" s="247"/>
      <c r="CG49" s="247"/>
      <c r="CH49" s="247"/>
      <c r="CI49" s="328"/>
      <c r="CJ49" s="328"/>
      <c r="CK49" s="328"/>
      <c r="CL49" s="328"/>
      <c r="CM49" s="328"/>
      <c r="CN49" s="328"/>
      <c r="CO49" s="328"/>
      <c r="CP49" s="328"/>
      <c r="CQ49" s="328"/>
      <c r="CR49" s="328"/>
      <c r="CS49" s="328"/>
      <c r="CT49" s="328"/>
      <c r="CU49" s="328"/>
      <c r="CV49" s="328"/>
      <c r="CW49" s="328"/>
      <c r="CX49" s="328"/>
      <c r="CY49" s="328"/>
      <c r="CZ49" s="328"/>
      <c r="DA49" s="328"/>
      <c r="DB49" s="328"/>
      <c r="DC49" s="1216"/>
      <c r="DD49" s="1217"/>
      <c r="DE49" s="1217"/>
      <c r="DF49" s="1217"/>
      <c r="DG49" s="1217">
        <f t="shared" si="6"/>
        <v>1216426.3</v>
      </c>
      <c r="DH49" s="1217">
        <f t="shared" si="7"/>
        <v>1398890.2450000001</v>
      </c>
      <c r="DI49" s="1218">
        <v>1</v>
      </c>
      <c r="DJ49" s="1219">
        <f t="shared" si="17"/>
        <v>0</v>
      </c>
      <c r="DK49" s="1217">
        <f t="shared" si="18"/>
        <v>-1216426.3</v>
      </c>
    </row>
    <row r="50" spans="1:115" ht="15.6">
      <c r="A50" s="1210" t="s">
        <v>236</v>
      </c>
      <c r="B50" t="s">
        <v>313</v>
      </c>
      <c r="C50" s="1210"/>
      <c r="D50" s="1225"/>
      <c r="E50" s="1210"/>
      <c r="F50" s="1212">
        <v>8</v>
      </c>
      <c r="G50" s="1222">
        <v>45809</v>
      </c>
      <c r="H50" s="45">
        <v>1310618.68</v>
      </c>
      <c r="I50" s="45">
        <f t="shared" si="15"/>
        <v>196592.802</v>
      </c>
      <c r="J50" s="45">
        <f t="shared" si="16"/>
        <v>1507211.4819999998</v>
      </c>
      <c r="K50" s="247"/>
      <c r="L50" s="247"/>
      <c r="M50" s="247"/>
      <c r="N50" s="45"/>
      <c r="O50" s="247"/>
      <c r="P50" s="247"/>
      <c r="Q50" s="247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247"/>
      <c r="AJ50" s="247"/>
      <c r="AK50" s="247"/>
      <c r="AL50" s="304"/>
      <c r="AM50" s="304"/>
      <c r="AN50" s="304"/>
      <c r="AO50" s="304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304"/>
      <c r="BF50" s="304"/>
      <c r="BG50" s="304"/>
      <c r="BH50" s="304"/>
      <c r="BI50" s="304"/>
      <c r="BJ50" s="304"/>
      <c r="BK50" s="304"/>
      <c r="BL50" s="304"/>
      <c r="BM50" s="304"/>
      <c r="BN50" s="304"/>
      <c r="BO50" s="304"/>
      <c r="BP50" s="304"/>
      <c r="BQ50" s="304"/>
      <c r="BR50" s="328"/>
      <c r="BS50" s="328"/>
      <c r="BT50" s="328"/>
      <c r="BU50" s="328"/>
      <c r="BV50" s="328"/>
      <c r="BW50" s="304"/>
      <c r="BX50" s="304"/>
      <c r="BY50" s="304"/>
      <c r="BZ50" s="328"/>
      <c r="CA50" s="247"/>
      <c r="CB50" s="247"/>
      <c r="CC50" s="247"/>
      <c r="CD50" s="247"/>
      <c r="CE50" s="247"/>
      <c r="CF50" s="247"/>
      <c r="CG50" s="247"/>
      <c r="CH50" s="247"/>
      <c r="CI50" s="328"/>
      <c r="CJ50" s="328"/>
      <c r="CK50" s="328"/>
      <c r="CL50" s="328"/>
      <c r="CM50" s="328"/>
      <c r="CN50" s="328"/>
      <c r="CO50" s="328"/>
      <c r="CP50" s="328"/>
      <c r="CQ50" s="328"/>
      <c r="CR50" s="328"/>
      <c r="CS50" s="328"/>
      <c r="CT50" s="328"/>
      <c r="CU50" s="328"/>
      <c r="CV50" s="328"/>
      <c r="CW50" s="328"/>
      <c r="CX50" s="328"/>
      <c r="CY50" s="328"/>
      <c r="CZ50" s="328"/>
      <c r="DA50" s="328"/>
      <c r="DB50" s="328"/>
      <c r="DC50" s="1216"/>
      <c r="DD50" s="1217"/>
      <c r="DE50" s="1217"/>
      <c r="DF50" s="1217"/>
      <c r="DG50" s="1217">
        <f t="shared" si="6"/>
        <v>1310618.68</v>
      </c>
      <c r="DH50" s="1217">
        <f t="shared" si="7"/>
        <v>1507211.4819999998</v>
      </c>
      <c r="DI50" s="1218">
        <v>1</v>
      </c>
      <c r="DJ50" s="1219">
        <f t="shared" si="17"/>
        <v>0</v>
      </c>
      <c r="DK50" s="1217">
        <f t="shared" si="18"/>
        <v>-1310618.68</v>
      </c>
    </row>
    <row r="51" spans="1:115" ht="15.6">
      <c r="A51" s="1210" t="s">
        <v>236</v>
      </c>
      <c r="B51" t="s">
        <v>313</v>
      </c>
      <c r="C51" s="1210"/>
      <c r="D51" s="1225"/>
      <c r="E51" s="1210"/>
      <c r="F51" s="1212">
        <v>9</v>
      </c>
      <c r="G51" s="1222">
        <v>45840</v>
      </c>
      <c r="H51" s="45">
        <v>1147200.4099999999</v>
      </c>
      <c r="I51" s="45">
        <f t="shared" si="15"/>
        <v>172080.06149999998</v>
      </c>
      <c r="J51" s="45">
        <f t="shared" si="16"/>
        <v>1319280.4715</v>
      </c>
      <c r="K51" s="247"/>
      <c r="L51" s="247"/>
      <c r="M51" s="247"/>
      <c r="N51" s="45"/>
      <c r="O51" s="247"/>
      <c r="P51" s="247"/>
      <c r="Q51" s="247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247"/>
      <c r="AJ51" s="247"/>
      <c r="AK51" s="247"/>
      <c r="AL51" s="304"/>
      <c r="AM51" s="304"/>
      <c r="AN51" s="304"/>
      <c r="AO51" s="304"/>
      <c r="AP51" s="304"/>
      <c r="AQ51" s="304"/>
      <c r="AR51" s="304"/>
      <c r="AS51" s="304"/>
      <c r="AT51" s="304"/>
      <c r="AU51" s="304"/>
      <c r="AV51" s="304"/>
      <c r="AW51" s="304"/>
      <c r="AX51" s="304"/>
      <c r="AY51" s="304"/>
      <c r="AZ51" s="304"/>
      <c r="BA51" s="304"/>
      <c r="BB51" s="304"/>
      <c r="BC51" s="304"/>
      <c r="BD51" s="304"/>
      <c r="BE51" s="304"/>
      <c r="BF51" s="304"/>
      <c r="BG51" s="304"/>
      <c r="BH51" s="304"/>
      <c r="BI51" s="304"/>
      <c r="BJ51" s="304"/>
      <c r="BK51" s="304"/>
      <c r="BL51" s="304"/>
      <c r="BM51" s="304"/>
      <c r="BN51" s="304"/>
      <c r="BO51" s="304"/>
      <c r="BP51" s="304"/>
      <c r="BQ51" s="304"/>
      <c r="BR51" s="328"/>
      <c r="BS51" s="328"/>
      <c r="BT51" s="328"/>
      <c r="BU51" s="328"/>
      <c r="BV51" s="328"/>
      <c r="BW51" s="304"/>
      <c r="BX51" s="304"/>
      <c r="BY51" s="304"/>
      <c r="BZ51" s="328"/>
      <c r="CA51" s="247"/>
      <c r="CB51" s="247"/>
      <c r="CC51" s="247"/>
      <c r="CD51" s="247"/>
      <c r="CE51" s="247"/>
      <c r="CF51" s="247"/>
      <c r="CG51" s="247"/>
      <c r="CH51" s="247"/>
      <c r="CI51" s="328"/>
      <c r="CJ51" s="328"/>
      <c r="CK51" s="328"/>
      <c r="CL51" s="328"/>
      <c r="CM51" s="328"/>
      <c r="CN51" s="328"/>
      <c r="CO51" s="328"/>
      <c r="CP51" s="328"/>
      <c r="CQ51" s="328"/>
      <c r="CR51" s="328"/>
      <c r="CS51" s="328"/>
      <c r="CT51" s="328"/>
      <c r="CU51" s="328"/>
      <c r="CV51" s="328"/>
      <c r="CW51" s="328"/>
      <c r="CX51" s="328"/>
      <c r="CY51" s="328"/>
      <c r="CZ51" s="328"/>
      <c r="DA51" s="328"/>
      <c r="DB51" s="328"/>
      <c r="DC51" s="1216"/>
      <c r="DD51" s="1217"/>
      <c r="DE51" s="1217"/>
      <c r="DF51" s="1217"/>
      <c r="DG51" s="1217">
        <f t="shared" si="6"/>
        <v>1147200.4099999999</v>
      </c>
      <c r="DH51" s="1217">
        <f t="shared" si="7"/>
        <v>1319280.4715</v>
      </c>
      <c r="DI51" s="1218">
        <v>1</v>
      </c>
      <c r="DJ51" s="1219">
        <f t="shared" si="17"/>
        <v>0</v>
      </c>
      <c r="DK51" s="1217">
        <f t="shared" si="18"/>
        <v>-1147200.4099999999</v>
      </c>
    </row>
    <row r="52" spans="1:115" ht="15.6">
      <c r="A52" s="1210" t="s">
        <v>236</v>
      </c>
      <c r="B52" t="s">
        <v>313</v>
      </c>
      <c r="C52" s="1210"/>
      <c r="D52" s="1225"/>
      <c r="E52" s="1210"/>
      <c r="F52" s="1212">
        <v>10</v>
      </c>
      <c r="G52" s="1222">
        <v>45873</v>
      </c>
      <c r="H52" s="45">
        <v>1122204.53</v>
      </c>
      <c r="I52" s="45">
        <f t="shared" si="15"/>
        <v>168330.6795</v>
      </c>
      <c r="J52" s="45">
        <f t="shared" si="16"/>
        <v>1290535.2095000001</v>
      </c>
      <c r="K52" s="247"/>
      <c r="L52" s="247"/>
      <c r="M52" s="247"/>
      <c r="N52" s="45"/>
      <c r="O52" s="247"/>
      <c r="P52" s="247"/>
      <c r="Q52" s="247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247"/>
      <c r="AJ52" s="247"/>
      <c r="AK52" s="247"/>
      <c r="AL52" s="304"/>
      <c r="AM52" s="304"/>
      <c r="AN52" s="304"/>
      <c r="AO52" s="304"/>
      <c r="AP52" s="304"/>
      <c r="AQ52" s="304"/>
      <c r="AR52" s="304"/>
      <c r="AS52" s="304"/>
      <c r="AT52" s="304"/>
      <c r="AU52" s="304"/>
      <c r="AV52" s="304"/>
      <c r="AW52" s="304"/>
      <c r="AX52" s="304"/>
      <c r="AY52" s="304"/>
      <c r="AZ52" s="304"/>
      <c r="BA52" s="304"/>
      <c r="BB52" s="304"/>
      <c r="BC52" s="304"/>
      <c r="BD52" s="304"/>
      <c r="BE52" s="304"/>
      <c r="BF52" s="304"/>
      <c r="BG52" s="304"/>
      <c r="BH52" s="304"/>
      <c r="BI52" s="304"/>
      <c r="BJ52" s="304"/>
      <c r="BK52" s="304"/>
      <c r="BL52" s="304"/>
      <c r="BM52" s="304"/>
      <c r="BN52" s="304"/>
      <c r="BO52" s="304"/>
      <c r="BP52" s="304"/>
      <c r="BQ52" s="304"/>
      <c r="BR52" s="328"/>
      <c r="BS52" s="328"/>
      <c r="BT52" s="328"/>
      <c r="BU52" s="328"/>
      <c r="BV52" s="328"/>
      <c r="BW52" s="304"/>
      <c r="BX52" s="304"/>
      <c r="BY52" s="304"/>
      <c r="BZ52" s="328"/>
      <c r="CA52" s="247"/>
      <c r="CB52" s="247"/>
      <c r="CC52" s="247"/>
      <c r="CD52" s="247"/>
      <c r="CE52" s="247"/>
      <c r="CF52" s="247"/>
      <c r="CG52" s="247"/>
      <c r="CH52" s="247"/>
      <c r="CI52" s="328"/>
      <c r="CJ52" s="328"/>
      <c r="CK52" s="328"/>
      <c r="CL52" s="328"/>
      <c r="CM52" s="328"/>
      <c r="CN52" s="328"/>
      <c r="CO52" s="328"/>
      <c r="CP52" s="328"/>
      <c r="CQ52" s="328"/>
      <c r="CR52" s="328"/>
      <c r="CS52" s="328"/>
      <c r="CT52" s="328"/>
      <c r="CU52" s="328"/>
      <c r="CV52" s="328"/>
      <c r="CW52" s="328"/>
      <c r="CX52" s="328"/>
      <c r="CY52" s="328"/>
      <c r="CZ52" s="328"/>
      <c r="DA52" s="328"/>
      <c r="DB52" s="328"/>
      <c r="DC52" s="1216"/>
      <c r="DD52" s="1217"/>
      <c r="DE52" s="1217"/>
      <c r="DF52" s="1217"/>
      <c r="DG52" s="1217">
        <f t="shared" si="6"/>
        <v>1122204.53</v>
      </c>
      <c r="DH52" s="1217">
        <f t="shared" si="7"/>
        <v>1290535.2095000001</v>
      </c>
      <c r="DI52" s="1218">
        <v>1</v>
      </c>
      <c r="DJ52" s="1219">
        <f t="shared" si="17"/>
        <v>0</v>
      </c>
      <c r="DK52" s="1217">
        <f t="shared" si="18"/>
        <v>-1122204.53</v>
      </c>
    </row>
    <row r="53" spans="1:115" ht="15.6">
      <c r="A53" s="1210" t="s">
        <v>236</v>
      </c>
      <c r="B53" t="s">
        <v>313</v>
      </c>
      <c r="C53" s="1210"/>
      <c r="D53" s="1225"/>
      <c r="E53" s="1210"/>
      <c r="F53" s="1212">
        <v>11</v>
      </c>
      <c r="G53" s="1222">
        <v>45901</v>
      </c>
      <c r="H53" s="45">
        <v>1165613.3</v>
      </c>
      <c r="I53" s="45">
        <f t="shared" si="15"/>
        <v>174841.995</v>
      </c>
      <c r="J53" s="45">
        <f t="shared" si="16"/>
        <v>1340455.2949999999</v>
      </c>
      <c r="K53" s="247"/>
      <c r="L53" s="247"/>
      <c r="M53" s="247"/>
      <c r="N53" s="45"/>
      <c r="O53" s="247"/>
      <c r="P53" s="247"/>
      <c r="Q53" s="247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247"/>
      <c r="AJ53" s="247"/>
      <c r="AK53" s="247"/>
      <c r="AL53" s="304"/>
      <c r="AM53" s="304"/>
      <c r="AN53" s="304"/>
      <c r="AO53" s="304"/>
      <c r="AP53" s="304"/>
      <c r="AQ53" s="304"/>
      <c r="AR53" s="304"/>
      <c r="AS53" s="304"/>
      <c r="AT53" s="304"/>
      <c r="AU53" s="304"/>
      <c r="AV53" s="304"/>
      <c r="AW53" s="304"/>
      <c r="AX53" s="304"/>
      <c r="AY53" s="304"/>
      <c r="AZ53" s="304"/>
      <c r="BA53" s="304"/>
      <c r="BB53" s="304"/>
      <c r="BC53" s="304"/>
      <c r="BD53" s="304"/>
      <c r="BE53" s="304"/>
      <c r="BF53" s="304"/>
      <c r="BG53" s="304"/>
      <c r="BH53" s="304"/>
      <c r="BI53" s="304"/>
      <c r="BJ53" s="304"/>
      <c r="BK53" s="304"/>
      <c r="BL53" s="304"/>
      <c r="BM53" s="304"/>
      <c r="BN53" s="304"/>
      <c r="BO53" s="304"/>
      <c r="BP53" s="304"/>
      <c r="BQ53" s="304"/>
      <c r="BR53" s="328"/>
      <c r="BS53" s="328"/>
      <c r="BT53" s="328"/>
      <c r="BU53" s="328"/>
      <c r="BV53" s="328"/>
      <c r="BW53" s="304"/>
      <c r="BX53" s="304"/>
      <c r="BY53" s="304"/>
      <c r="BZ53" s="328"/>
      <c r="CA53" s="247"/>
      <c r="CB53" s="247"/>
      <c r="CC53" s="247"/>
      <c r="CD53" s="247"/>
      <c r="CE53" s="247"/>
      <c r="CF53" s="247"/>
      <c r="CG53" s="247"/>
      <c r="CH53" s="247"/>
      <c r="CI53" s="328"/>
      <c r="CJ53" s="328"/>
      <c r="CK53" s="328"/>
      <c r="CL53" s="328"/>
      <c r="CM53" s="328"/>
      <c r="CN53" s="328"/>
      <c r="CO53" s="328"/>
      <c r="CP53" s="328"/>
      <c r="CQ53" s="328"/>
      <c r="CR53" s="328"/>
      <c r="CS53" s="328"/>
      <c r="CT53" s="328"/>
      <c r="CU53" s="328"/>
      <c r="CV53" s="328"/>
      <c r="CW53" s="328"/>
      <c r="CX53" s="328"/>
      <c r="CY53" s="328"/>
      <c r="CZ53" s="328"/>
      <c r="DA53" s="328"/>
      <c r="DB53" s="328"/>
      <c r="DC53" s="1216"/>
      <c r="DD53" s="1217"/>
      <c r="DE53" s="1217"/>
      <c r="DF53" s="1217"/>
      <c r="DG53" s="1217">
        <f t="shared" si="6"/>
        <v>1165613.3</v>
      </c>
      <c r="DH53" s="1217">
        <f t="shared" si="7"/>
        <v>1340455.2949999999</v>
      </c>
      <c r="DI53" s="1218">
        <v>1</v>
      </c>
      <c r="DJ53" s="1219">
        <f t="shared" si="17"/>
        <v>0</v>
      </c>
      <c r="DK53" s="1217">
        <f t="shared" si="18"/>
        <v>-1165613.3</v>
      </c>
    </row>
    <row r="54" spans="1:115" ht="15.6">
      <c r="A54" s="1210" t="s">
        <v>236</v>
      </c>
      <c r="B54" t="s">
        <v>313</v>
      </c>
      <c r="C54" s="1210"/>
      <c r="D54" s="1225"/>
      <c r="E54" s="1210"/>
      <c r="F54" s="1212">
        <v>12</v>
      </c>
      <c r="G54" s="1222">
        <v>45931</v>
      </c>
      <c r="H54" s="45">
        <v>1069979.68</v>
      </c>
      <c r="I54" s="45">
        <f t="shared" si="15"/>
        <v>160496.95199999999</v>
      </c>
      <c r="J54" s="45">
        <f t="shared" si="16"/>
        <v>1230476.632</v>
      </c>
      <c r="K54" s="247"/>
      <c r="L54" s="247"/>
      <c r="M54" s="247"/>
      <c r="N54" s="45"/>
      <c r="O54" s="247"/>
      <c r="P54" s="247"/>
      <c r="Q54" s="247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247"/>
      <c r="AJ54" s="247"/>
      <c r="AK54" s="247"/>
      <c r="AL54" s="304"/>
      <c r="AM54" s="304"/>
      <c r="AN54" s="304"/>
      <c r="AO54" s="304"/>
      <c r="AP54" s="304"/>
      <c r="AQ54" s="304"/>
      <c r="AR54" s="304"/>
      <c r="AS54" s="304"/>
      <c r="AT54" s="304"/>
      <c r="AU54" s="304"/>
      <c r="AV54" s="304"/>
      <c r="AW54" s="304"/>
      <c r="AX54" s="304"/>
      <c r="AY54" s="304"/>
      <c r="AZ54" s="304"/>
      <c r="BA54" s="304"/>
      <c r="BB54" s="304"/>
      <c r="BC54" s="304"/>
      <c r="BD54" s="304"/>
      <c r="BE54" s="304"/>
      <c r="BF54" s="304"/>
      <c r="BG54" s="304"/>
      <c r="BH54" s="304"/>
      <c r="BI54" s="304"/>
      <c r="BJ54" s="304"/>
      <c r="BK54" s="304"/>
      <c r="BL54" s="304"/>
      <c r="BM54" s="304"/>
      <c r="BN54" s="304"/>
      <c r="BO54" s="304"/>
      <c r="BP54" s="304"/>
      <c r="BQ54" s="304"/>
      <c r="BR54" s="328"/>
      <c r="BS54" s="328"/>
      <c r="BT54" s="328"/>
      <c r="BU54" s="328"/>
      <c r="BV54" s="328"/>
      <c r="BW54" s="304"/>
      <c r="BX54" s="304"/>
      <c r="BY54" s="304"/>
      <c r="BZ54" s="328"/>
      <c r="CA54" s="247"/>
      <c r="CB54" s="247"/>
      <c r="CC54" s="247"/>
      <c r="CD54" s="247"/>
      <c r="CE54" s="247"/>
      <c r="CF54" s="247"/>
      <c r="CG54" s="247"/>
      <c r="CH54" s="247"/>
      <c r="CI54" s="328"/>
      <c r="CJ54" s="328"/>
      <c r="CK54" s="328"/>
      <c r="CL54" s="328"/>
      <c r="CM54" s="328"/>
      <c r="CN54" s="328"/>
      <c r="CO54" s="328"/>
      <c r="CP54" s="328"/>
      <c r="CQ54" s="328"/>
      <c r="CR54" s="328"/>
      <c r="CS54" s="328"/>
      <c r="CT54" s="328"/>
      <c r="CU54" s="328"/>
      <c r="CV54" s="328"/>
      <c r="CW54" s="328"/>
      <c r="CX54" s="328"/>
      <c r="CY54" s="328"/>
      <c r="CZ54" s="328"/>
      <c r="DA54" s="328"/>
      <c r="DB54" s="328"/>
      <c r="DC54" s="1216"/>
      <c r="DD54" s="1217"/>
      <c r="DE54" s="1217"/>
      <c r="DF54" s="1217"/>
      <c r="DG54" s="1217">
        <f t="shared" si="6"/>
        <v>1069979.68</v>
      </c>
      <c r="DH54" s="1217">
        <f t="shared" si="7"/>
        <v>1230476.632</v>
      </c>
      <c r="DI54" s="1218">
        <v>1</v>
      </c>
      <c r="DJ54" s="1219">
        <f t="shared" si="17"/>
        <v>0</v>
      </c>
      <c r="DK54" s="1217">
        <f t="shared" si="18"/>
        <v>-1069979.68</v>
      </c>
    </row>
    <row r="55" spans="1:115" ht="15.6">
      <c r="A55" s="1210" t="s">
        <v>236</v>
      </c>
      <c r="B55" t="s">
        <v>313</v>
      </c>
      <c r="C55" s="1210"/>
      <c r="D55" s="1225"/>
      <c r="E55" s="1210"/>
      <c r="F55" s="1212">
        <v>13</v>
      </c>
      <c r="G55" s="1222">
        <v>45963</v>
      </c>
      <c r="H55" s="45">
        <v>1203549.1100000001</v>
      </c>
      <c r="I55" s="45">
        <f t="shared" si="15"/>
        <v>180532.3665</v>
      </c>
      <c r="J55" s="45">
        <f t="shared" si="16"/>
        <v>1384081.4765000001</v>
      </c>
      <c r="K55" s="247"/>
      <c r="L55" s="247"/>
      <c r="M55" s="247"/>
      <c r="N55" s="45"/>
      <c r="O55" s="247"/>
      <c r="P55" s="247"/>
      <c r="Q55" s="247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247"/>
      <c r="AJ55" s="247"/>
      <c r="AK55" s="247"/>
      <c r="AL55" s="304"/>
      <c r="AM55" s="304"/>
      <c r="AN55" s="304"/>
      <c r="AO55" s="304"/>
      <c r="AP55" s="304"/>
      <c r="AQ55" s="304"/>
      <c r="AR55" s="304"/>
      <c r="AS55" s="304"/>
      <c r="AT55" s="304"/>
      <c r="AU55" s="304"/>
      <c r="AV55" s="304"/>
      <c r="AW55" s="304"/>
      <c r="AX55" s="304"/>
      <c r="AY55" s="304"/>
      <c r="AZ55" s="304"/>
      <c r="BA55" s="304"/>
      <c r="BB55" s="304"/>
      <c r="BC55" s="304"/>
      <c r="BD55" s="304"/>
      <c r="BE55" s="304"/>
      <c r="BF55" s="304"/>
      <c r="BG55" s="304"/>
      <c r="BH55" s="304"/>
      <c r="BI55" s="304"/>
      <c r="BJ55" s="304"/>
      <c r="BK55" s="304"/>
      <c r="BL55" s="304"/>
      <c r="BM55" s="304"/>
      <c r="BN55" s="304"/>
      <c r="BO55" s="304"/>
      <c r="BP55" s="304"/>
      <c r="BQ55" s="304"/>
      <c r="BR55" s="328"/>
      <c r="BS55" s="328"/>
      <c r="BT55" s="328"/>
      <c r="BU55" s="328"/>
      <c r="BV55" s="328"/>
      <c r="BW55" s="304"/>
      <c r="BX55" s="304"/>
      <c r="BY55" s="304"/>
      <c r="BZ55" s="328"/>
      <c r="CA55" s="247"/>
      <c r="CB55" s="247"/>
      <c r="CC55" s="247"/>
      <c r="CD55" s="247"/>
      <c r="CE55" s="247"/>
      <c r="CF55" s="247"/>
      <c r="CG55" s="247"/>
      <c r="CH55" s="247"/>
      <c r="CI55" s="328"/>
      <c r="CJ55" s="328"/>
      <c r="CK55" s="328"/>
      <c r="CL55" s="328"/>
      <c r="CM55" s="328"/>
      <c r="CN55" s="328"/>
      <c r="CO55" s="328"/>
      <c r="CP55" s="328"/>
      <c r="CQ55" s="328"/>
      <c r="CR55" s="328"/>
      <c r="CS55" s="328"/>
      <c r="CT55" s="328"/>
      <c r="CU55" s="328"/>
      <c r="CV55" s="328"/>
      <c r="CW55" s="328"/>
      <c r="CX55" s="328"/>
      <c r="CY55" s="328"/>
      <c r="CZ55" s="328"/>
      <c r="DA55" s="328"/>
      <c r="DB55" s="328"/>
      <c r="DC55" s="1216"/>
      <c r="DD55" s="1217"/>
      <c r="DE55" s="1217"/>
      <c r="DF55" s="1217"/>
      <c r="DG55" s="1217">
        <f t="shared" si="6"/>
        <v>1203549.1100000001</v>
      </c>
      <c r="DH55" s="1217">
        <f t="shared" si="7"/>
        <v>1384081.4765000001</v>
      </c>
      <c r="DI55" s="1218">
        <v>1</v>
      </c>
      <c r="DJ55" s="1219">
        <f t="shared" si="17"/>
        <v>0</v>
      </c>
      <c r="DK55" s="1217">
        <f t="shared" si="18"/>
        <v>-1203549.1100000001</v>
      </c>
    </row>
    <row r="56" spans="1:115" ht="15.6">
      <c r="A56" s="1210" t="s">
        <v>236</v>
      </c>
      <c r="B56" t="s">
        <v>313</v>
      </c>
      <c r="C56" s="1210"/>
      <c r="D56" s="1225"/>
      <c r="E56" s="1210"/>
      <c r="F56" s="1212">
        <v>14</v>
      </c>
      <c r="G56" s="1222">
        <v>45994</v>
      </c>
      <c r="H56" s="45">
        <v>1075450.04</v>
      </c>
      <c r="I56" s="45">
        <f t="shared" si="15"/>
        <v>161317.50599999999</v>
      </c>
      <c r="J56" s="45">
        <f t="shared" si="16"/>
        <v>1236767.5460000001</v>
      </c>
      <c r="K56" s="247"/>
      <c r="L56" s="247"/>
      <c r="M56" s="247"/>
      <c r="N56" s="45"/>
      <c r="O56" s="247"/>
      <c r="P56" s="247"/>
      <c r="Q56" s="247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247"/>
      <c r="AJ56" s="247"/>
      <c r="AK56" s="247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04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 s="304"/>
      <c r="BJ56" s="304"/>
      <c r="BK56" s="304"/>
      <c r="BL56" s="304"/>
      <c r="BM56" s="304"/>
      <c r="BN56" s="304"/>
      <c r="BO56" s="304"/>
      <c r="BP56" s="304"/>
      <c r="BQ56" s="304"/>
      <c r="BR56" s="328"/>
      <c r="BS56" s="328"/>
      <c r="BT56" s="328"/>
      <c r="BU56" s="328"/>
      <c r="BV56" s="328"/>
      <c r="BW56" s="304"/>
      <c r="BX56" s="304"/>
      <c r="BY56" s="304"/>
      <c r="BZ56" s="328"/>
      <c r="CA56" s="247"/>
      <c r="CB56" s="247"/>
      <c r="CC56" s="247"/>
      <c r="CD56" s="247"/>
      <c r="CE56" s="247"/>
      <c r="CF56" s="247"/>
      <c r="CG56" s="247"/>
      <c r="CH56" s="247"/>
      <c r="CI56" s="328"/>
      <c r="CJ56" s="328"/>
      <c r="CK56" s="328"/>
      <c r="CL56" s="328"/>
      <c r="CM56" s="328"/>
      <c r="CN56" s="328"/>
      <c r="CO56" s="328"/>
      <c r="CP56" s="328"/>
      <c r="CQ56" s="328"/>
      <c r="CR56" s="328"/>
      <c r="CS56" s="328"/>
      <c r="CT56" s="328"/>
      <c r="CU56" s="328"/>
      <c r="CV56" s="328"/>
      <c r="CW56" s="328"/>
      <c r="CX56" s="328"/>
      <c r="CY56" s="328"/>
      <c r="CZ56" s="328"/>
      <c r="DA56" s="328"/>
      <c r="DB56" s="328"/>
      <c r="DC56" s="1216"/>
      <c r="DD56" s="1217"/>
      <c r="DE56" s="1217"/>
      <c r="DF56" s="1217"/>
      <c r="DG56" s="1217">
        <f t="shared" si="6"/>
        <v>1075450.04</v>
      </c>
      <c r="DH56" s="1217">
        <f t="shared" si="7"/>
        <v>1236767.5460000001</v>
      </c>
      <c r="DI56" s="1218">
        <v>1</v>
      </c>
      <c r="DJ56" s="1219">
        <f t="shared" si="17"/>
        <v>0</v>
      </c>
      <c r="DK56" s="1217">
        <f t="shared" si="18"/>
        <v>-1075450.04</v>
      </c>
    </row>
    <row r="57" spans="1:115" ht="15.6">
      <c r="A57" s="1210" t="s">
        <v>236</v>
      </c>
      <c r="B57" t="s">
        <v>313</v>
      </c>
      <c r="C57" s="1210"/>
      <c r="D57" s="1225"/>
      <c r="E57" s="1210"/>
      <c r="F57" s="1212">
        <v>15</v>
      </c>
      <c r="G57" s="1222">
        <v>46026</v>
      </c>
      <c r="H57" s="45">
        <v>1147266.3999999999</v>
      </c>
      <c r="I57" s="45">
        <f t="shared" si="15"/>
        <v>172089.96</v>
      </c>
      <c r="J57" s="45">
        <f t="shared" si="16"/>
        <v>1319356.3599999999</v>
      </c>
      <c r="K57" s="247"/>
      <c r="L57" s="247"/>
      <c r="M57" s="247"/>
      <c r="N57" s="45"/>
      <c r="O57" s="247"/>
      <c r="P57" s="247"/>
      <c r="Q57" s="247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247"/>
      <c r="AJ57" s="247"/>
      <c r="AK57" s="247"/>
      <c r="AL57" s="304"/>
      <c r="AM57" s="304"/>
      <c r="AN57" s="304"/>
      <c r="AO57" s="304"/>
      <c r="AP57" s="304"/>
      <c r="AQ57" s="304"/>
      <c r="AR57" s="304"/>
      <c r="AS57" s="304"/>
      <c r="AT57" s="304"/>
      <c r="AU57" s="304"/>
      <c r="AV57" s="304"/>
      <c r="AW57" s="304"/>
      <c r="AX57" s="304"/>
      <c r="AY57" s="304"/>
      <c r="AZ57" s="304"/>
      <c r="BA57" s="304"/>
      <c r="BB57" s="304"/>
      <c r="BC57" s="304"/>
      <c r="BD57" s="304"/>
      <c r="BE57" s="304"/>
      <c r="BF57" s="304"/>
      <c r="BG57" s="304"/>
      <c r="BH57" s="304"/>
      <c r="BI57" s="304"/>
      <c r="BJ57" s="304"/>
      <c r="BK57" s="304"/>
      <c r="BL57" s="304"/>
      <c r="BM57" s="304"/>
      <c r="BN57" s="304"/>
      <c r="BO57" s="304"/>
      <c r="BP57" s="304"/>
      <c r="BQ57" s="304"/>
      <c r="BR57" s="328"/>
      <c r="BS57" s="328"/>
      <c r="BT57" s="328"/>
      <c r="BU57" s="328"/>
      <c r="BV57" s="328"/>
      <c r="BW57" s="304"/>
      <c r="BX57" s="304"/>
      <c r="BY57" s="304"/>
      <c r="BZ57" s="328"/>
      <c r="CA57" s="247"/>
      <c r="CB57" s="247"/>
      <c r="CC57" s="247"/>
      <c r="CD57" s="247"/>
      <c r="CE57" s="247"/>
      <c r="CF57" s="247"/>
      <c r="CG57" s="247"/>
      <c r="CH57" s="247"/>
      <c r="CI57" s="328"/>
      <c r="CJ57" s="328"/>
      <c r="CK57" s="328"/>
      <c r="CL57" s="328"/>
      <c r="CM57" s="328"/>
      <c r="CN57" s="328"/>
      <c r="CO57" s="328"/>
      <c r="CP57" s="328"/>
      <c r="CQ57" s="328"/>
      <c r="CR57" s="328"/>
      <c r="CS57" s="328"/>
      <c r="CT57" s="328"/>
      <c r="CU57" s="328"/>
      <c r="CV57" s="328"/>
      <c r="CW57" s="328"/>
      <c r="CX57" s="328"/>
      <c r="CY57" s="328"/>
      <c r="CZ57" s="328"/>
      <c r="DA57" s="328"/>
      <c r="DB57" s="328"/>
      <c r="DC57" s="1216"/>
      <c r="DD57" s="1217"/>
      <c r="DE57" s="1217"/>
      <c r="DF57" s="1217"/>
      <c r="DG57" s="1217">
        <f t="shared" ref="DG57:DG65" si="19">SUMPRODUCT((MOD(COLUMN(G57:DB57)-COLUMN(G57),4)=1)*G57:DB57)</f>
        <v>1147266.3999999999</v>
      </c>
      <c r="DH57" s="1217">
        <f t="shared" ref="DH57:DH65" si="20">SUMPRODUCT((MOD(COLUMN(G57:DB57)-COLUMN(H57),4)=2)*G57:DB57)</f>
        <v>1319356.3599999999</v>
      </c>
      <c r="DI57" s="1218">
        <v>1</v>
      </c>
      <c r="DJ57" s="1219">
        <f t="shared" ref="DJ57:DJ61" si="21">DI57*DD57</f>
        <v>0</v>
      </c>
      <c r="DK57" s="1217">
        <f t="shared" ref="DK57:DK61" si="22">DJ57-DG57</f>
        <v>-1147266.3999999999</v>
      </c>
    </row>
    <row r="58" spans="1:115" ht="15.6">
      <c r="A58" s="1210" t="s">
        <v>236</v>
      </c>
      <c r="B58" t="s">
        <v>313</v>
      </c>
      <c r="C58" s="1210"/>
      <c r="D58" s="1225"/>
      <c r="E58" s="1210"/>
      <c r="F58" s="1212">
        <v>16</v>
      </c>
      <c r="G58" s="1222">
        <v>46054</v>
      </c>
      <c r="H58" s="45">
        <v>1116684.52</v>
      </c>
      <c r="I58" s="45">
        <f t="shared" ref="I58:I63" si="23">H58*15%</f>
        <v>167502.67799999999</v>
      </c>
      <c r="J58" s="45">
        <f t="shared" ref="J58:J63" si="24">H58+I58</f>
        <v>1284187.1980000001</v>
      </c>
      <c r="K58" s="247"/>
      <c r="L58" s="247"/>
      <c r="M58" s="247"/>
      <c r="N58" s="45"/>
      <c r="O58" s="247"/>
      <c r="P58" s="247"/>
      <c r="Q58" s="247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247"/>
      <c r="AJ58" s="247"/>
      <c r="AK58" s="247"/>
      <c r="AL58" s="304"/>
      <c r="AM58" s="304"/>
      <c r="AN58" s="304"/>
      <c r="AO58" s="304"/>
      <c r="AP58" s="304"/>
      <c r="AQ58" s="304"/>
      <c r="AR58" s="304"/>
      <c r="AS58" s="304"/>
      <c r="AT58" s="304"/>
      <c r="AU58" s="304"/>
      <c r="AV58" s="304"/>
      <c r="AW58" s="304"/>
      <c r="AX58" s="304"/>
      <c r="AY58" s="304"/>
      <c r="AZ58" s="304"/>
      <c r="BA58" s="304"/>
      <c r="BB58" s="304"/>
      <c r="BC58" s="304"/>
      <c r="BD58" s="304"/>
      <c r="BE58" s="304"/>
      <c r="BF58" s="304"/>
      <c r="BG58" s="304"/>
      <c r="BH58" s="304"/>
      <c r="BI58" s="304"/>
      <c r="BJ58" s="304"/>
      <c r="BK58" s="304"/>
      <c r="BL58" s="304"/>
      <c r="BM58" s="304"/>
      <c r="BN58" s="304"/>
      <c r="BO58" s="304"/>
      <c r="BP58" s="304"/>
      <c r="BQ58" s="304"/>
      <c r="BR58" s="328"/>
      <c r="BS58" s="328"/>
      <c r="BT58" s="328"/>
      <c r="BU58" s="328"/>
      <c r="BV58" s="328"/>
      <c r="BW58" s="304"/>
      <c r="BX58" s="304"/>
      <c r="BY58" s="304"/>
      <c r="BZ58" s="328"/>
      <c r="CA58" s="247"/>
      <c r="CB58" s="247"/>
      <c r="CC58" s="247"/>
      <c r="CD58" s="247"/>
      <c r="CE58" s="247"/>
      <c r="CF58" s="247"/>
      <c r="CG58" s="247"/>
      <c r="CH58" s="247"/>
      <c r="CI58" s="328"/>
      <c r="CJ58" s="328"/>
      <c r="CK58" s="328"/>
      <c r="CL58" s="328"/>
      <c r="CM58" s="328"/>
      <c r="CN58" s="328"/>
      <c r="CO58" s="328"/>
      <c r="CP58" s="328"/>
      <c r="CQ58" s="328"/>
      <c r="CR58" s="328"/>
      <c r="CS58" s="328"/>
      <c r="CT58" s="328"/>
      <c r="CU58" s="328"/>
      <c r="CV58" s="328"/>
      <c r="CW58" s="328"/>
      <c r="CX58" s="328"/>
      <c r="CY58" s="328"/>
      <c r="CZ58" s="328"/>
      <c r="DA58" s="328"/>
      <c r="DB58" s="328"/>
      <c r="DC58" s="1216"/>
      <c r="DD58" s="1217"/>
      <c r="DE58" s="1217"/>
      <c r="DF58" s="1217"/>
      <c r="DG58" s="1217">
        <f t="shared" si="19"/>
        <v>1116684.52</v>
      </c>
      <c r="DH58" s="1217">
        <f t="shared" si="20"/>
        <v>1284187.1980000001</v>
      </c>
      <c r="DI58" s="1218">
        <v>1</v>
      </c>
      <c r="DJ58" s="1219">
        <f t="shared" si="21"/>
        <v>0</v>
      </c>
      <c r="DK58" s="1217">
        <f t="shared" si="22"/>
        <v>-1116684.52</v>
      </c>
    </row>
    <row r="59" spans="1:115" ht="15.6">
      <c r="A59" s="1210" t="s">
        <v>236</v>
      </c>
      <c r="B59" t="s">
        <v>313</v>
      </c>
      <c r="C59" s="1210"/>
      <c r="D59" s="1225"/>
      <c r="E59" s="1210"/>
      <c r="F59" s="1212">
        <v>17</v>
      </c>
      <c r="G59" s="1222">
        <v>46082</v>
      </c>
      <c r="H59" s="45">
        <v>1127991.1100000001</v>
      </c>
      <c r="I59" s="45">
        <f t="shared" si="23"/>
        <v>169198.66650000002</v>
      </c>
      <c r="J59" s="45">
        <f t="shared" si="24"/>
        <v>1297189.7765000002</v>
      </c>
      <c r="K59" s="247"/>
      <c r="L59" s="247"/>
      <c r="M59" s="247"/>
      <c r="N59" s="45"/>
      <c r="O59" s="247"/>
      <c r="P59" s="247"/>
      <c r="Q59" s="247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247"/>
      <c r="AJ59" s="247"/>
      <c r="AK59" s="247"/>
      <c r="AL59" s="304"/>
      <c r="AM59" s="304"/>
      <c r="AN59" s="304"/>
      <c r="AO59" s="304"/>
      <c r="AP59" s="304"/>
      <c r="AQ59" s="304"/>
      <c r="AR59" s="304"/>
      <c r="AS59" s="304"/>
      <c r="AT59" s="304"/>
      <c r="AU59" s="304"/>
      <c r="AV59" s="304"/>
      <c r="AW59" s="304"/>
      <c r="AX59" s="304"/>
      <c r="AY59" s="304"/>
      <c r="AZ59" s="304"/>
      <c r="BA59" s="304"/>
      <c r="BB59" s="304"/>
      <c r="BC59" s="304"/>
      <c r="BD59" s="304"/>
      <c r="BE59" s="304"/>
      <c r="BF59" s="304"/>
      <c r="BG59" s="304"/>
      <c r="BH59" s="304"/>
      <c r="BI59" s="304"/>
      <c r="BJ59" s="304"/>
      <c r="BK59" s="304"/>
      <c r="BL59" s="304"/>
      <c r="BM59" s="304"/>
      <c r="BN59" s="304"/>
      <c r="BO59" s="304"/>
      <c r="BP59" s="304"/>
      <c r="BQ59" s="304"/>
      <c r="BR59" s="328"/>
      <c r="BS59" s="328"/>
      <c r="BT59" s="328"/>
      <c r="BU59" s="328"/>
      <c r="BV59" s="328"/>
      <c r="BW59" s="304"/>
      <c r="BX59" s="304"/>
      <c r="BY59" s="304"/>
      <c r="BZ59" s="328"/>
      <c r="CA59" s="247"/>
      <c r="CB59" s="247"/>
      <c r="CC59" s="247"/>
      <c r="CD59" s="247"/>
      <c r="CE59" s="247"/>
      <c r="CF59" s="247"/>
      <c r="CG59" s="247"/>
      <c r="CH59" s="247"/>
      <c r="CI59" s="328"/>
      <c r="CJ59" s="328"/>
      <c r="CK59" s="328"/>
      <c r="CL59" s="328"/>
      <c r="CM59" s="328"/>
      <c r="CN59" s="328"/>
      <c r="CO59" s="328"/>
      <c r="CP59" s="328"/>
      <c r="CQ59" s="328"/>
      <c r="CR59" s="328"/>
      <c r="CS59" s="328"/>
      <c r="CT59" s="328"/>
      <c r="CU59" s="328"/>
      <c r="CV59" s="328"/>
      <c r="CW59" s="328"/>
      <c r="CX59" s="328"/>
      <c r="CY59" s="328"/>
      <c r="CZ59" s="328"/>
      <c r="DA59" s="328"/>
      <c r="DB59" s="328"/>
      <c r="DC59" s="1216"/>
      <c r="DD59" s="1217"/>
      <c r="DE59" s="1217"/>
      <c r="DF59" s="1217"/>
      <c r="DG59" s="1217">
        <f t="shared" si="19"/>
        <v>1127991.1100000001</v>
      </c>
      <c r="DH59" s="1217">
        <f t="shared" si="20"/>
        <v>1297189.7765000002</v>
      </c>
      <c r="DI59" s="1218">
        <v>1</v>
      </c>
      <c r="DJ59" s="1219">
        <f t="shared" si="21"/>
        <v>0</v>
      </c>
      <c r="DK59" s="1217">
        <f t="shared" si="22"/>
        <v>-1127991.1100000001</v>
      </c>
    </row>
    <row r="60" spans="1:115" ht="15.6">
      <c r="A60" s="1210" t="s">
        <v>236</v>
      </c>
      <c r="B60" t="s">
        <v>313</v>
      </c>
      <c r="C60" s="1210"/>
      <c r="D60" s="1225"/>
      <c r="E60" s="1210"/>
      <c r="F60" s="1212">
        <v>18</v>
      </c>
      <c r="G60" s="1222">
        <v>46113</v>
      </c>
      <c r="H60" s="45">
        <v>1083424.6299999999</v>
      </c>
      <c r="I60" s="45">
        <f t="shared" si="23"/>
        <v>162513.69449999998</v>
      </c>
      <c r="J60" s="45">
        <f t="shared" si="24"/>
        <v>1245938.3244999999</v>
      </c>
      <c r="K60" s="247"/>
      <c r="L60" s="247"/>
      <c r="M60" s="247"/>
      <c r="N60" s="45"/>
      <c r="O60" s="247"/>
      <c r="P60" s="247"/>
      <c r="Q60" s="247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247"/>
      <c r="AJ60" s="247"/>
      <c r="AK60" s="247"/>
      <c r="AL60" s="304"/>
      <c r="AM60" s="304"/>
      <c r="AN60" s="304"/>
      <c r="AO60" s="304"/>
      <c r="AP60" s="304"/>
      <c r="AQ60" s="304"/>
      <c r="AR60" s="304"/>
      <c r="AS60" s="304"/>
      <c r="AT60" s="304"/>
      <c r="AU60" s="304"/>
      <c r="AV60" s="304"/>
      <c r="AW60" s="304"/>
      <c r="AX60" s="304"/>
      <c r="AY60" s="304"/>
      <c r="AZ60" s="304"/>
      <c r="BA60" s="304"/>
      <c r="BB60" s="304"/>
      <c r="BC60" s="304"/>
      <c r="BD60" s="304"/>
      <c r="BE60" s="304"/>
      <c r="BF60" s="304"/>
      <c r="BG60" s="304"/>
      <c r="BH60" s="304"/>
      <c r="BI60" s="304"/>
      <c r="BJ60" s="304"/>
      <c r="BK60" s="304"/>
      <c r="BL60" s="304"/>
      <c r="BM60" s="304"/>
      <c r="BN60" s="304"/>
      <c r="BO60" s="304"/>
      <c r="BP60" s="304"/>
      <c r="BQ60" s="304"/>
      <c r="BR60" s="328"/>
      <c r="BS60" s="328"/>
      <c r="BT60" s="328"/>
      <c r="BU60" s="328"/>
      <c r="BV60" s="328"/>
      <c r="BW60" s="304"/>
      <c r="BX60" s="304"/>
      <c r="BY60" s="304"/>
      <c r="BZ60" s="328"/>
      <c r="CA60" s="247"/>
      <c r="CB60" s="247"/>
      <c r="CC60" s="247"/>
      <c r="CD60" s="247"/>
      <c r="CE60" s="247"/>
      <c r="CF60" s="247"/>
      <c r="CG60" s="247"/>
      <c r="CH60" s="247"/>
      <c r="CI60" s="328"/>
      <c r="CJ60" s="328"/>
      <c r="CK60" s="328"/>
      <c r="CL60" s="328"/>
      <c r="CM60" s="328"/>
      <c r="CN60" s="328"/>
      <c r="CO60" s="328"/>
      <c r="CP60" s="328"/>
      <c r="CQ60" s="328"/>
      <c r="CR60" s="328"/>
      <c r="CS60" s="328"/>
      <c r="CT60" s="328"/>
      <c r="CU60" s="328"/>
      <c r="CV60" s="328"/>
      <c r="CW60" s="328"/>
      <c r="CX60" s="328"/>
      <c r="CY60" s="328"/>
      <c r="CZ60" s="328"/>
      <c r="DA60" s="328"/>
      <c r="DB60" s="328"/>
      <c r="DC60" s="1216"/>
      <c r="DD60" s="1217"/>
      <c r="DE60" s="1217"/>
      <c r="DF60" s="1217"/>
      <c r="DG60" s="1217">
        <f t="shared" si="19"/>
        <v>1083424.6299999999</v>
      </c>
      <c r="DH60" s="1217">
        <f t="shared" si="20"/>
        <v>1245938.3244999999</v>
      </c>
      <c r="DI60" s="1218">
        <v>1</v>
      </c>
      <c r="DJ60" s="1219">
        <f t="shared" si="21"/>
        <v>0</v>
      </c>
      <c r="DK60" s="1217">
        <f t="shared" si="22"/>
        <v>-1083424.6299999999</v>
      </c>
    </row>
    <row r="61" spans="1:115" ht="15.6">
      <c r="A61" s="1210" t="s">
        <v>236</v>
      </c>
      <c r="B61" t="s">
        <v>313</v>
      </c>
      <c r="C61" s="1210"/>
      <c r="D61" s="1225"/>
      <c r="E61" s="1210"/>
      <c r="F61" s="1212">
        <v>19</v>
      </c>
      <c r="G61" s="1222">
        <v>46143</v>
      </c>
      <c r="H61" s="45">
        <v>1062629.68</v>
      </c>
      <c r="I61" s="45">
        <f t="shared" si="23"/>
        <v>159394.45199999999</v>
      </c>
      <c r="J61" s="45">
        <f t="shared" si="24"/>
        <v>1222024.132</v>
      </c>
      <c r="K61" s="247"/>
      <c r="L61" s="247"/>
      <c r="M61" s="247"/>
      <c r="N61" s="45"/>
      <c r="O61" s="247"/>
      <c r="P61" s="247"/>
      <c r="Q61" s="247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247"/>
      <c r="AJ61" s="247"/>
      <c r="AK61" s="247"/>
      <c r="AL61" s="304"/>
      <c r="AM61" s="304"/>
      <c r="AN61" s="304"/>
      <c r="AO61" s="304"/>
      <c r="AP61" s="304"/>
      <c r="AQ61" s="304"/>
      <c r="AR61" s="304"/>
      <c r="AS61" s="304"/>
      <c r="AT61" s="304"/>
      <c r="AU61" s="304"/>
      <c r="AV61" s="304"/>
      <c r="AW61" s="304"/>
      <c r="AX61" s="304"/>
      <c r="AY61" s="304"/>
      <c r="AZ61" s="304"/>
      <c r="BA61" s="304"/>
      <c r="BB61" s="304"/>
      <c r="BC61" s="304"/>
      <c r="BD61" s="304"/>
      <c r="BE61" s="304"/>
      <c r="BF61" s="304"/>
      <c r="BG61" s="304"/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28"/>
      <c r="BS61" s="328"/>
      <c r="BT61" s="328"/>
      <c r="BU61" s="328"/>
      <c r="BV61" s="328"/>
      <c r="BW61" s="304"/>
      <c r="BX61" s="304"/>
      <c r="BY61" s="304"/>
      <c r="BZ61" s="328"/>
      <c r="CA61" s="247"/>
      <c r="CB61" s="247"/>
      <c r="CC61" s="45"/>
      <c r="CD61" s="45"/>
      <c r="CE61" s="247"/>
      <c r="CF61" s="247"/>
      <c r="CG61" s="247"/>
      <c r="CH61" s="247"/>
      <c r="CI61" s="328"/>
      <c r="CJ61" s="328"/>
      <c r="CK61" s="328"/>
      <c r="CL61" s="328"/>
      <c r="CM61" s="328"/>
      <c r="CN61" s="328"/>
      <c r="CO61" s="328"/>
      <c r="CP61" s="328"/>
      <c r="CQ61" s="328"/>
      <c r="CR61" s="328"/>
      <c r="CS61" s="328"/>
      <c r="CT61" s="328"/>
      <c r="CU61" s="328"/>
      <c r="CV61" s="328"/>
      <c r="CW61" s="328"/>
      <c r="CX61" s="328"/>
      <c r="CY61" s="328"/>
      <c r="CZ61" s="328"/>
      <c r="DA61" s="328"/>
      <c r="DB61" s="328"/>
      <c r="DC61" s="1216"/>
      <c r="DD61" s="1217"/>
      <c r="DE61" s="1217"/>
      <c r="DF61" s="1217"/>
      <c r="DG61" s="1217">
        <f t="shared" si="19"/>
        <v>1062629.68</v>
      </c>
      <c r="DH61" s="1217">
        <f t="shared" si="20"/>
        <v>1222024.132</v>
      </c>
      <c r="DI61" s="1218">
        <v>1</v>
      </c>
      <c r="DJ61" s="1219">
        <f t="shared" si="21"/>
        <v>0</v>
      </c>
      <c r="DK61" s="1217">
        <f t="shared" si="22"/>
        <v>-1062629.68</v>
      </c>
    </row>
    <row r="62" spans="1:115" ht="15.6">
      <c r="A62" s="1210" t="s">
        <v>236</v>
      </c>
      <c r="B62" t="s">
        <v>313</v>
      </c>
      <c r="C62" s="1259"/>
      <c r="D62" s="1260"/>
      <c r="E62" s="1259"/>
      <c r="F62" s="1212">
        <v>20</v>
      </c>
      <c r="G62" s="1222">
        <v>46174</v>
      </c>
      <c r="H62" s="1263">
        <v>1059489.76</v>
      </c>
      <c r="I62" s="45">
        <f t="shared" si="23"/>
        <v>158923.46400000001</v>
      </c>
      <c r="J62" s="45">
        <f t="shared" si="24"/>
        <v>1218413.2239999999</v>
      </c>
      <c r="K62" s="1264"/>
      <c r="L62" s="1264"/>
      <c r="M62" s="1264"/>
      <c r="N62" s="1263"/>
      <c r="O62" s="1264"/>
      <c r="P62" s="1264"/>
      <c r="Q62" s="1264"/>
      <c r="R62" s="1263"/>
      <c r="S62" s="1263"/>
      <c r="T62" s="1263"/>
      <c r="U62" s="1263"/>
      <c r="V62" s="1263"/>
      <c r="W62" s="1263"/>
      <c r="X62" s="1263"/>
      <c r="Y62" s="1263"/>
      <c r="Z62" s="1263"/>
      <c r="AA62" s="1263"/>
      <c r="AB62" s="1263"/>
      <c r="AC62" s="1263"/>
      <c r="AD62" s="1263"/>
      <c r="AE62" s="1263"/>
      <c r="AF62" s="1263"/>
      <c r="AG62" s="1263"/>
      <c r="AH62" s="1263"/>
      <c r="AI62" s="1264"/>
      <c r="AJ62" s="1264"/>
      <c r="AK62" s="1264"/>
      <c r="AL62" s="1265"/>
      <c r="AM62" s="1265"/>
      <c r="AN62" s="1265"/>
      <c r="AO62" s="1265"/>
      <c r="AP62" s="1265"/>
      <c r="AQ62" s="1265"/>
      <c r="AR62" s="1265"/>
      <c r="AS62" s="1265"/>
      <c r="AT62" s="1265"/>
      <c r="AU62" s="1265"/>
      <c r="AV62" s="1265"/>
      <c r="AW62" s="1265"/>
      <c r="AX62" s="1265"/>
      <c r="AY62" s="1265"/>
      <c r="AZ62" s="1265"/>
      <c r="BA62" s="1265"/>
      <c r="BB62" s="1265"/>
      <c r="BC62" s="1265"/>
      <c r="BD62" s="1265"/>
      <c r="BE62" s="1265"/>
      <c r="BF62" s="1265"/>
      <c r="BG62" s="1265"/>
      <c r="BH62" s="1265"/>
      <c r="BI62" s="1265"/>
      <c r="BJ62" s="1265"/>
      <c r="BK62" s="1265"/>
      <c r="BL62" s="1265"/>
      <c r="BM62" s="1265"/>
      <c r="BN62" s="1265"/>
      <c r="BO62" s="1265"/>
      <c r="BP62" s="1265"/>
      <c r="BQ62" s="1265"/>
      <c r="BR62" s="1266"/>
      <c r="BS62" s="1266"/>
      <c r="BT62" s="1266"/>
      <c r="BU62" s="1266"/>
      <c r="BV62" s="1266"/>
      <c r="BW62" s="1265"/>
      <c r="BX62" s="1265"/>
      <c r="BY62" s="1265"/>
      <c r="BZ62" s="1266"/>
      <c r="CA62" s="1264"/>
      <c r="CB62" s="1264"/>
      <c r="CC62" s="1263"/>
      <c r="CD62" s="1263"/>
      <c r="CE62" s="1264"/>
      <c r="CF62" s="1264"/>
      <c r="CG62" s="1264"/>
      <c r="CH62" s="1264"/>
      <c r="CI62" s="1266"/>
      <c r="CJ62" s="1266"/>
      <c r="CK62" s="1266"/>
      <c r="CL62" s="1266"/>
      <c r="CM62" s="1266"/>
      <c r="CN62" s="1266"/>
      <c r="CO62" s="1266"/>
      <c r="CP62" s="1266"/>
      <c r="CQ62" s="1266"/>
      <c r="CR62" s="1266"/>
      <c r="CS62" s="1266"/>
      <c r="CT62" s="1266"/>
      <c r="CU62" s="1266"/>
      <c r="CV62" s="1266"/>
      <c r="CW62" s="1266"/>
      <c r="CX62" s="1266"/>
      <c r="CY62" s="1266"/>
      <c r="CZ62" s="1266"/>
      <c r="DA62" s="1266"/>
      <c r="DB62" s="1266"/>
      <c r="DC62" s="1267"/>
      <c r="DD62" s="1268"/>
      <c r="DE62" s="1268"/>
      <c r="DF62" s="1268"/>
      <c r="DG62" s="1268">
        <f>SUMPRODUCT((MOD(COLUMN(G62:DB62)-COLUMN(G62),4)=1)*G62:DB62)</f>
        <v>1059489.76</v>
      </c>
      <c r="DH62" s="1268">
        <f>SUMPRODUCT((MOD(COLUMN(G62:DB62)-COLUMN(H62),4)=2)*G62:DB62)</f>
        <v>1218413.2239999999</v>
      </c>
      <c r="DI62" s="1218">
        <v>1</v>
      </c>
      <c r="DJ62" s="1219">
        <f t="shared" ref="DJ62:DJ63" si="25">DI62*DD62</f>
        <v>0</v>
      </c>
      <c r="DK62" s="1217">
        <f t="shared" ref="DK62:DK63" si="26">DJ62-DG62</f>
        <v>-1059489.76</v>
      </c>
    </row>
    <row r="63" spans="1:115" ht="15.6">
      <c r="A63" s="1210" t="s">
        <v>236</v>
      </c>
      <c r="B63" t="s">
        <v>313</v>
      </c>
      <c r="C63" s="1259"/>
      <c r="D63" s="1260"/>
      <c r="E63" s="1259"/>
      <c r="F63" s="1212">
        <v>21</v>
      </c>
      <c r="G63" s="1222">
        <v>46204</v>
      </c>
      <c r="H63" s="1263">
        <v>1098411.44</v>
      </c>
      <c r="I63" s="45">
        <f t="shared" si="23"/>
        <v>164761.71599999999</v>
      </c>
      <c r="J63" s="45">
        <f t="shared" si="24"/>
        <v>1263173.156</v>
      </c>
      <c r="K63" s="1264"/>
      <c r="L63" s="1264"/>
      <c r="M63" s="1264"/>
      <c r="N63" s="1263"/>
      <c r="O63" s="1264"/>
      <c r="P63" s="1264"/>
      <c r="Q63" s="1264"/>
      <c r="R63" s="1263"/>
      <c r="S63" s="1263"/>
      <c r="T63" s="1263"/>
      <c r="U63" s="1263"/>
      <c r="V63" s="1263"/>
      <c r="W63" s="1263"/>
      <c r="X63" s="1263"/>
      <c r="Y63" s="1263"/>
      <c r="Z63" s="1263"/>
      <c r="AA63" s="1263"/>
      <c r="AB63" s="1263"/>
      <c r="AC63" s="1263"/>
      <c r="AD63" s="1263"/>
      <c r="AE63" s="1263"/>
      <c r="AF63" s="1263"/>
      <c r="AG63" s="1263"/>
      <c r="AH63" s="1263"/>
      <c r="AI63" s="1264"/>
      <c r="AJ63" s="1264"/>
      <c r="AK63" s="1264"/>
      <c r="AL63" s="1265"/>
      <c r="AM63" s="1265"/>
      <c r="AN63" s="1265"/>
      <c r="AO63" s="1265"/>
      <c r="AP63" s="1265"/>
      <c r="AQ63" s="1265"/>
      <c r="AR63" s="1265"/>
      <c r="AS63" s="1265"/>
      <c r="AT63" s="1265"/>
      <c r="AU63" s="1265"/>
      <c r="AV63" s="1265"/>
      <c r="AW63" s="1265"/>
      <c r="AX63" s="1265"/>
      <c r="AY63" s="1265"/>
      <c r="AZ63" s="1265"/>
      <c r="BA63" s="1265"/>
      <c r="BB63" s="1265"/>
      <c r="BC63" s="1265"/>
      <c r="BD63" s="1265"/>
      <c r="BE63" s="1265"/>
      <c r="BF63" s="1265"/>
      <c r="BG63" s="1265"/>
      <c r="BH63" s="1265"/>
      <c r="BI63" s="1265"/>
      <c r="BJ63" s="1265"/>
      <c r="BK63" s="1265"/>
      <c r="BL63" s="1265"/>
      <c r="BM63" s="1265"/>
      <c r="BN63" s="1265"/>
      <c r="BO63" s="1265"/>
      <c r="BP63" s="1265"/>
      <c r="BQ63" s="1265"/>
      <c r="BR63" s="1266"/>
      <c r="BS63" s="1266"/>
      <c r="BT63" s="1266"/>
      <c r="BU63" s="1266"/>
      <c r="BV63" s="1266"/>
      <c r="BW63" s="1265"/>
      <c r="BX63" s="1265"/>
      <c r="BY63" s="1265"/>
      <c r="BZ63" s="1266"/>
      <c r="CA63" s="1264"/>
      <c r="CB63" s="1264"/>
      <c r="CC63" s="1263"/>
      <c r="CD63" s="1263"/>
      <c r="CE63" s="1264"/>
      <c r="CF63" s="1264"/>
      <c r="CG63" s="1264"/>
      <c r="CH63" s="1264"/>
      <c r="CI63" s="1266"/>
      <c r="CJ63" s="1266"/>
      <c r="CK63" s="1266"/>
      <c r="CL63" s="1266"/>
      <c r="CM63" s="1266"/>
      <c r="CN63" s="1266"/>
      <c r="CO63" s="1266"/>
      <c r="CP63" s="1266"/>
      <c r="CQ63" s="1266"/>
      <c r="CR63" s="1266"/>
      <c r="CS63" s="1266"/>
      <c r="CT63" s="1266"/>
      <c r="CU63" s="1266"/>
      <c r="CV63" s="1266"/>
      <c r="CW63" s="1266"/>
      <c r="CX63" s="1266"/>
      <c r="CY63" s="1266"/>
      <c r="CZ63" s="1266"/>
      <c r="DA63" s="1266"/>
      <c r="DB63" s="1266"/>
      <c r="DC63" s="1267"/>
      <c r="DD63" s="1268"/>
      <c r="DE63" s="1268"/>
      <c r="DF63" s="1268"/>
      <c r="DG63" s="1268">
        <f>SUMPRODUCT((MOD(COLUMN(G63:DB63)-COLUMN(G63),4)=1)*G63:DB63)</f>
        <v>1098411.44</v>
      </c>
      <c r="DH63" s="1268">
        <f>SUMPRODUCT((MOD(COLUMN(G63:DB63)-COLUMN(H63),4)=2)*G63:DB63)</f>
        <v>1263173.156</v>
      </c>
      <c r="DI63" s="1218">
        <v>1</v>
      </c>
      <c r="DJ63" s="1219">
        <f t="shared" si="25"/>
        <v>0</v>
      </c>
      <c r="DK63" s="1217">
        <f t="shared" si="26"/>
        <v>-1098411.44</v>
      </c>
    </row>
    <row r="64" spans="1:115" ht="15.6">
      <c r="A64" s="1210" t="s">
        <v>236</v>
      </c>
      <c r="B64" t="s">
        <v>313</v>
      </c>
      <c r="C64" s="1259"/>
      <c r="D64" s="1260"/>
      <c r="E64" s="1259"/>
      <c r="F64" s="1261"/>
      <c r="G64" s="1262"/>
      <c r="H64" s="1263"/>
      <c r="I64" s="1263"/>
      <c r="J64" s="1263"/>
      <c r="K64" s="1264"/>
      <c r="L64" s="1264"/>
      <c r="M64" s="1264"/>
      <c r="N64" s="1263"/>
      <c r="O64" s="1264"/>
      <c r="P64" s="1264"/>
      <c r="Q64" s="1264"/>
      <c r="R64" s="1263"/>
      <c r="S64" s="1263"/>
      <c r="T64" s="1263"/>
      <c r="U64" s="1263"/>
      <c r="V64" s="1263"/>
      <c r="W64" s="1263"/>
      <c r="X64" s="1263"/>
      <c r="Y64" s="1263"/>
      <c r="Z64" s="1263"/>
      <c r="AA64" s="1263"/>
      <c r="AB64" s="1263"/>
      <c r="AC64" s="1263"/>
      <c r="AD64" s="1263"/>
      <c r="AE64" s="1263"/>
      <c r="AF64" s="1263"/>
      <c r="AG64" s="1263"/>
      <c r="AH64" s="1263"/>
      <c r="AI64" s="1264"/>
      <c r="AJ64" s="1264"/>
      <c r="AK64" s="1264"/>
      <c r="AL64" s="1265"/>
      <c r="AM64" s="1265"/>
      <c r="AN64" s="1265"/>
      <c r="AO64" s="1265"/>
      <c r="AP64" s="1265"/>
      <c r="AQ64" s="1265"/>
      <c r="AR64" s="1265"/>
      <c r="AS64" s="1265"/>
      <c r="AT64" s="1265"/>
      <c r="AU64" s="1265"/>
      <c r="AV64" s="1265"/>
      <c r="AW64" s="1265"/>
      <c r="AX64" s="1265"/>
      <c r="AY64" s="1265"/>
      <c r="AZ64" s="1265"/>
      <c r="BA64" s="1265"/>
      <c r="BB64" s="1265"/>
      <c r="BC64" s="1265"/>
      <c r="BD64" s="1265"/>
      <c r="BE64" s="1265"/>
      <c r="BF64" s="1265"/>
      <c r="BG64" s="1265"/>
      <c r="BH64" s="1265"/>
      <c r="BI64" s="1265"/>
      <c r="BJ64" s="1265"/>
      <c r="BK64" s="1265"/>
      <c r="BL64" s="1265"/>
      <c r="BM64" s="1265"/>
      <c r="BN64" s="1265"/>
      <c r="BO64" s="1265"/>
      <c r="BP64" s="1265"/>
      <c r="BQ64" s="1265"/>
      <c r="BR64" s="1266"/>
      <c r="BS64" s="1266"/>
      <c r="BT64" s="1266"/>
      <c r="BU64" s="1266"/>
      <c r="BV64" s="1266"/>
      <c r="BW64" s="1265"/>
      <c r="BX64" s="1265"/>
      <c r="BY64" s="1265"/>
      <c r="BZ64" s="1266"/>
      <c r="CA64" s="1264"/>
      <c r="CB64" s="1264"/>
      <c r="CC64" s="1263"/>
      <c r="CD64" s="1263"/>
      <c r="CE64" s="1264"/>
      <c r="CF64" s="1264"/>
      <c r="CG64" s="1264"/>
      <c r="CH64" s="1264"/>
      <c r="CI64" s="1266"/>
      <c r="CJ64" s="1266"/>
      <c r="CK64" s="1266"/>
      <c r="CL64" s="1266"/>
      <c r="CM64" s="1266"/>
      <c r="CN64" s="1266"/>
      <c r="CO64" s="1266"/>
      <c r="CP64" s="1266"/>
      <c r="CQ64" s="1266"/>
      <c r="CR64" s="1266"/>
      <c r="CS64" s="1266"/>
      <c r="CT64" s="1266"/>
      <c r="CU64" s="1266"/>
      <c r="CV64" s="1266"/>
      <c r="CW64" s="1266"/>
      <c r="CX64" s="1266"/>
      <c r="CY64" s="1266"/>
      <c r="CZ64" s="1266"/>
      <c r="DA64" s="1266"/>
      <c r="DB64" s="1266"/>
      <c r="DC64" s="1267"/>
      <c r="DD64" s="1268"/>
      <c r="DE64" s="1268"/>
      <c r="DF64" s="1268"/>
      <c r="DG64" s="1268">
        <f>SUMPRODUCT((MOD(COLUMN(G64:DB64)-COLUMN(G64),4)=1)*G64:DB64)</f>
        <v>0</v>
      </c>
      <c r="DH64" s="1268">
        <f>SUMPRODUCT((MOD(COLUMN(G64:DB64)-COLUMN(H64),4)=2)*G64:DB64)</f>
        <v>0</v>
      </c>
      <c r="DI64" s="1269"/>
      <c r="DJ64" s="1270"/>
      <c r="DK64" s="1268"/>
    </row>
    <row r="65" spans="1:122" ht="15.6">
      <c r="A65" s="1210" t="s">
        <v>236</v>
      </c>
      <c r="B65" t="s">
        <v>313</v>
      </c>
      <c r="C65" s="1210"/>
      <c r="D65" s="1225"/>
      <c r="E65" s="1210"/>
      <c r="F65" s="1212"/>
      <c r="G65" s="1222"/>
      <c r="H65" s="45"/>
      <c r="I65" s="45"/>
      <c r="J65" s="45"/>
      <c r="K65" s="247"/>
      <c r="L65" s="247"/>
      <c r="M65" s="247"/>
      <c r="N65" s="45"/>
      <c r="O65" s="247"/>
      <c r="P65" s="247"/>
      <c r="Q65" s="247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247"/>
      <c r="AJ65" s="247"/>
      <c r="AK65" s="247"/>
      <c r="AL65" s="304"/>
      <c r="AM65" s="304"/>
      <c r="AN65" s="304"/>
      <c r="AO65" s="304"/>
      <c r="AP65" s="304"/>
      <c r="AQ65" s="304"/>
      <c r="AR65" s="304"/>
      <c r="AS65" s="304"/>
      <c r="AT65" s="304"/>
      <c r="AU65" s="304"/>
      <c r="AV65" s="304"/>
      <c r="AW65" s="304"/>
      <c r="AX65" s="304"/>
      <c r="AY65" s="304"/>
      <c r="AZ65" s="304"/>
      <c r="BA65" s="304"/>
      <c r="BB65" s="304"/>
      <c r="BC65" s="304"/>
      <c r="BD65" s="304"/>
      <c r="BE65" s="304"/>
      <c r="BF65" s="304"/>
      <c r="BG65" s="304"/>
      <c r="BH65" s="304"/>
      <c r="BI65" s="304"/>
      <c r="BJ65" s="304"/>
      <c r="BK65" s="304"/>
      <c r="BL65" s="304"/>
      <c r="BM65" s="304"/>
      <c r="BN65" s="304"/>
      <c r="BO65" s="304"/>
      <c r="BP65" s="304"/>
      <c r="BQ65" s="304"/>
      <c r="BR65" s="328"/>
      <c r="BS65" s="328"/>
      <c r="BT65" s="328"/>
      <c r="BU65" s="328"/>
      <c r="BV65" s="328"/>
      <c r="BW65" s="304"/>
      <c r="BX65" s="304"/>
      <c r="BY65" s="304"/>
      <c r="BZ65" s="328"/>
      <c r="CA65" s="247"/>
      <c r="CB65" s="247"/>
      <c r="CC65" s="45"/>
      <c r="CD65" s="45"/>
      <c r="CE65" s="247"/>
      <c r="CF65" s="247"/>
      <c r="CG65" s="247"/>
      <c r="CH65" s="247"/>
      <c r="CI65" s="328"/>
      <c r="CJ65" s="328"/>
      <c r="CK65" s="328"/>
      <c r="CL65" s="328"/>
      <c r="CM65" s="328"/>
      <c r="CN65" s="328"/>
      <c r="CO65" s="328"/>
      <c r="CP65" s="328"/>
      <c r="CQ65" s="328"/>
      <c r="CR65" s="328"/>
      <c r="CS65" s="328"/>
      <c r="CT65" s="328"/>
      <c r="CU65" s="328"/>
      <c r="CV65" s="328"/>
      <c r="CW65" s="328"/>
      <c r="CX65" s="328"/>
      <c r="CY65" s="328"/>
      <c r="CZ65" s="328"/>
      <c r="DA65" s="328"/>
      <c r="DB65" s="328"/>
      <c r="DC65" s="1216"/>
      <c r="DD65" s="1217"/>
      <c r="DE65" s="1217"/>
      <c r="DF65" s="1217"/>
      <c r="DG65" s="1217">
        <f t="shared" si="19"/>
        <v>0</v>
      </c>
      <c r="DH65" s="1217">
        <f t="shared" si="20"/>
        <v>0</v>
      </c>
      <c r="DI65" s="1218"/>
      <c r="DJ65" s="1219"/>
      <c r="DK65" s="1217"/>
    </row>
    <row r="66" spans="1:122" ht="15.6">
      <c r="A66" s="1210" t="s">
        <v>316</v>
      </c>
      <c r="B66" t="s">
        <v>317</v>
      </c>
      <c r="C66" s="1210">
        <v>1</v>
      </c>
      <c r="D66" s="1226" t="s">
        <v>318</v>
      </c>
      <c r="E66" s="1210"/>
      <c r="F66" s="1212">
        <v>7940002</v>
      </c>
      <c r="G66" s="1222">
        <v>45685</v>
      </c>
      <c r="H66" s="45">
        <f>'Engicon - P1'!M31</f>
        <v>3062572.2</v>
      </c>
      <c r="I66" s="45">
        <f>H66*15%</f>
        <v>459385.83</v>
      </c>
      <c r="J66" s="45">
        <f>H66+I66</f>
        <v>3521958.0300000003</v>
      </c>
      <c r="K66" s="1222">
        <v>45848</v>
      </c>
      <c r="L66" s="45">
        <f>'Engicon - P1'!O31</f>
        <v>1814857.6</v>
      </c>
      <c r="M66" s="45">
        <f>L66*15%</f>
        <v>272228.64</v>
      </c>
      <c r="N66" s="45">
        <f>L66+M66</f>
        <v>2087086.2400000002</v>
      </c>
      <c r="O66" s="247"/>
      <c r="P66" s="247"/>
      <c r="Q66" s="247"/>
      <c r="R66" s="45"/>
      <c r="S66" s="45"/>
      <c r="T66" s="45"/>
      <c r="U66" s="45"/>
      <c r="V66" s="45"/>
      <c r="W66" s="45"/>
      <c r="X66" s="45"/>
      <c r="Y66" s="45"/>
      <c r="Z66" s="45"/>
      <c r="AA66" s="247">
        <v>45938</v>
      </c>
      <c r="AB66" s="45">
        <f>'Engicon - P1'!S31</f>
        <v>2296929.16</v>
      </c>
      <c r="AC66" s="45">
        <f>AB66*15%</f>
        <v>344539.37400000001</v>
      </c>
      <c r="AD66" s="45">
        <f>AB66+AC66</f>
        <v>2641468.534</v>
      </c>
      <c r="AE66" s="45"/>
      <c r="AF66" s="45"/>
      <c r="AG66" s="45"/>
      <c r="AH66" s="45"/>
      <c r="AI66" s="247">
        <v>45991</v>
      </c>
      <c r="AJ66" s="45">
        <f>'Engicon - P1'!U31</f>
        <v>765643.05</v>
      </c>
      <c r="AK66" s="45">
        <f>AJ66*15%</f>
        <v>114846.4575</v>
      </c>
      <c r="AL66" s="45">
        <f>AJ66+AK66</f>
        <v>880489.50750000007</v>
      </c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  <c r="AZ66" s="304"/>
      <c r="BA66" s="304"/>
      <c r="BB66" s="304"/>
      <c r="BC66" s="304"/>
      <c r="BD66" s="304"/>
      <c r="BE66" s="304"/>
      <c r="BF66" s="304"/>
      <c r="BG66" s="304"/>
      <c r="BH66" s="304"/>
      <c r="BI66" s="304"/>
      <c r="BJ66" s="304"/>
      <c r="BK66" s="304"/>
      <c r="BL66" s="304"/>
      <c r="BM66" s="304"/>
      <c r="BN66" s="304"/>
      <c r="BO66" s="304"/>
      <c r="BP66" s="304"/>
      <c r="BQ66" s="304"/>
      <c r="BR66" s="328"/>
      <c r="BS66" s="328"/>
      <c r="BT66" s="328"/>
      <c r="BU66" s="328"/>
      <c r="BV66" s="328"/>
      <c r="BW66" s="304"/>
      <c r="BX66" s="304"/>
      <c r="BY66" s="304"/>
      <c r="BZ66" s="328"/>
      <c r="CA66" s="247"/>
      <c r="CB66" s="247"/>
      <c r="CC66" s="247"/>
      <c r="CD66" s="247"/>
      <c r="CE66" s="247"/>
      <c r="CF66" s="247"/>
      <c r="CG66" s="247"/>
      <c r="CH66" s="247"/>
      <c r="CI66" s="328"/>
      <c r="CJ66" s="328"/>
      <c r="CK66" s="328"/>
      <c r="CL66" s="328"/>
      <c r="CM66" s="328"/>
      <c r="CN66" s="328"/>
      <c r="CO66" s="328"/>
      <c r="CP66" s="328"/>
      <c r="CQ66" s="328"/>
      <c r="CR66" s="328"/>
      <c r="CS66" s="328"/>
      <c r="CT66" s="328"/>
      <c r="CU66" s="328"/>
      <c r="CV66" s="328"/>
      <c r="CW66" s="328"/>
      <c r="CX66" s="328"/>
      <c r="CY66" s="328"/>
      <c r="CZ66" s="328"/>
      <c r="DA66" s="328"/>
      <c r="DB66" s="328"/>
      <c r="DC66" s="1216"/>
      <c r="DD66" s="1217">
        <f>F66</f>
        <v>7940002</v>
      </c>
      <c r="DE66" s="1217">
        <f t="shared" ref="DE66:DE75" si="27">DD66*15%</f>
        <v>1191000.3</v>
      </c>
      <c r="DF66" s="1217">
        <f t="shared" ref="DF66:DF75" si="28">DD66+DE66</f>
        <v>9131002.3000000007</v>
      </c>
      <c r="DG66" s="1217">
        <f t="shared" si="6"/>
        <v>7940002.0100000007</v>
      </c>
      <c r="DH66" s="1217">
        <f t="shared" si="7"/>
        <v>9131002.3114999998</v>
      </c>
      <c r="DI66" s="1218">
        <v>1</v>
      </c>
      <c r="DJ66" s="1219">
        <f t="shared" si="17"/>
        <v>7940002</v>
      </c>
      <c r="DK66" s="1217">
        <f t="shared" si="18"/>
        <v>-1.0000000707805157E-2</v>
      </c>
    </row>
    <row r="67" spans="1:122" ht="15.6">
      <c r="A67" s="1210" t="s">
        <v>316</v>
      </c>
      <c r="B67" t="s">
        <v>317</v>
      </c>
      <c r="C67" s="1210">
        <v>2</v>
      </c>
      <c r="D67" s="1226" t="s">
        <v>336</v>
      </c>
      <c r="E67" s="1210" t="s">
        <v>337</v>
      </c>
      <c r="F67" s="1212">
        <v>1658659</v>
      </c>
      <c r="G67" s="1222">
        <v>45685</v>
      </c>
      <c r="H67" s="45">
        <f>'Engicon - P1'!M15</f>
        <v>746396.55</v>
      </c>
      <c r="I67" s="45">
        <f>H67*15%</f>
        <v>111959.4825</v>
      </c>
      <c r="J67" s="45">
        <f>H67+I67</f>
        <v>858356.03250000009</v>
      </c>
      <c r="K67" s="1222">
        <v>45848</v>
      </c>
      <c r="L67" s="45">
        <f>'Engicon - P1'!O15</f>
        <v>912262.45000000007</v>
      </c>
      <c r="M67" s="45">
        <f>L67*15%</f>
        <v>136839.36749999999</v>
      </c>
      <c r="N67" s="45">
        <f>L67+M67</f>
        <v>1049101.8175000001</v>
      </c>
      <c r="O67" s="1222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247"/>
      <c r="AJ67" s="247"/>
      <c r="AK67" s="247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  <c r="AZ67" s="304"/>
      <c r="BA67" s="304"/>
      <c r="BB67" s="304"/>
      <c r="BC67" s="304"/>
      <c r="BD67" s="304"/>
      <c r="BE67" s="304"/>
      <c r="BF67" s="304"/>
      <c r="BG67" s="304"/>
      <c r="BH67" s="304"/>
      <c r="BI67" s="304"/>
      <c r="BJ67" s="304"/>
      <c r="BK67" s="304"/>
      <c r="BL67" s="304"/>
      <c r="BM67" s="304"/>
      <c r="BN67" s="304"/>
      <c r="BO67" s="304"/>
      <c r="BP67" s="304"/>
      <c r="BQ67" s="304"/>
      <c r="BR67" s="328"/>
      <c r="BS67" s="328"/>
      <c r="BT67" s="328"/>
      <c r="BU67" s="328"/>
      <c r="BV67" s="328"/>
      <c r="BW67" s="304"/>
      <c r="BX67" s="304"/>
      <c r="BY67" s="304"/>
      <c r="BZ67" s="328"/>
      <c r="CA67" s="247"/>
      <c r="CB67" s="247"/>
      <c r="CC67" s="247"/>
      <c r="CD67" s="247"/>
      <c r="CE67" s="247"/>
      <c r="CF67" s="247"/>
      <c r="CG67" s="247"/>
      <c r="CH67" s="247"/>
      <c r="CI67" s="328"/>
      <c r="CJ67" s="328"/>
      <c r="CK67" s="328"/>
      <c r="CL67" s="328"/>
      <c r="CM67" s="328"/>
      <c r="CN67" s="328"/>
      <c r="CO67" s="328"/>
      <c r="CP67" s="328"/>
      <c r="CQ67" s="328"/>
      <c r="CR67" s="328"/>
      <c r="CS67" s="328"/>
      <c r="CT67" s="328"/>
      <c r="CU67" s="328"/>
      <c r="CV67" s="328"/>
      <c r="CW67" s="328"/>
      <c r="CX67" s="328"/>
      <c r="CY67" s="328"/>
      <c r="CZ67" s="328"/>
      <c r="DA67" s="328"/>
      <c r="DB67" s="328"/>
      <c r="DC67" s="1216"/>
      <c r="DD67" s="1217">
        <f>F67</f>
        <v>1658659</v>
      </c>
      <c r="DE67" s="1217">
        <f t="shared" si="27"/>
        <v>248798.84999999998</v>
      </c>
      <c r="DF67" s="1217">
        <f t="shared" si="28"/>
        <v>1907457.85</v>
      </c>
      <c r="DG67" s="1217">
        <f t="shared" si="6"/>
        <v>1658659</v>
      </c>
      <c r="DH67" s="1217">
        <f t="shared" si="7"/>
        <v>1907457.85</v>
      </c>
      <c r="DI67" s="1218">
        <v>1</v>
      </c>
      <c r="DJ67" s="1219">
        <f t="shared" si="17"/>
        <v>1658659</v>
      </c>
      <c r="DK67" s="1217">
        <f t="shared" si="18"/>
        <v>0</v>
      </c>
    </row>
    <row r="68" spans="1:122" ht="15.6">
      <c r="A68" s="1210" t="s">
        <v>316</v>
      </c>
      <c r="B68" t="s">
        <v>317</v>
      </c>
      <c r="C68" s="1210">
        <v>3</v>
      </c>
      <c r="D68" s="1226" t="s">
        <v>348</v>
      </c>
      <c r="E68" s="1210" t="s">
        <v>346</v>
      </c>
      <c r="F68" s="1212">
        <v>1192999</v>
      </c>
      <c r="G68" s="1222"/>
      <c r="H68" s="45"/>
      <c r="I68" s="45"/>
      <c r="J68" s="45"/>
      <c r="K68" s="1222"/>
      <c r="L68" s="45"/>
      <c r="M68" s="45"/>
      <c r="N68" s="45"/>
      <c r="O68" s="1222">
        <v>45859</v>
      </c>
      <c r="P68" s="45">
        <f>'Engicon - P1'!Q42</f>
        <v>119240</v>
      </c>
      <c r="Q68" s="45">
        <f>P68*15%</f>
        <v>17886</v>
      </c>
      <c r="R68" s="45">
        <f>P68+Q68</f>
        <v>137126</v>
      </c>
      <c r="S68" s="1222">
        <v>45893</v>
      </c>
      <c r="T68" s="45">
        <f>'Engicon - P1'!S42</f>
        <v>417907</v>
      </c>
      <c r="U68" s="45">
        <f>T68*15%</f>
        <v>62686.049999999996</v>
      </c>
      <c r="V68" s="45">
        <f>T68+U68</f>
        <v>480593.05</v>
      </c>
      <c r="W68" s="247">
        <v>45929</v>
      </c>
      <c r="X68" s="45">
        <f>'Engicon - P1'!W42</f>
        <v>268306</v>
      </c>
      <c r="Y68" s="45">
        <f>X68*15%</f>
        <v>40245.9</v>
      </c>
      <c r="Z68" s="45">
        <f>X68+Y68</f>
        <v>308551.90000000002</v>
      </c>
      <c r="AA68" s="45"/>
      <c r="AB68" s="45"/>
      <c r="AC68" s="45"/>
      <c r="AD68" s="45"/>
      <c r="AE68" s="247">
        <v>45959</v>
      </c>
      <c r="AF68" s="45">
        <f>'Engicon - P1'!Y42</f>
        <v>387546</v>
      </c>
      <c r="AG68" s="45">
        <f>AF68*15%</f>
        <v>58131.9</v>
      </c>
      <c r="AH68" s="45">
        <f>'Invoices (2)'!$AF68+'Invoices (2)'!$AG68</f>
        <v>445677.9</v>
      </c>
      <c r="AI68" s="247"/>
      <c r="AJ68" s="247"/>
      <c r="AK68" s="247"/>
      <c r="AL68" s="304"/>
      <c r="AM68" s="304"/>
      <c r="AN68" s="304"/>
      <c r="AO68" s="304"/>
      <c r="AP68" s="304"/>
      <c r="AQ68" s="304"/>
      <c r="AR68" s="304"/>
      <c r="AS68" s="304"/>
      <c r="AT68" s="304"/>
      <c r="AU68" s="304"/>
      <c r="AV68" s="304"/>
      <c r="AW68" s="304"/>
      <c r="AX68" s="304"/>
      <c r="AY68" s="304"/>
      <c r="AZ68" s="304"/>
      <c r="BA68" s="304"/>
      <c r="BB68" s="304"/>
      <c r="BC68" s="304"/>
      <c r="BD68" s="304"/>
      <c r="BE68" s="304"/>
      <c r="BF68" s="304"/>
      <c r="BG68" s="304"/>
      <c r="BH68" s="304"/>
      <c r="BI68" s="304"/>
      <c r="BJ68" s="304"/>
      <c r="BK68" s="304"/>
      <c r="BL68" s="304"/>
      <c r="BM68" s="304"/>
      <c r="BN68" s="304"/>
      <c r="BO68" s="304"/>
      <c r="BP68" s="304"/>
      <c r="BQ68" s="304"/>
      <c r="BR68" s="328"/>
      <c r="BS68" s="328"/>
      <c r="BT68" s="328"/>
      <c r="BU68" s="328"/>
      <c r="BV68" s="328"/>
      <c r="BW68" s="304"/>
      <c r="BX68" s="304"/>
      <c r="BY68" s="304"/>
      <c r="BZ68" s="328"/>
      <c r="CA68" s="247"/>
      <c r="CB68" s="247"/>
      <c r="CC68" s="247"/>
      <c r="CD68" s="247"/>
      <c r="CE68" s="247"/>
      <c r="CF68" s="247"/>
      <c r="CG68" s="247"/>
      <c r="CH68" s="247"/>
      <c r="CI68" s="328"/>
      <c r="CJ68" s="328"/>
      <c r="CK68" s="328"/>
      <c r="CL68" s="328"/>
      <c r="CM68" s="328"/>
      <c r="CN68" s="328"/>
      <c r="CO68" s="328"/>
      <c r="CP68" s="328"/>
      <c r="CQ68" s="328"/>
      <c r="CR68" s="328"/>
      <c r="CS68" s="328"/>
      <c r="CT68" s="328"/>
      <c r="CU68" s="328"/>
      <c r="CV68" s="328"/>
      <c r="CW68" s="328"/>
      <c r="CX68" s="328"/>
      <c r="CY68" s="328"/>
      <c r="CZ68" s="328"/>
      <c r="DA68" s="328"/>
      <c r="DB68" s="328"/>
      <c r="DC68" s="1216"/>
      <c r="DD68" s="1217">
        <f>F68</f>
        <v>1192999</v>
      </c>
      <c r="DE68" s="1217">
        <f t="shared" si="27"/>
        <v>178949.85</v>
      </c>
      <c r="DF68" s="1217">
        <f t="shared" si="28"/>
        <v>1371948.85</v>
      </c>
      <c r="DG68" s="1217">
        <f t="shared" si="6"/>
        <v>1192999</v>
      </c>
      <c r="DH68" s="1217">
        <f t="shared" si="7"/>
        <v>1371948.85</v>
      </c>
      <c r="DI68" s="1218">
        <v>1</v>
      </c>
      <c r="DJ68" s="1219">
        <f t="shared" si="17"/>
        <v>1192999</v>
      </c>
      <c r="DK68" s="1217">
        <f t="shared" si="18"/>
        <v>0</v>
      </c>
    </row>
    <row r="69" spans="1:122" ht="15.6">
      <c r="A69" s="1210" t="s">
        <v>316</v>
      </c>
      <c r="B69" t="s">
        <v>317</v>
      </c>
      <c r="C69" s="1210">
        <v>4</v>
      </c>
      <c r="D69" s="1226" t="s">
        <v>349</v>
      </c>
      <c r="E69" s="1210" t="s">
        <v>347</v>
      </c>
      <c r="F69" s="1212">
        <v>1318399</v>
      </c>
      <c r="G69" s="1222"/>
      <c r="H69" s="45"/>
      <c r="I69" s="45"/>
      <c r="J69" s="45"/>
      <c r="K69" s="1222"/>
      <c r="L69" s="45"/>
      <c r="M69" s="45"/>
      <c r="N69" s="45"/>
      <c r="O69" s="1222">
        <v>45859</v>
      </c>
      <c r="P69" s="45">
        <f>'Engicon - P1'!Q55</f>
        <v>131844</v>
      </c>
      <c r="Q69" s="45">
        <f>P69*15%</f>
        <v>19776.599999999999</v>
      </c>
      <c r="R69" s="45">
        <f>P69+Q69</f>
        <v>151620.6</v>
      </c>
      <c r="S69" s="1222">
        <v>45893</v>
      </c>
      <c r="T69" s="45">
        <f>'Engicon - P1'!S55</f>
        <v>461503</v>
      </c>
      <c r="U69" s="45">
        <f>T69*15%</f>
        <v>69225.45</v>
      </c>
      <c r="V69" s="45">
        <f>T69+U69</f>
        <v>530728.44999999995</v>
      </c>
      <c r="W69" s="247">
        <v>45929</v>
      </c>
      <c r="X69" s="45">
        <f>'Engicon - P1'!W55</f>
        <v>296604</v>
      </c>
      <c r="Y69" s="45">
        <f>X69*15%</f>
        <v>44490.6</v>
      </c>
      <c r="Z69" s="45">
        <f>X69+Y69</f>
        <v>341094.6</v>
      </c>
      <c r="AA69" s="45"/>
      <c r="AB69" s="45"/>
      <c r="AC69" s="45"/>
      <c r="AD69" s="45"/>
      <c r="AE69" s="247">
        <v>45959</v>
      </c>
      <c r="AF69" s="45">
        <f>'Engicon - P1'!Y55</f>
        <v>428448</v>
      </c>
      <c r="AG69" s="45">
        <f>AF69*15%</f>
        <v>64267.199999999997</v>
      </c>
      <c r="AH69" s="45">
        <f>'Invoices (2)'!$AF69+'Invoices (2)'!$AG69</f>
        <v>492715.2</v>
      </c>
      <c r="AI69" s="247"/>
      <c r="AJ69" s="247"/>
      <c r="AK69" s="247"/>
      <c r="AL69" s="304"/>
      <c r="AM69" s="304"/>
      <c r="AN69" s="304"/>
      <c r="AO69" s="304"/>
      <c r="AP69" s="304"/>
      <c r="AQ69" s="304"/>
      <c r="AR69" s="304"/>
      <c r="AS69" s="304"/>
      <c r="AT69" s="304"/>
      <c r="AU69" s="304"/>
      <c r="AV69" s="304"/>
      <c r="AW69" s="304"/>
      <c r="AX69" s="304"/>
      <c r="AY69" s="304"/>
      <c r="AZ69" s="304"/>
      <c r="BA69" s="304"/>
      <c r="BB69" s="304"/>
      <c r="BC69" s="304"/>
      <c r="BD69" s="304"/>
      <c r="BE69" s="304"/>
      <c r="BF69" s="304"/>
      <c r="BG69" s="304"/>
      <c r="BH69" s="304"/>
      <c r="BI69" s="304"/>
      <c r="BJ69" s="304"/>
      <c r="BK69" s="304"/>
      <c r="BL69" s="304"/>
      <c r="BM69" s="304"/>
      <c r="BN69" s="304"/>
      <c r="BO69" s="304"/>
      <c r="BP69" s="304"/>
      <c r="BQ69" s="304"/>
      <c r="BR69" s="328"/>
      <c r="BS69" s="328"/>
      <c r="BT69" s="328"/>
      <c r="BU69" s="328"/>
      <c r="BV69" s="328"/>
      <c r="BW69" s="304"/>
      <c r="BX69" s="304"/>
      <c r="BY69" s="304"/>
      <c r="BZ69" s="328"/>
      <c r="CA69" s="247"/>
      <c r="CB69" s="247"/>
      <c r="CC69" s="247"/>
      <c r="CD69" s="247"/>
      <c r="CE69" s="247"/>
      <c r="CF69" s="247"/>
      <c r="CG69" s="247"/>
      <c r="CH69" s="247"/>
      <c r="CI69" s="328"/>
      <c r="CJ69" s="328"/>
      <c r="CK69" s="328"/>
      <c r="CL69" s="328"/>
      <c r="CM69" s="328"/>
      <c r="CN69" s="328"/>
      <c r="CO69" s="328"/>
      <c r="CP69" s="328"/>
      <c r="CQ69" s="328"/>
      <c r="CR69" s="328"/>
      <c r="CS69" s="328"/>
      <c r="CT69" s="328"/>
      <c r="CU69" s="328"/>
      <c r="CV69" s="328"/>
      <c r="CW69" s="328"/>
      <c r="CX69" s="328"/>
      <c r="CY69" s="328"/>
      <c r="CZ69" s="328"/>
      <c r="DA69" s="328"/>
      <c r="DB69" s="328"/>
      <c r="DC69" s="1216"/>
      <c r="DD69" s="1217">
        <f>F69</f>
        <v>1318399</v>
      </c>
      <c r="DE69" s="1217">
        <f t="shared" si="27"/>
        <v>197759.85</v>
      </c>
      <c r="DF69" s="1217">
        <f t="shared" si="28"/>
        <v>1516158.85</v>
      </c>
      <c r="DG69" s="1217">
        <f t="shared" si="6"/>
        <v>1318399</v>
      </c>
      <c r="DH69" s="1217">
        <f t="shared" si="7"/>
        <v>1516158.8499999999</v>
      </c>
      <c r="DI69" s="1218">
        <v>1</v>
      </c>
      <c r="DJ69" s="1219">
        <f t="shared" si="17"/>
        <v>1318399</v>
      </c>
      <c r="DK69" s="1217">
        <f t="shared" si="18"/>
        <v>0</v>
      </c>
    </row>
    <row r="70" spans="1:122" ht="15.6">
      <c r="A70" s="1210" t="s">
        <v>316</v>
      </c>
      <c r="B70" t="s">
        <v>317</v>
      </c>
      <c r="C70" s="1210">
        <v>5</v>
      </c>
      <c r="D70" s="1226" t="s">
        <v>389</v>
      </c>
      <c r="E70" s="1210" t="s">
        <v>390</v>
      </c>
      <c r="F70" s="1212">
        <v>1230000</v>
      </c>
      <c r="G70" s="1222"/>
      <c r="H70" s="45"/>
      <c r="I70" s="45"/>
      <c r="J70" s="45"/>
      <c r="K70" s="247"/>
      <c r="L70" s="247"/>
      <c r="M70" s="247"/>
      <c r="N70" s="45"/>
      <c r="O70" s="1222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247">
        <v>45959</v>
      </c>
      <c r="AF70" s="45">
        <f>'Engicon - P1'!M66</f>
        <v>123052</v>
      </c>
      <c r="AG70" s="45">
        <f>AF70*15%</f>
        <v>18457.8</v>
      </c>
      <c r="AH70" s="45">
        <f>'Invoices (2)'!$AF70+'Invoices (2)'!$AG70</f>
        <v>141509.79999999999</v>
      </c>
      <c r="AI70" s="247">
        <v>45991</v>
      </c>
      <c r="AJ70" s="45">
        <f>'Engicon - P1'!O66</f>
        <v>122987</v>
      </c>
      <c r="AK70" s="45">
        <f>AJ70*15%</f>
        <v>18448.05</v>
      </c>
      <c r="AL70" s="45">
        <f>AJ70+AK70</f>
        <v>141435.04999999999</v>
      </c>
      <c r="AM70" s="1239">
        <v>46005</v>
      </c>
      <c r="AN70" s="304">
        <v>122987</v>
      </c>
      <c r="AO70" s="304">
        <f>Currentinvoices[[#This Row],[Invoice '# 9 amount]]*15%</f>
        <v>18448.05</v>
      </c>
      <c r="AP70" s="304">
        <f>Currentinvoices[[#This Row],[Invoice '# 9 vat]]+Currentinvoices[[#This Row],[Invoice '# 9 amount]]</f>
        <v>141435.04999999999</v>
      </c>
      <c r="AQ70" s="247">
        <v>46057</v>
      </c>
      <c r="AR70" s="304">
        <f>'Engicon - P1'!Q66</f>
        <v>676477</v>
      </c>
      <c r="AS70" s="304">
        <f>Currentinvoices[[#This Row],[Invoice '# 10 amount]]*15%</f>
        <v>101471.55</v>
      </c>
      <c r="AT70" s="304">
        <f>Currentinvoices[[#This Row],[Invoice '# 10 amount]]+Currentinvoices[[#This Row],[Invoice '# 10 vat]]</f>
        <v>777948.55</v>
      </c>
      <c r="AU70" s="247">
        <v>46125</v>
      </c>
      <c r="AV70" s="304">
        <v>184497</v>
      </c>
      <c r="AW70" s="304">
        <f>Currentinvoices[[#This Row],[Invoice '# 11 amount]]*15%</f>
        <v>27674.55</v>
      </c>
      <c r="AX70" s="304">
        <f>Currentinvoices[[#This Row],[Invoice '# 11 amount]]+Currentinvoices[[#This Row],[Invoice '# 11 vat]]</f>
        <v>212171.55</v>
      </c>
      <c r="AY70" s="304"/>
      <c r="AZ70" s="304"/>
      <c r="BA70" s="304"/>
      <c r="BB70" s="304"/>
      <c r="BC70" s="304"/>
      <c r="BD70" s="304"/>
      <c r="BE70" s="304"/>
      <c r="BF70" s="304"/>
      <c r="BG70" s="304"/>
      <c r="BH70" s="304"/>
      <c r="BI70" s="304"/>
      <c r="BJ70" s="304"/>
      <c r="BK70" s="304"/>
      <c r="BL70" s="304"/>
      <c r="BM70" s="304"/>
      <c r="BN70" s="304"/>
      <c r="BO70" s="304"/>
      <c r="BP70" s="304"/>
      <c r="BQ70" s="304"/>
      <c r="BR70" s="328"/>
      <c r="BS70" s="328"/>
      <c r="BT70" s="328"/>
      <c r="BU70" s="328"/>
      <c r="BV70" s="328"/>
      <c r="BW70" s="304"/>
      <c r="BX70" s="304"/>
      <c r="BY70" s="304"/>
      <c r="BZ70" s="328"/>
      <c r="CA70" s="247"/>
      <c r="CB70" s="247"/>
      <c r="CC70" s="247"/>
      <c r="CD70" s="247"/>
      <c r="CE70" s="247"/>
      <c r="CF70" s="247"/>
      <c r="CG70" s="247"/>
      <c r="CH70" s="247"/>
      <c r="CI70" s="328"/>
      <c r="CJ70" s="328"/>
      <c r="CK70" s="328"/>
      <c r="CL70" s="328"/>
      <c r="CM70" s="328"/>
      <c r="CN70" s="328"/>
      <c r="CO70" s="328"/>
      <c r="CP70" s="328"/>
      <c r="CQ70" s="328"/>
      <c r="CR70" s="328"/>
      <c r="CS70" s="328"/>
      <c r="CT70" s="328"/>
      <c r="CU70" s="328"/>
      <c r="CV70" s="328"/>
      <c r="CW70" s="328"/>
      <c r="CX70" s="328"/>
      <c r="CY70" s="328"/>
      <c r="CZ70" s="328"/>
      <c r="DA70" s="328"/>
      <c r="DB70" s="328"/>
      <c r="DC70" s="1216"/>
      <c r="DD70" s="1217">
        <f>F70</f>
        <v>1230000</v>
      </c>
      <c r="DE70" s="1217">
        <f t="shared" si="27"/>
        <v>184500</v>
      </c>
      <c r="DF70" s="1217">
        <f t="shared" si="28"/>
        <v>1414500</v>
      </c>
      <c r="DG70" s="1217">
        <f t="shared" si="6"/>
        <v>1230000</v>
      </c>
      <c r="DH70" s="1217">
        <f t="shared" si="7"/>
        <v>1414500</v>
      </c>
      <c r="DI70" s="1218">
        <v>1</v>
      </c>
      <c r="DJ70" s="1219">
        <f t="shared" si="17"/>
        <v>1230000</v>
      </c>
      <c r="DK70" s="1217">
        <f t="shared" si="18"/>
        <v>0</v>
      </c>
    </row>
    <row r="71" spans="1:122" ht="15.6">
      <c r="A71" s="1210" t="s">
        <v>316</v>
      </c>
      <c r="B71" t="s">
        <v>317</v>
      </c>
      <c r="C71" s="1210">
        <v>6</v>
      </c>
      <c r="D71" s="1226" t="s">
        <v>666</v>
      </c>
      <c r="E71" s="1210"/>
      <c r="F71" s="1212">
        <v>2210695</v>
      </c>
      <c r="G71" s="1222"/>
      <c r="H71" s="45"/>
      <c r="I71" s="45"/>
      <c r="J71" s="45"/>
      <c r="K71" s="247"/>
      <c r="L71" s="247"/>
      <c r="M71" s="247"/>
      <c r="N71" s="45"/>
      <c r="O71" s="247"/>
      <c r="P71" s="247"/>
      <c r="Q71" s="247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247"/>
      <c r="AJ71" s="247"/>
      <c r="AK71" s="247"/>
      <c r="AL71" s="304"/>
      <c r="AM71" s="304"/>
      <c r="AN71" s="304"/>
      <c r="AO71" s="304"/>
      <c r="AP71" s="304"/>
      <c r="AQ71" s="304"/>
      <c r="AR71" s="304"/>
      <c r="AS71" s="304"/>
      <c r="AT71" s="304"/>
      <c r="AU71" s="247">
        <v>46125</v>
      </c>
      <c r="AV71" s="304">
        <v>331568</v>
      </c>
      <c r="AW71" s="304">
        <f>Currentinvoices[[#This Row],[Invoice '# 11 amount]]*15%</f>
        <v>49735.199999999997</v>
      </c>
      <c r="AX71" s="304">
        <f>Currentinvoices[[#This Row],[Invoice '# 11 amount]]+Currentinvoices[[#This Row],[Invoice '# 11 vat]]</f>
        <v>381303.2</v>
      </c>
      <c r="AY71" s="247">
        <v>46154</v>
      </c>
      <c r="AZ71" s="304">
        <v>773781</v>
      </c>
      <c r="BA71" s="304">
        <f>Currentinvoices[[#This Row],[Invoice '# 12 amount]]*15%</f>
        <v>116067.15</v>
      </c>
      <c r="BB71" s="304">
        <f>Currentinvoices[[#This Row],[Invoice '# 12 vat]]+Currentinvoices[[#This Row],[Invoice '# 12 amount]]</f>
        <v>889848.15</v>
      </c>
      <c r="BC71" s="304"/>
      <c r="BD71" s="304"/>
      <c r="BE71" s="304"/>
      <c r="BF71" s="304"/>
      <c r="BG71" s="247">
        <v>46218</v>
      </c>
      <c r="BH71" s="304">
        <v>442105</v>
      </c>
      <c r="BI71" s="304">
        <f>Currentinvoices[[#This Row],[Invoice '# 14 amount]]*15%</f>
        <v>66315.75</v>
      </c>
      <c r="BJ71" s="304">
        <f>Currentinvoices[[#This Row],[Invoice '# 14 amount]]+Currentinvoices[[#This Row],[Invoice '# 14 vat]]</f>
        <v>508420.75</v>
      </c>
      <c r="BK71" s="304"/>
      <c r="BL71" s="304"/>
      <c r="BM71" s="304"/>
      <c r="BN71" s="304"/>
      <c r="BO71" s="304"/>
      <c r="BP71" s="304"/>
      <c r="BQ71" s="304"/>
      <c r="BR71" s="328"/>
      <c r="BS71" s="328"/>
      <c r="BT71" s="328"/>
      <c r="BU71" s="328"/>
      <c r="BV71" s="328"/>
      <c r="BW71" s="304"/>
      <c r="BX71" s="304"/>
      <c r="BY71" s="304"/>
      <c r="BZ71" s="328"/>
      <c r="CA71" s="247"/>
      <c r="CB71" s="247"/>
      <c r="CC71" s="247"/>
      <c r="CD71" s="247"/>
      <c r="CE71" s="247"/>
      <c r="CF71" s="247"/>
      <c r="CG71" s="247"/>
      <c r="CH71" s="247"/>
      <c r="CI71" s="328"/>
      <c r="CJ71" s="328"/>
      <c r="CK71" s="328"/>
      <c r="CL71" s="328"/>
      <c r="CM71" s="328"/>
      <c r="CN71" s="328"/>
      <c r="CO71" s="328"/>
      <c r="CP71" s="328"/>
      <c r="CQ71" s="328"/>
      <c r="CR71" s="328"/>
      <c r="CS71" s="328"/>
      <c r="CT71" s="328"/>
      <c r="CU71" s="328"/>
      <c r="CV71" s="328"/>
      <c r="CW71" s="328"/>
      <c r="CX71" s="328"/>
      <c r="CY71" s="328"/>
      <c r="CZ71" s="328"/>
      <c r="DA71" s="328"/>
      <c r="DB71" s="328"/>
      <c r="DC71" s="1216"/>
      <c r="DD71" s="1217">
        <f>Currentinvoices[[#This Row],[Task Value]]</f>
        <v>2210695</v>
      </c>
      <c r="DE71" s="1217">
        <f t="shared" si="27"/>
        <v>331604.25</v>
      </c>
      <c r="DF71" s="1217">
        <f t="shared" si="28"/>
        <v>2542299.25</v>
      </c>
      <c r="DG71" s="1217">
        <f t="shared" si="6"/>
        <v>1547454</v>
      </c>
      <c r="DH71" s="1217">
        <f>SUMPRODUCT((MOD(COLUMN(G71:DB71)-COLUMN(H71),4)=2)*G71:DB71)</f>
        <v>1779572.1</v>
      </c>
      <c r="DI71" s="1218">
        <v>0.9</v>
      </c>
      <c r="DJ71" s="1219">
        <f t="shared" ref="DJ71:DJ81" si="29">DI71*DD71</f>
        <v>1989625.5</v>
      </c>
      <c r="DK71" s="1217">
        <f>DJ71-DG71</f>
        <v>442171.5</v>
      </c>
    </row>
    <row r="72" spans="1:122" ht="15.6">
      <c r="A72" s="1210" t="s">
        <v>316</v>
      </c>
      <c r="B72" t="s">
        <v>317</v>
      </c>
      <c r="C72" s="1210">
        <v>7</v>
      </c>
      <c r="D72" s="1226" t="s">
        <v>671</v>
      </c>
      <c r="E72" s="1259"/>
      <c r="F72" s="1261">
        <v>1000628</v>
      </c>
      <c r="G72" s="1262"/>
      <c r="H72" s="1263"/>
      <c r="I72" s="1263"/>
      <c r="J72" s="1263"/>
      <c r="K72" s="1264"/>
      <c r="L72" s="1264"/>
      <c r="M72" s="1264"/>
      <c r="N72" s="1263"/>
      <c r="O72" s="1264"/>
      <c r="P72" s="1264"/>
      <c r="Q72" s="1264"/>
      <c r="R72" s="1263"/>
      <c r="S72" s="1263"/>
      <c r="T72" s="1263"/>
      <c r="U72" s="1263"/>
      <c r="V72" s="1263"/>
      <c r="W72" s="1263"/>
      <c r="X72" s="1263"/>
      <c r="Y72" s="1263"/>
      <c r="Z72" s="1263"/>
      <c r="AA72" s="1263"/>
      <c r="AB72" s="1263"/>
      <c r="AC72" s="1263"/>
      <c r="AD72" s="1263"/>
      <c r="AE72" s="1263"/>
      <c r="AF72" s="1263"/>
      <c r="AG72" s="1263"/>
      <c r="AH72" s="1263"/>
      <c r="AI72" s="1264"/>
      <c r="AJ72" s="1264"/>
      <c r="AK72" s="1264"/>
      <c r="AL72" s="1265"/>
      <c r="AM72" s="1265"/>
      <c r="AN72" s="1265"/>
      <c r="AO72" s="1265"/>
      <c r="AP72" s="1265"/>
      <c r="AQ72" s="1265"/>
      <c r="AR72" s="1265"/>
      <c r="AS72" s="1265"/>
      <c r="AT72" s="1265"/>
      <c r="AU72" s="1266"/>
      <c r="AV72" s="1265"/>
      <c r="AW72" s="1265"/>
      <c r="AX72" s="1265"/>
      <c r="AY72" s="1266"/>
      <c r="AZ72" s="1265"/>
      <c r="BA72" s="1265"/>
      <c r="BB72" s="1265"/>
      <c r="BC72" s="247">
        <v>46196</v>
      </c>
      <c r="BD72" s="1265">
        <v>75107.5</v>
      </c>
      <c r="BE72" s="1265">
        <f>Currentinvoices[[#This Row],[Invoice '# 13 amount]]*15%</f>
        <v>11266.125</v>
      </c>
      <c r="BF72" s="1265">
        <f>Currentinvoices[[#This Row],[Invoice '# 13 vat]]+Currentinvoices[[#This Row],[Invoice '# 13 amount]]</f>
        <v>86373.625</v>
      </c>
      <c r="BG72" s="1265"/>
      <c r="BH72" s="1265"/>
      <c r="BI72" s="1265"/>
      <c r="BJ72" s="1265"/>
      <c r="BK72" s="1265"/>
      <c r="BL72" s="1265"/>
      <c r="BM72" s="1265"/>
      <c r="BN72" s="1265"/>
      <c r="BO72" s="1265"/>
      <c r="BP72" s="1265"/>
      <c r="BQ72" s="1265"/>
      <c r="BR72" s="1266"/>
      <c r="BS72" s="1266"/>
      <c r="BT72" s="1266"/>
      <c r="BU72" s="1266"/>
      <c r="BV72" s="1266"/>
      <c r="BW72" s="1265"/>
      <c r="BX72" s="1265"/>
      <c r="BY72" s="1265"/>
      <c r="BZ72" s="1266"/>
      <c r="CA72" s="1264"/>
      <c r="CB72" s="1264"/>
      <c r="CC72" s="1263"/>
      <c r="CD72" s="1263"/>
      <c r="CE72" s="1263"/>
      <c r="CF72" s="1263"/>
      <c r="CG72" s="1263"/>
      <c r="CH72" s="1263"/>
      <c r="CI72" s="1266"/>
      <c r="CJ72" s="1266"/>
      <c r="CK72" s="1266"/>
      <c r="CL72" s="1266"/>
      <c r="CM72" s="1266"/>
      <c r="CN72" s="1266"/>
      <c r="CO72" s="1266"/>
      <c r="CP72" s="1266"/>
      <c r="CQ72" s="1266"/>
      <c r="CR72" s="1266"/>
      <c r="CS72" s="1266"/>
      <c r="CT72" s="1266"/>
      <c r="CU72" s="1266"/>
      <c r="CV72" s="1266"/>
      <c r="CW72" s="1266"/>
      <c r="CX72" s="1266"/>
      <c r="CY72" s="1266"/>
      <c r="CZ72" s="1266"/>
      <c r="DA72" s="1266"/>
      <c r="DB72" s="1266"/>
      <c r="DC72" s="1267"/>
      <c r="DD72" s="1217">
        <f>Currentinvoices[[#This Row],[Task Value]]</f>
        <v>1000628</v>
      </c>
      <c r="DE72" s="1217">
        <f t="shared" si="27"/>
        <v>150094.19999999998</v>
      </c>
      <c r="DF72" s="1217">
        <f t="shared" si="28"/>
        <v>1150722.2</v>
      </c>
      <c r="DG72" s="1268">
        <f>SUMPRODUCT((MOD(COLUMN(G72:DB72)-COLUMN(G72),4)=1)*G72:DB72)</f>
        <v>75107.5</v>
      </c>
      <c r="DH72" s="1217">
        <f>SUMPRODUCT((MOD(COLUMN(G72:DB72)-COLUMN(H72),4)=2)*G72:DB72)</f>
        <v>86373.625</v>
      </c>
      <c r="DI72" s="1269">
        <v>0.22</v>
      </c>
      <c r="DJ72" s="1219">
        <f t="shared" si="29"/>
        <v>220138.16</v>
      </c>
      <c r="DK72" s="1217">
        <f t="shared" ref="DK72" si="30">DJ72-DG72</f>
        <v>145030.66</v>
      </c>
    </row>
    <row r="73" spans="1:122" ht="15.6">
      <c r="A73" s="1228" t="s">
        <v>361</v>
      </c>
      <c r="B73" t="s">
        <v>362</v>
      </c>
      <c r="C73" s="1210">
        <v>1</v>
      </c>
      <c r="D73" s="1226" t="s">
        <v>388</v>
      </c>
      <c r="E73" s="1210"/>
      <c r="F73" s="1212">
        <v>2997130</v>
      </c>
      <c r="G73" s="1222">
        <v>45939</v>
      </c>
      <c r="H73" s="45">
        <f>MEINHARDT!R12</f>
        <v>299713</v>
      </c>
      <c r="I73" s="45">
        <f>'Invoices (2)'!$H73*15%</f>
        <v>44956.95</v>
      </c>
      <c r="J73" s="45">
        <f>'Invoices (2)'!$H73+'Invoices (2)'!$I73</f>
        <v>344669.95</v>
      </c>
      <c r="K73" s="247">
        <v>45951</v>
      </c>
      <c r="L73" s="45">
        <f>MEINHARDT!T12</f>
        <v>299713</v>
      </c>
      <c r="M73" s="45">
        <f>'Invoices (2)'!$H73*15%</f>
        <v>44956.95</v>
      </c>
      <c r="N73" s="45">
        <f>'Invoices (2)'!$H73+'Invoices (2)'!$I73</f>
        <v>344669.95</v>
      </c>
      <c r="O73" s="247">
        <v>45959</v>
      </c>
      <c r="P73" s="45">
        <f>MEINHARDT!V12</f>
        <v>599426.07000000007</v>
      </c>
      <c r="Q73" s="45">
        <f>'Invoices (2)'!$P73*15%</f>
        <v>89913.910500000013</v>
      </c>
      <c r="R73" s="45">
        <f>'Invoices (2)'!$P73+'Invoices (2)'!$Q73</f>
        <v>689339.98050000006</v>
      </c>
      <c r="S73" s="247">
        <v>45999</v>
      </c>
      <c r="T73" s="45">
        <v>157349.32999999999</v>
      </c>
      <c r="U73" s="45">
        <f>Currentinvoices[[#This Row],[Invoice '# 4 amount]]*15%</f>
        <v>23602.399499999996</v>
      </c>
      <c r="V73" s="45">
        <f>Currentinvoices[[#This Row],[Invoice '# 4 vat]]+Currentinvoices[[#This Row],[Invoice '# 4 amount]]</f>
        <v>180951.72949999999</v>
      </c>
      <c r="W73" s="247">
        <v>45999</v>
      </c>
      <c r="X73" s="45">
        <v>157349.32999999999</v>
      </c>
      <c r="Y73" s="45">
        <f>Currentinvoices[[#This Row],[Invoice '# 4 amount]]*15%</f>
        <v>23602.399499999996</v>
      </c>
      <c r="Z73" s="45">
        <f>Currentinvoices[[#This Row],[Invoice '# 4 vat]]+Currentinvoices[[#This Row],[Invoice '# 4 amount]]</f>
        <v>180951.72949999999</v>
      </c>
      <c r="AA73" s="247">
        <v>46028</v>
      </c>
      <c r="AB73" s="45">
        <f>MEINHARDT!AB12</f>
        <v>134870.85</v>
      </c>
      <c r="AC73" s="45">
        <f>Currentinvoices[[#This Row],[Invoice '# 6 amount]]*15%</f>
        <v>20230.627499999999</v>
      </c>
      <c r="AD73" s="45">
        <f>Currentinvoices[[#This Row],[Invoice '# 6 vat]]+Currentinvoices[[#This Row],[Invoice '# 6 amount]]</f>
        <v>155101.47750000001</v>
      </c>
      <c r="AE73" s="247">
        <v>46084</v>
      </c>
      <c r="AF73" s="45">
        <v>569454.68999999994</v>
      </c>
      <c r="AG73" s="45">
        <f>Currentinvoices[[#This Row],[Invoice '# 7 amount]]*15%</f>
        <v>85418.203499999989</v>
      </c>
      <c r="AH73" s="45">
        <f>Currentinvoices[[#This Row],[Invoice '# 7 vat]]+Currentinvoices[[#This Row],[Invoice '# 7 amount]]</f>
        <v>654872.89349999989</v>
      </c>
      <c r="AI73" s="247">
        <v>46131</v>
      </c>
      <c r="AJ73" s="45">
        <v>779253.66</v>
      </c>
      <c r="AK73" s="45">
        <f>15%*Currentinvoices[[#This Row],[Invoice '# 8 amount]]</f>
        <v>116888.049</v>
      </c>
      <c r="AL73" s="304">
        <f>Currentinvoices[[#This Row],[Invoice '# 8 vat]]+Currentinvoices[[#This Row],[Invoice '# 8 amount]]</f>
        <v>896141.70900000003</v>
      </c>
      <c r="AM73" s="304"/>
      <c r="AN73" s="304"/>
      <c r="AO73" s="304"/>
      <c r="AP73" s="304"/>
      <c r="AQ73" s="304"/>
      <c r="AR73" s="304"/>
      <c r="AS73" s="304"/>
      <c r="AT73" s="304"/>
      <c r="AU73" s="304"/>
      <c r="AV73" s="304"/>
      <c r="AW73" s="304"/>
      <c r="AX73" s="304"/>
      <c r="AY73" s="304"/>
      <c r="AZ73" s="304"/>
      <c r="BA73" s="304"/>
      <c r="BB73" s="304"/>
      <c r="BC73" s="304"/>
      <c r="BD73" s="304"/>
      <c r="BE73" s="304"/>
      <c r="BF73" s="304"/>
      <c r="BG73" s="304"/>
      <c r="BH73" s="304"/>
      <c r="BI73" s="304"/>
      <c r="BJ73" s="304"/>
      <c r="BK73" s="304"/>
      <c r="BL73" s="304"/>
      <c r="BM73" s="304"/>
      <c r="BN73" s="304"/>
      <c r="BO73" s="304"/>
      <c r="BP73" s="304"/>
      <c r="BQ73" s="304"/>
      <c r="BR73" s="328"/>
      <c r="BS73" s="328"/>
      <c r="BT73" s="328"/>
      <c r="BU73" s="328"/>
      <c r="BV73" s="328"/>
      <c r="BW73" s="304"/>
      <c r="BX73" s="304"/>
      <c r="BY73" s="304"/>
      <c r="BZ73" s="328"/>
      <c r="CA73" s="247"/>
      <c r="CB73" s="247"/>
      <c r="CC73" s="247"/>
      <c r="CD73" s="247"/>
      <c r="CE73" s="247"/>
      <c r="CF73" s="247"/>
      <c r="CG73" s="247"/>
      <c r="CH73" s="247"/>
      <c r="CI73" s="328"/>
      <c r="CJ73" s="328"/>
      <c r="CK73" s="328"/>
      <c r="CL73" s="328"/>
      <c r="CM73" s="328"/>
      <c r="CN73" s="328"/>
      <c r="CO73" s="328"/>
      <c r="CP73" s="328"/>
      <c r="CQ73" s="328"/>
      <c r="CR73" s="328"/>
      <c r="CS73" s="328"/>
      <c r="CT73" s="328"/>
      <c r="CU73" s="328"/>
      <c r="CV73" s="328"/>
      <c r="CW73" s="328"/>
      <c r="CX73" s="328"/>
      <c r="CY73" s="328"/>
      <c r="CZ73" s="328"/>
      <c r="DA73" s="328"/>
      <c r="DB73" s="328"/>
      <c r="DC73" s="1216"/>
      <c r="DD73" s="1217">
        <f>F73</f>
        <v>2997130</v>
      </c>
      <c r="DE73" s="1217">
        <f t="shared" si="27"/>
        <v>449569.5</v>
      </c>
      <c r="DF73" s="1217">
        <f t="shared" si="28"/>
        <v>3446699.5</v>
      </c>
      <c r="DG73" s="1217">
        <f>SUMPRODUCT((MOD(COLUMN(G73:DB73)-COLUMN(G73),4)=1)*G73:DB73)</f>
        <v>2997129.9300000006</v>
      </c>
      <c r="DH73" s="1217">
        <f t="shared" si="7"/>
        <v>3446699.4194999998</v>
      </c>
      <c r="DI73" s="1218">
        <v>1</v>
      </c>
      <c r="DJ73" s="1219">
        <f t="shared" si="29"/>
        <v>2997130</v>
      </c>
      <c r="DK73" s="1217">
        <f>DJ73-DG73</f>
        <v>6.9999999366700649E-2</v>
      </c>
    </row>
    <row r="74" spans="1:122" ht="15.6">
      <c r="A74" s="1228" t="s">
        <v>361</v>
      </c>
      <c r="B74" t="s">
        <v>362</v>
      </c>
      <c r="C74" s="1210">
        <v>2</v>
      </c>
      <c r="D74" s="1226" t="s">
        <v>668</v>
      </c>
      <c r="E74" s="1210"/>
      <c r="F74" s="1212">
        <v>5188500</v>
      </c>
      <c r="G74" s="1222"/>
      <c r="H74" s="45"/>
      <c r="I74" s="45"/>
      <c r="J74" s="45"/>
      <c r="K74" s="247"/>
      <c r="L74" s="247"/>
      <c r="M74" s="247"/>
      <c r="N74" s="45"/>
      <c r="O74" s="247"/>
      <c r="P74" s="45"/>
      <c r="Q74" s="247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247"/>
      <c r="AJ74" s="247"/>
      <c r="AK74" s="247"/>
      <c r="AL74" s="304"/>
      <c r="AM74" s="247">
        <v>46191</v>
      </c>
      <c r="AN74" s="304">
        <v>255925</v>
      </c>
      <c r="AO74" s="304">
        <f>Currentinvoices[[#This Row],[Invoice '# 9 amount]]*15%</f>
        <v>38388.75</v>
      </c>
      <c r="AP74" s="304">
        <f>Currentinvoices[[#This Row],[Invoice '# 9 vat]]+Currentinvoices[[#This Row],[Invoice '# 9 amount]]</f>
        <v>294313.75</v>
      </c>
      <c r="AQ74" s="304"/>
      <c r="AR74" s="304"/>
      <c r="AS74" s="304"/>
      <c r="AT74" s="304"/>
      <c r="AU74" s="304"/>
      <c r="AV74" s="304"/>
      <c r="AW74" s="304"/>
      <c r="AX74" s="304"/>
      <c r="AY74" s="247">
        <v>46253</v>
      </c>
      <c r="AZ74" s="304">
        <v>511850</v>
      </c>
      <c r="BA74" s="304">
        <f>Currentinvoices[[#This Row],[Invoice '# 12 amount]]*15%</f>
        <v>76777.5</v>
      </c>
      <c r="BB74" s="304">
        <f>Currentinvoices[[#This Row],[Invoice '# 12 vat]]+Currentinvoices[[#This Row],[Invoice '# 12 amount]]</f>
        <v>588627.5</v>
      </c>
      <c r="BC74" s="304"/>
      <c r="BD74" s="304"/>
      <c r="BE74" s="304"/>
      <c r="BF74" s="304"/>
      <c r="BG74" s="304"/>
      <c r="BH74" s="304"/>
      <c r="BI74" s="304"/>
      <c r="BJ74" s="304"/>
      <c r="BK74" s="304"/>
      <c r="BL74" s="304"/>
      <c r="BM74" s="304"/>
      <c r="BN74" s="304"/>
      <c r="BO74" s="304"/>
      <c r="BP74" s="304"/>
      <c r="BQ74" s="304"/>
      <c r="BR74" s="328"/>
      <c r="BS74" s="328"/>
      <c r="BT74" s="328"/>
      <c r="BU74" s="328"/>
      <c r="BV74" s="328"/>
      <c r="BW74" s="304"/>
      <c r="BX74" s="304"/>
      <c r="BY74" s="304"/>
      <c r="BZ74" s="328"/>
      <c r="CA74" s="247"/>
      <c r="CB74" s="247"/>
      <c r="CC74" s="247"/>
      <c r="CD74" s="247"/>
      <c r="CE74" s="247"/>
      <c r="CF74" s="247"/>
      <c r="CG74" s="247"/>
      <c r="CH74" s="247"/>
      <c r="CI74" s="328"/>
      <c r="CJ74" s="328"/>
      <c r="CK74" s="328"/>
      <c r="CL74" s="328"/>
      <c r="CM74" s="328"/>
      <c r="CN74" s="328"/>
      <c r="CO74" s="328"/>
      <c r="CP74" s="328"/>
      <c r="CQ74" s="328"/>
      <c r="CR74" s="328"/>
      <c r="CS74" s="328"/>
      <c r="CT74" s="328"/>
      <c r="CU74" s="328"/>
      <c r="CV74" s="328"/>
      <c r="CW74" s="328"/>
      <c r="CX74" s="328"/>
      <c r="CY74" s="328"/>
      <c r="CZ74" s="328"/>
      <c r="DA74" s="328"/>
      <c r="DB74" s="328"/>
      <c r="DC74" s="1216"/>
      <c r="DD74" s="1217">
        <v>5188500</v>
      </c>
      <c r="DE74" s="1217">
        <f t="shared" si="27"/>
        <v>778275</v>
      </c>
      <c r="DF74" s="1217">
        <f t="shared" si="28"/>
        <v>5966775</v>
      </c>
      <c r="DG74" s="1217">
        <f t="shared" ref="DG74:DG75" si="31">SUMPRODUCT((MOD(COLUMN(G74:DB74)-COLUMN(G74),4)=1)*G74:DB74)</f>
        <v>767775</v>
      </c>
      <c r="DH74" s="1217">
        <f t="shared" si="7"/>
        <v>882941.25</v>
      </c>
      <c r="DI74" s="1218">
        <v>0.25</v>
      </c>
      <c r="DJ74" s="1219">
        <f t="shared" si="29"/>
        <v>1297125</v>
      </c>
      <c r="DK74" s="1217">
        <f t="shared" ref="DK74:DK75" si="32">DJ74-DG74</f>
        <v>529350</v>
      </c>
    </row>
    <row r="75" spans="1:122" ht="15.6">
      <c r="A75" s="1228" t="s">
        <v>361</v>
      </c>
      <c r="B75" t="s">
        <v>362</v>
      </c>
      <c r="C75" s="1210">
        <v>3</v>
      </c>
      <c r="D75" s="1226" t="s">
        <v>669</v>
      </c>
      <c r="E75" s="1210"/>
      <c r="F75" s="1212">
        <v>3500000</v>
      </c>
      <c r="G75" s="1222"/>
      <c r="H75" s="45"/>
      <c r="I75" s="45"/>
      <c r="J75" s="45"/>
      <c r="K75" s="247"/>
      <c r="L75" s="247"/>
      <c r="M75" s="247"/>
      <c r="N75" s="45"/>
      <c r="O75" s="247"/>
      <c r="P75" s="247"/>
      <c r="Q75" s="247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247"/>
      <c r="AJ75" s="247"/>
      <c r="AK75" s="247"/>
      <c r="AL75" s="304"/>
      <c r="AM75" s="247">
        <v>46191</v>
      </c>
      <c r="AN75" s="304">
        <v>175000</v>
      </c>
      <c r="AO75" s="304">
        <f>Currentinvoices[[#This Row],[Invoice '# 9 amount]]*15%</f>
        <v>26250</v>
      </c>
      <c r="AP75" s="304">
        <f>Currentinvoices[[#This Row],[Invoice '# 9 vat]]+Currentinvoices[[#This Row],[Invoice '# 9 amount]]</f>
        <v>201250</v>
      </c>
      <c r="AQ75" s="304"/>
      <c r="AR75" s="304"/>
      <c r="AS75" s="304"/>
      <c r="AT75" s="304"/>
      <c r="AU75" s="304"/>
      <c r="AV75" s="304"/>
      <c r="AW75" s="304"/>
      <c r="AX75" s="304"/>
      <c r="AY75" s="304"/>
      <c r="AZ75" s="304"/>
      <c r="BA75" s="304"/>
      <c r="BB75" s="304"/>
      <c r="BC75" s="304"/>
      <c r="BD75" s="304"/>
      <c r="BE75" s="304"/>
      <c r="BF75" s="304"/>
      <c r="BG75" s="304"/>
      <c r="BH75" s="304"/>
      <c r="BI75" s="304"/>
      <c r="BJ75" s="304"/>
      <c r="BK75" s="304"/>
      <c r="BL75" s="304"/>
      <c r="BM75" s="304"/>
      <c r="BN75" s="304"/>
      <c r="BO75" s="304"/>
      <c r="BP75" s="304"/>
      <c r="BQ75" s="304"/>
      <c r="BR75" s="328"/>
      <c r="BS75" s="328"/>
      <c r="BT75" s="328"/>
      <c r="BU75" s="328"/>
      <c r="BV75" s="328"/>
      <c r="BW75" s="304"/>
      <c r="BX75" s="304"/>
      <c r="BY75" s="304"/>
      <c r="BZ75" s="328"/>
      <c r="CA75" s="247"/>
      <c r="CB75" s="247"/>
      <c r="CC75" s="247"/>
      <c r="CD75" s="247"/>
      <c r="CE75" s="247"/>
      <c r="CF75" s="247"/>
      <c r="CG75" s="247"/>
      <c r="CH75" s="247"/>
      <c r="CI75" s="328"/>
      <c r="CJ75" s="328"/>
      <c r="CK75" s="328"/>
      <c r="CL75" s="328"/>
      <c r="CM75" s="328"/>
      <c r="CN75" s="328"/>
      <c r="CO75" s="328"/>
      <c r="CP75" s="328"/>
      <c r="CQ75" s="328"/>
      <c r="CR75" s="328"/>
      <c r="CS75" s="328"/>
      <c r="CT75" s="328"/>
      <c r="CU75" s="328"/>
      <c r="CV75" s="328"/>
      <c r="CW75" s="328"/>
      <c r="CX75" s="328"/>
      <c r="CY75" s="328"/>
      <c r="CZ75" s="328"/>
      <c r="DA75" s="328"/>
      <c r="DB75" s="328"/>
      <c r="DC75" s="1216"/>
      <c r="DD75" s="1217">
        <v>3500000</v>
      </c>
      <c r="DE75" s="1217">
        <f t="shared" si="27"/>
        <v>525000</v>
      </c>
      <c r="DF75" s="1217">
        <f t="shared" si="28"/>
        <v>4025000</v>
      </c>
      <c r="DG75" s="1217">
        <f t="shared" si="31"/>
        <v>175000</v>
      </c>
      <c r="DH75" s="1217">
        <f t="shared" si="7"/>
        <v>201250</v>
      </c>
      <c r="DI75" s="1218">
        <v>0.05</v>
      </c>
      <c r="DJ75" s="1219">
        <f t="shared" si="29"/>
        <v>175000</v>
      </c>
      <c r="DK75" s="1217">
        <f t="shared" si="32"/>
        <v>0</v>
      </c>
      <c r="DL75" s="1205"/>
      <c r="DM75" s="1205"/>
      <c r="DN75" s="1205"/>
      <c r="DO75" s="1205"/>
      <c r="DP75" s="1205"/>
      <c r="DQ75" s="1205"/>
      <c r="DR75" s="1205"/>
    </row>
    <row r="76" spans="1:122" ht="15.6">
      <c r="A76" s="1228" t="s">
        <v>364</v>
      </c>
      <c r="B76" t="s">
        <v>370</v>
      </c>
      <c r="C76" s="1210">
        <v>1</v>
      </c>
      <c r="D76" s="1226" t="s">
        <v>385</v>
      </c>
      <c r="E76" s="1210" t="s">
        <v>370</v>
      </c>
      <c r="F76" s="1212">
        <v>2490457</v>
      </c>
      <c r="G76" s="1222">
        <v>45966</v>
      </c>
      <c r="H76" s="45">
        <f>'ENGICON RIYADH 4 P2 '!M19</f>
        <v>747154</v>
      </c>
      <c r="I76" s="45">
        <f>'Invoices (2)'!$H76*15%</f>
        <v>112073.09999999999</v>
      </c>
      <c r="J76" s="45">
        <f>'Invoices (2)'!$H76+'Invoices (2)'!$I76</f>
        <v>859227.1</v>
      </c>
      <c r="K76" s="247"/>
      <c r="L76" s="45">
        <f>'ENGICON RIYADH 4 P2 '!O19</f>
        <v>622572</v>
      </c>
      <c r="M76" s="45">
        <f>'Invoices (2)'!$L76*15%</f>
        <v>93385.8</v>
      </c>
      <c r="N76" s="45">
        <f>'Invoices (2)'!$L76+'Invoices (2)'!$M76</f>
        <v>715957.8</v>
      </c>
      <c r="O76" s="247">
        <v>46013</v>
      </c>
      <c r="P76" s="45">
        <v>622572</v>
      </c>
      <c r="Q76" s="45">
        <f>Currentinvoices[[#This Row],[Invoice '# 3 amount]]*15%</f>
        <v>93385.8</v>
      </c>
      <c r="R76" s="45">
        <f>Currentinvoices[[#This Row],[Invoice '# 3 vat]]+Currentinvoices[[#This Row],[Invoice '# 3 amount]]</f>
        <v>715957.8</v>
      </c>
      <c r="S76" s="45"/>
      <c r="T76" s="45"/>
      <c r="U76" s="45"/>
      <c r="V76" s="45"/>
      <c r="W76" s="1252">
        <v>46125</v>
      </c>
      <c r="X76" s="45">
        <f>'ENGICON RIYADH 4 P2 '!S19</f>
        <v>498159</v>
      </c>
      <c r="Y76" s="45">
        <f>15%*Currentinvoices[[#This Row],[Invoice '# 5 amount]]</f>
        <v>74723.849999999991</v>
      </c>
      <c r="Z76" s="45">
        <f>Currentinvoices[[#This Row],[Invoice '# 5 vat]]+Currentinvoices[[#This Row],[Invoice '# 5 amount]]</f>
        <v>572882.85</v>
      </c>
      <c r="AA76" s="45"/>
      <c r="AB76" s="45"/>
      <c r="AC76" s="45"/>
      <c r="AD76" s="45"/>
      <c r="AE76" s="45"/>
      <c r="AF76" s="45"/>
      <c r="AG76" s="45"/>
      <c r="AH76" s="45"/>
      <c r="AI76" s="247"/>
      <c r="AJ76" s="247"/>
      <c r="AK76" s="247"/>
      <c r="AL76" s="304"/>
      <c r="AM76" s="304"/>
      <c r="AN76" s="304"/>
      <c r="AO76" s="304"/>
      <c r="AP76" s="304"/>
      <c r="AQ76" s="304"/>
      <c r="AR76" s="304"/>
      <c r="AS76" s="304"/>
      <c r="AT76" s="304"/>
      <c r="AU76" s="304"/>
      <c r="AV76" s="304"/>
      <c r="AW76" s="304"/>
      <c r="AX76" s="304"/>
      <c r="AY76" s="304"/>
      <c r="AZ76" s="304"/>
      <c r="BA76" s="304"/>
      <c r="BB76" s="304"/>
      <c r="BC76" s="304"/>
      <c r="BD76" s="304"/>
      <c r="BE76" s="304"/>
      <c r="BF76" s="304"/>
      <c r="BG76" s="304"/>
      <c r="BH76" s="304"/>
      <c r="BI76" s="304"/>
      <c r="BJ76" s="304"/>
      <c r="BK76" s="304"/>
      <c r="BL76" s="304"/>
      <c r="BM76" s="304"/>
      <c r="BN76" s="304"/>
      <c r="BO76" s="304"/>
      <c r="BP76" s="304"/>
      <c r="BQ76" s="304"/>
      <c r="BR76" s="328"/>
      <c r="BS76" s="328"/>
      <c r="BT76" s="328"/>
      <c r="BU76" s="328"/>
      <c r="BV76" s="328"/>
      <c r="BW76" s="304"/>
      <c r="BX76" s="304"/>
      <c r="BY76" s="304"/>
      <c r="BZ76" s="328"/>
      <c r="CA76" s="247"/>
      <c r="CB76" s="247"/>
      <c r="CC76" s="247"/>
      <c r="CD76" s="247"/>
      <c r="CE76" s="247"/>
      <c r="CF76" s="247"/>
      <c r="CG76" s="247"/>
      <c r="CH76" s="247"/>
      <c r="CI76" s="328"/>
      <c r="CJ76" s="328"/>
      <c r="CK76" s="328"/>
      <c r="CL76" s="328"/>
      <c r="CM76" s="328"/>
      <c r="CN76" s="328"/>
      <c r="CO76" s="328"/>
      <c r="CP76" s="328"/>
      <c r="CQ76" s="328"/>
      <c r="CR76" s="328"/>
      <c r="CS76" s="328"/>
      <c r="CT76" s="328"/>
      <c r="CU76" s="328"/>
      <c r="CV76" s="328"/>
      <c r="CW76" s="328"/>
      <c r="CX76" s="328"/>
      <c r="CY76" s="328"/>
      <c r="CZ76" s="328"/>
      <c r="DA76" s="328"/>
      <c r="DB76" s="328"/>
      <c r="DC76" s="1216"/>
      <c r="DD76" s="1217">
        <f>F76</f>
        <v>2490457</v>
      </c>
      <c r="DE76" s="1217">
        <f>DD76*15%</f>
        <v>373568.55</v>
      </c>
      <c r="DF76" s="1217">
        <f>DD76+DE76</f>
        <v>2864025.55</v>
      </c>
      <c r="DG76" s="1217">
        <f t="shared" si="6"/>
        <v>2490457</v>
      </c>
      <c r="DH76" s="1217">
        <f t="shared" si="7"/>
        <v>2864025.5500000003</v>
      </c>
      <c r="DI76" s="1218">
        <v>1</v>
      </c>
      <c r="DJ76" s="1219">
        <f t="shared" si="29"/>
        <v>2490457</v>
      </c>
      <c r="DK76" s="1217">
        <f>DJ76-DG76</f>
        <v>0</v>
      </c>
      <c r="DL76" s="1205"/>
      <c r="DM76" s="1205"/>
      <c r="DN76" s="1205"/>
      <c r="DO76" s="1205"/>
      <c r="DP76" s="1205"/>
      <c r="DQ76" s="1205"/>
      <c r="DR76" s="1205"/>
    </row>
    <row r="77" spans="1:122" ht="15.6">
      <c r="A77" s="1228" t="s">
        <v>364</v>
      </c>
      <c r="B77" t="s">
        <v>370</v>
      </c>
      <c r="C77" s="1210">
        <v>2</v>
      </c>
      <c r="D77" s="1226" t="s">
        <v>419</v>
      </c>
      <c r="E77" s="1210" t="s">
        <v>420</v>
      </c>
      <c r="F77" s="1212">
        <v>24501677</v>
      </c>
      <c r="G77" s="1222">
        <v>45966</v>
      </c>
      <c r="H77" s="45">
        <f>'ENGICON RIYADH 4 P2 '!M31</f>
        <v>7963335</v>
      </c>
      <c r="I77" s="45">
        <f>'Invoices (2)'!$H77*15%</f>
        <v>1194500.25</v>
      </c>
      <c r="J77" s="45">
        <f>'Invoices (2)'!$H77+'Invoices (2)'!$I77</f>
        <v>9157835.25</v>
      </c>
      <c r="K77" s="247"/>
      <c r="L77" s="247"/>
      <c r="M77" s="247"/>
      <c r="N77" s="45"/>
      <c r="O77" s="247">
        <v>46013</v>
      </c>
      <c r="P77" s="45">
        <v>3062800.5</v>
      </c>
      <c r="Q77" s="45">
        <f>Currentinvoices[[#This Row],[Invoice '# 3 amount]]*15%</f>
        <v>459420.07500000001</v>
      </c>
      <c r="R77" s="45">
        <f>Currentinvoices[[#This Row],[Invoice '# 3 vat]]+Currentinvoices[[#This Row],[Invoice '# 3 amount]]</f>
        <v>3522220.5750000002</v>
      </c>
      <c r="S77" s="247">
        <v>46114</v>
      </c>
      <c r="T77" s="45">
        <f>'ENGICON RIYADH 4 P2 '!Q31</f>
        <v>2450222.5</v>
      </c>
      <c r="U77" s="45">
        <f>Currentinvoices[[#This Row],[Invoice '# 4 amount]]*15%</f>
        <v>367533.375</v>
      </c>
      <c r="V77" s="45">
        <f>Currentinvoices[[#This Row],[Invoice '# 4 vat]]+Currentinvoices[[#This Row],[Invoice '# 4 amount]]</f>
        <v>2817755.875</v>
      </c>
      <c r="W77" s="45"/>
      <c r="X77" s="45"/>
      <c r="Y77" s="45"/>
      <c r="Z77" s="45"/>
      <c r="AA77" s="1252">
        <v>46127</v>
      </c>
      <c r="AB77" s="45">
        <f>'ENGICON RIYADH 4 P2 '!S31</f>
        <v>5512659.5</v>
      </c>
      <c r="AC77" s="45">
        <f>15%*Currentinvoices[[#This Row],[Invoice '# 6 amount]]</f>
        <v>826898.92499999993</v>
      </c>
      <c r="AD77" s="45">
        <f>Currentinvoices[[#This Row],[Invoice '# 6 vat]]+Currentinvoices[[#This Row],[Invoice '# 6 amount]]</f>
        <v>6339558.4249999998</v>
      </c>
      <c r="AE77" s="1252"/>
      <c r="AF77" s="45"/>
      <c r="AG77" s="45"/>
      <c r="AH77" s="45"/>
      <c r="AI77" s="247">
        <v>46209</v>
      </c>
      <c r="AJ77" s="1263">
        <v>5512659.5</v>
      </c>
      <c r="AK77" s="1263">
        <f>Currentinvoices[[#This Row],[Invoice '# 8 amount]]*15%</f>
        <v>826898.92499999993</v>
      </c>
      <c r="AL77" s="304">
        <f>Currentinvoices[[#This Row],[Invoice '# 8 vat]]+Currentinvoices[[#This Row],[Invoice '# 8 amount]]</f>
        <v>6339558.4249999998</v>
      </c>
      <c r="AM77" s="304"/>
      <c r="AN77" s="304"/>
      <c r="AO77" s="304"/>
      <c r="AP77" s="304"/>
      <c r="AQ77" s="304"/>
      <c r="AR77" s="304"/>
      <c r="AS77" s="304"/>
      <c r="AT77" s="304"/>
      <c r="AU77" s="304"/>
      <c r="AV77" s="304"/>
      <c r="AW77" s="304"/>
      <c r="AX77" s="304"/>
      <c r="AY77" s="304"/>
      <c r="AZ77" s="304"/>
      <c r="BA77" s="304"/>
      <c r="BB77" s="304"/>
      <c r="BC77" s="304"/>
      <c r="BD77" s="304"/>
      <c r="BE77" s="304"/>
      <c r="BF77" s="304"/>
      <c r="BG77" s="304"/>
      <c r="BH77" s="304"/>
      <c r="BI77" s="304"/>
      <c r="BJ77" s="304"/>
      <c r="BK77" s="304"/>
      <c r="BL77" s="304"/>
      <c r="BM77" s="304"/>
      <c r="BN77" s="304"/>
      <c r="BO77" s="304"/>
      <c r="BP77" s="304"/>
      <c r="BQ77" s="304"/>
      <c r="BR77" s="328"/>
      <c r="BS77" s="328"/>
      <c r="BT77" s="328"/>
      <c r="BU77" s="328"/>
      <c r="BV77" s="328"/>
      <c r="BW77" s="304"/>
      <c r="BX77" s="304"/>
      <c r="BY77" s="304"/>
      <c r="BZ77" s="328"/>
      <c r="CA77" s="247"/>
      <c r="CB77" s="247"/>
      <c r="CC77" s="247"/>
      <c r="CD77" s="247"/>
      <c r="CE77" s="247"/>
      <c r="CF77" s="247"/>
      <c r="CG77" s="247"/>
      <c r="CH77" s="247"/>
      <c r="CI77" s="328"/>
      <c r="CJ77" s="328"/>
      <c r="CK77" s="328"/>
      <c r="CL77" s="328"/>
      <c r="CM77" s="328"/>
      <c r="CN77" s="328"/>
      <c r="CO77" s="328"/>
      <c r="CP77" s="328"/>
      <c r="CQ77" s="328"/>
      <c r="CR77" s="328"/>
      <c r="CS77" s="328"/>
      <c r="CT77" s="328"/>
      <c r="CU77" s="328"/>
      <c r="CV77" s="328"/>
      <c r="CW77" s="328"/>
      <c r="CX77" s="328"/>
      <c r="CY77" s="328"/>
      <c r="CZ77" s="328"/>
      <c r="DA77" s="328"/>
      <c r="DB77" s="328"/>
      <c r="DC77" s="1216"/>
      <c r="DD77" s="1217">
        <f>F77</f>
        <v>24501677</v>
      </c>
      <c r="DE77" s="1217">
        <f>DD77*15%</f>
        <v>3675251.55</v>
      </c>
      <c r="DF77" s="1217">
        <f>DD77+DE77</f>
        <v>28176928.550000001</v>
      </c>
      <c r="DG77" s="1217">
        <f t="shared" si="6"/>
        <v>24501677</v>
      </c>
      <c r="DH77" s="1217">
        <f t="shared" si="7"/>
        <v>28176928.550000001</v>
      </c>
      <c r="DI77" s="1218">
        <v>1</v>
      </c>
      <c r="DJ77" s="1219">
        <f t="shared" si="29"/>
        <v>24501677</v>
      </c>
      <c r="DK77" s="1217">
        <f>DJ77-DG77</f>
        <v>0</v>
      </c>
      <c r="DL77" s="1205"/>
      <c r="DM77" s="1205"/>
      <c r="DN77" s="1205"/>
      <c r="DO77" s="1205"/>
      <c r="DP77" s="1205"/>
      <c r="DQ77" s="1205"/>
      <c r="DR77" s="1205"/>
    </row>
    <row r="78" spans="1:122" ht="15.6">
      <c r="A78" s="1228" t="s">
        <v>364</v>
      </c>
      <c r="B78" t="s">
        <v>370</v>
      </c>
      <c r="C78" s="1210">
        <v>3</v>
      </c>
      <c r="D78" s="1226" t="s">
        <v>653</v>
      </c>
      <c r="E78" s="1210"/>
      <c r="F78" s="1212">
        <v>1124289</v>
      </c>
      <c r="G78" s="1222"/>
      <c r="H78" s="45"/>
      <c r="I78" s="45"/>
      <c r="J78" s="45"/>
      <c r="K78" s="247"/>
      <c r="L78" s="247"/>
      <c r="M78" s="247"/>
      <c r="N78" s="45"/>
      <c r="O78" s="247"/>
      <c r="P78" s="247"/>
      <c r="Q78" s="247"/>
      <c r="R78" s="45"/>
      <c r="S78" s="45"/>
      <c r="T78" s="45"/>
      <c r="U78" s="45"/>
      <c r="V78" s="45"/>
      <c r="W78" s="1252">
        <v>46125</v>
      </c>
      <c r="X78" s="45">
        <f>'ENGICON RIYADH 4 P2 '!M44</f>
        <v>168701</v>
      </c>
      <c r="Y78" s="45">
        <f>15%*Currentinvoices[[#This Row],[Invoice '# 5 amount]]</f>
        <v>25305.149999999998</v>
      </c>
      <c r="Z78" s="45">
        <f>Currentinvoices[[#This Row],[Invoice '# 5 vat]]+Currentinvoices[[#This Row],[Invoice '# 5 amount]]</f>
        <v>194006.15</v>
      </c>
      <c r="AA78" s="45"/>
      <c r="AB78" s="45"/>
      <c r="AC78" s="45"/>
      <c r="AD78" s="45"/>
      <c r="AE78" s="45"/>
      <c r="AF78" s="45"/>
      <c r="AG78" s="45"/>
      <c r="AH78" s="45"/>
      <c r="AI78" s="247"/>
      <c r="AJ78" s="247"/>
      <c r="AK78" s="247"/>
      <c r="AL78" s="304"/>
      <c r="AM78" s="304"/>
      <c r="AN78" s="304"/>
      <c r="AO78" s="304"/>
      <c r="AP78" s="304"/>
      <c r="AQ78" s="304"/>
      <c r="AR78" s="304"/>
      <c r="AS78" s="304"/>
      <c r="AT78" s="304"/>
      <c r="AU78" s="304"/>
      <c r="AV78" s="304"/>
      <c r="AW78" s="304"/>
      <c r="AX78" s="304"/>
      <c r="AY78" s="304"/>
      <c r="AZ78" s="304"/>
      <c r="BA78" s="304"/>
      <c r="BB78" s="304"/>
      <c r="BC78" s="304"/>
      <c r="BD78" s="304"/>
      <c r="BE78" s="304"/>
      <c r="BF78" s="304"/>
      <c r="BG78" s="304"/>
      <c r="BH78" s="304"/>
      <c r="BI78" s="304"/>
      <c r="BJ78" s="304"/>
      <c r="BK78" s="304"/>
      <c r="BL78" s="304"/>
      <c r="BM78" s="304"/>
      <c r="BN78" s="304"/>
      <c r="BO78" s="304"/>
      <c r="BP78" s="304"/>
      <c r="BQ78" s="304"/>
      <c r="BR78" s="328"/>
      <c r="BS78" s="328"/>
      <c r="BT78" s="328"/>
      <c r="BU78" s="328"/>
      <c r="BV78" s="328"/>
      <c r="BW78" s="304"/>
      <c r="BX78" s="304"/>
      <c r="BY78" s="304"/>
      <c r="BZ78" s="328"/>
      <c r="CA78" s="247"/>
      <c r="CB78" s="247"/>
      <c r="CC78" s="247"/>
      <c r="CD78" s="247"/>
      <c r="CE78" s="247"/>
      <c r="CF78" s="247"/>
      <c r="CG78" s="247"/>
      <c r="CH78" s="247"/>
      <c r="CI78" s="328"/>
      <c r="CJ78" s="328"/>
      <c r="CK78" s="328"/>
      <c r="CL78" s="328"/>
      <c r="CM78" s="328"/>
      <c r="CN78" s="328"/>
      <c r="CO78" s="328"/>
      <c r="CP78" s="328"/>
      <c r="CQ78" s="328"/>
      <c r="CR78" s="328"/>
      <c r="CS78" s="328"/>
      <c r="CT78" s="328"/>
      <c r="CU78" s="328"/>
      <c r="CV78" s="328"/>
      <c r="CW78" s="328"/>
      <c r="CX78" s="328"/>
      <c r="CY78" s="328"/>
      <c r="CZ78" s="328"/>
      <c r="DA78" s="328"/>
      <c r="DB78" s="328"/>
      <c r="DC78" s="1216"/>
      <c r="DD78" s="1217">
        <f>Currentinvoices[[#This Row],[Task Value]]</f>
        <v>1124289</v>
      </c>
      <c r="DE78" s="1217">
        <f>DD78*15%</f>
        <v>168643.35</v>
      </c>
      <c r="DF78" s="1217">
        <f>DD78+DE78</f>
        <v>1292932.3500000001</v>
      </c>
      <c r="DG78" s="1217">
        <f t="shared" si="6"/>
        <v>168701</v>
      </c>
      <c r="DH78" s="1217">
        <f t="shared" si="7"/>
        <v>194006.15</v>
      </c>
      <c r="DI78" s="1218">
        <v>0.25</v>
      </c>
      <c r="DJ78" s="1219">
        <f t="shared" si="29"/>
        <v>281072.25</v>
      </c>
      <c r="DK78" s="1217">
        <f>DJ78-DG78</f>
        <v>112371.25</v>
      </c>
      <c r="DL78" s="1205"/>
      <c r="DM78" s="1205"/>
      <c r="DN78" s="1205"/>
      <c r="DO78" s="1205"/>
      <c r="DP78" s="1205"/>
      <c r="DQ78" s="1205"/>
      <c r="DR78" s="1205"/>
    </row>
    <row r="79" spans="1:122" ht="15.6">
      <c r="A79" s="1228" t="s">
        <v>364</v>
      </c>
      <c r="B79" t="s">
        <v>370</v>
      </c>
      <c r="C79" s="1259">
        <v>4</v>
      </c>
      <c r="D79" s="1226" t="s">
        <v>672</v>
      </c>
      <c r="E79" s="1259"/>
      <c r="F79" s="1261">
        <v>2504618</v>
      </c>
      <c r="G79" s="1262"/>
      <c r="H79" s="1263"/>
      <c r="I79" s="1263"/>
      <c r="J79" s="1263"/>
      <c r="K79" s="1264"/>
      <c r="L79" s="1264"/>
      <c r="M79" s="1264"/>
      <c r="N79" s="1263"/>
      <c r="O79" s="1264"/>
      <c r="P79" s="1264"/>
      <c r="Q79" s="1264"/>
      <c r="R79" s="1263"/>
      <c r="S79" s="1263"/>
      <c r="T79" s="1263"/>
      <c r="U79" s="1263"/>
      <c r="V79" s="1263"/>
      <c r="W79" s="1263"/>
      <c r="X79" s="1263"/>
      <c r="Y79" s="1263"/>
      <c r="Z79" s="1263"/>
      <c r="AA79" s="1263"/>
      <c r="AB79" s="1263"/>
      <c r="AC79" s="1263"/>
      <c r="AD79" s="1263"/>
      <c r="AE79" s="1252">
        <v>46196</v>
      </c>
      <c r="AF79" s="1263">
        <v>187841.5</v>
      </c>
      <c r="AG79" s="1263">
        <f>Currentinvoices[[#This Row],[Invoice '# 7 amount]]*15%</f>
        <v>28176.224999999999</v>
      </c>
      <c r="AH79" s="1263">
        <f>Currentinvoices[[#This Row],[Invoice '# 7 vat]]+Currentinvoices[[#This Row],[Invoice '# 7 amount]]</f>
        <v>216017.72500000001</v>
      </c>
      <c r="AI79" s="1264"/>
      <c r="AJ79" s="1264"/>
      <c r="AK79" s="1264"/>
      <c r="AL79" s="1265"/>
      <c r="AM79" s="247">
        <v>46218</v>
      </c>
      <c r="AN79" s="1265">
        <v>187841.5</v>
      </c>
      <c r="AO79" s="1265">
        <f>Currentinvoices[[#This Row],[Invoice '# 9 amount]]*15%</f>
        <v>28176.224999999999</v>
      </c>
      <c r="AP79" s="1265">
        <f>Currentinvoices[[#This Row],[Invoice '# 9 amount]]+Currentinvoices[[#This Row],[Invoice '# 9 vat]]</f>
        <v>216017.72500000001</v>
      </c>
      <c r="AQ79" s="1265"/>
      <c r="AR79" s="1265"/>
      <c r="AS79" s="1265"/>
      <c r="AT79" s="1265"/>
      <c r="AU79" s="1265"/>
      <c r="AV79" s="1265"/>
      <c r="AW79" s="1265"/>
      <c r="AX79" s="1265"/>
      <c r="AY79" s="1265"/>
      <c r="AZ79" s="1265"/>
      <c r="BA79" s="1265"/>
      <c r="BB79" s="1265"/>
      <c r="BC79" s="1265"/>
      <c r="BD79" s="1265"/>
      <c r="BE79" s="1265"/>
      <c r="BF79" s="1265"/>
      <c r="BG79" s="1265"/>
      <c r="BH79" s="1265"/>
      <c r="BI79" s="1265"/>
      <c r="BJ79" s="1265"/>
      <c r="BK79" s="1265"/>
      <c r="BL79" s="1265"/>
      <c r="BM79" s="1265"/>
      <c r="BN79" s="1265"/>
      <c r="BO79" s="1265"/>
      <c r="BP79" s="1265"/>
      <c r="BQ79" s="1265"/>
      <c r="BR79" s="1266"/>
      <c r="BS79" s="1266"/>
      <c r="BT79" s="1266"/>
      <c r="BU79" s="1266"/>
      <c r="BV79" s="1266"/>
      <c r="BW79" s="1265"/>
      <c r="BX79" s="1265"/>
      <c r="BY79" s="1265"/>
      <c r="BZ79" s="1266"/>
      <c r="CA79" s="1264"/>
      <c r="CB79" s="1264"/>
      <c r="CC79" s="1263"/>
      <c r="CD79" s="1263"/>
      <c r="CE79" s="1263"/>
      <c r="CF79" s="1263"/>
      <c r="CG79" s="1263"/>
      <c r="CH79" s="1263"/>
      <c r="CI79" s="1266"/>
      <c r="CJ79" s="1266"/>
      <c r="CK79" s="1266"/>
      <c r="CL79" s="1266"/>
      <c r="CM79" s="1266"/>
      <c r="CN79" s="1266"/>
      <c r="CO79" s="1266"/>
      <c r="CP79" s="1266"/>
      <c r="CQ79" s="1266"/>
      <c r="CR79" s="1266"/>
      <c r="CS79" s="1266"/>
      <c r="CT79" s="1266"/>
      <c r="CU79" s="1266"/>
      <c r="CV79" s="1266"/>
      <c r="CW79" s="1266"/>
      <c r="CX79" s="1266"/>
      <c r="CY79" s="1266"/>
      <c r="CZ79" s="1266"/>
      <c r="DA79" s="1266"/>
      <c r="DB79" s="1266"/>
      <c r="DC79" s="1267"/>
      <c r="DD79" s="1217">
        <f>Currentinvoices[[#This Row],[Task Value]]</f>
        <v>2504618</v>
      </c>
      <c r="DE79" s="1217">
        <f>DD79*15%</f>
        <v>375692.7</v>
      </c>
      <c r="DF79" s="1217">
        <f>DD79+DE79</f>
        <v>2880310.7</v>
      </c>
      <c r="DG79" s="1268">
        <f>SUMPRODUCT((MOD(COLUMN(G79:DB79)-COLUMN(G79),4)=1)*G79:DB79)</f>
        <v>375683</v>
      </c>
      <c r="DH79" s="1268">
        <f>SUMPRODUCT((MOD(COLUMN(G79:DB79)-COLUMN(H79),4)=2)*G79:DB79)</f>
        <v>432035.45</v>
      </c>
      <c r="DI79" s="1269">
        <v>0.37</v>
      </c>
      <c r="DJ79" s="1219">
        <f t="shared" si="29"/>
        <v>926708.66</v>
      </c>
      <c r="DK79" s="1217">
        <f>DJ79-DG79</f>
        <v>551025.66</v>
      </c>
      <c r="DL79" s="1205"/>
      <c r="DM79" s="1205"/>
      <c r="DN79" s="1205"/>
      <c r="DO79" s="1205"/>
      <c r="DP79" s="1205"/>
      <c r="DQ79" s="1205"/>
      <c r="DR79" s="1205"/>
    </row>
    <row r="80" spans="1:122" ht="15.6">
      <c r="A80" s="1228" t="s">
        <v>364</v>
      </c>
      <c r="B80" t="s">
        <v>370</v>
      </c>
      <c r="C80" s="1259">
        <v>5</v>
      </c>
      <c r="D80" s="1226" t="s">
        <v>673</v>
      </c>
      <c r="E80" s="1259"/>
      <c r="F80" s="1261">
        <v>8850569</v>
      </c>
      <c r="G80" s="1262"/>
      <c r="H80" s="1263"/>
      <c r="I80" s="1263"/>
      <c r="J80" s="1263"/>
      <c r="K80" s="1264"/>
      <c r="L80" s="1264"/>
      <c r="M80" s="1264"/>
      <c r="N80" s="1263"/>
      <c r="O80" s="1264"/>
      <c r="P80" s="1264"/>
      <c r="Q80" s="1264"/>
      <c r="R80" s="1263"/>
      <c r="S80" s="1263"/>
      <c r="T80" s="1263"/>
      <c r="U80" s="1263"/>
      <c r="V80" s="1263"/>
      <c r="W80" s="1263"/>
      <c r="X80" s="1263"/>
      <c r="Y80" s="1263"/>
      <c r="Z80" s="1263"/>
      <c r="AA80" s="1263"/>
      <c r="AB80" s="1263"/>
      <c r="AC80" s="1263"/>
      <c r="AD80" s="1263"/>
      <c r="AE80" s="1263"/>
      <c r="AF80" s="1263"/>
      <c r="AG80" s="1263"/>
      <c r="AH80" s="1263"/>
      <c r="AI80" s="1264"/>
      <c r="AJ80" s="1264"/>
      <c r="AK80" s="1264"/>
      <c r="AL80" s="1265"/>
      <c r="AM80" s="1266"/>
      <c r="AN80" s="1265"/>
      <c r="AO80" s="1265"/>
      <c r="AP80" s="1265"/>
      <c r="AQ80" s="1265"/>
      <c r="AR80" s="1265"/>
      <c r="AS80" s="1265"/>
      <c r="AT80" s="1265"/>
      <c r="AU80" s="1265"/>
      <c r="AV80" s="1265"/>
      <c r="AW80" s="1265"/>
      <c r="AX80" s="1265"/>
      <c r="AY80" s="1265"/>
      <c r="AZ80" s="1265"/>
      <c r="BA80" s="1265"/>
      <c r="BB80" s="1265"/>
      <c r="BC80" s="1265"/>
      <c r="BD80" s="1265"/>
      <c r="BE80" s="1265"/>
      <c r="BF80" s="1265"/>
      <c r="BG80" s="1265"/>
      <c r="BH80" s="1265"/>
      <c r="BI80" s="1265"/>
      <c r="BJ80" s="1265"/>
      <c r="BK80" s="1265"/>
      <c r="BL80" s="1265"/>
      <c r="BM80" s="1265"/>
      <c r="BN80" s="1265"/>
      <c r="BO80" s="1265"/>
      <c r="BP80" s="1265"/>
      <c r="BQ80" s="1265"/>
      <c r="BR80" s="1266"/>
      <c r="BS80" s="1266"/>
      <c r="BT80" s="1266"/>
      <c r="BU80" s="1266"/>
      <c r="BV80" s="1266"/>
      <c r="BW80" s="1265"/>
      <c r="BX80" s="1265"/>
      <c r="BY80" s="1265"/>
      <c r="BZ80" s="1266"/>
      <c r="CA80" s="1264"/>
      <c r="CB80" s="1264"/>
      <c r="CC80" s="1263"/>
      <c r="CD80" s="1263"/>
      <c r="CE80" s="1263"/>
      <c r="CF80" s="1263"/>
      <c r="CG80" s="1263"/>
      <c r="CH80" s="1263"/>
      <c r="CI80" s="1266"/>
      <c r="CJ80" s="1266"/>
      <c r="CK80" s="1266"/>
      <c r="CL80" s="1266"/>
      <c r="CM80" s="1266"/>
      <c r="CN80" s="1266"/>
      <c r="CO80" s="1266"/>
      <c r="CP80" s="1266"/>
      <c r="CQ80" s="1266"/>
      <c r="CR80" s="1266"/>
      <c r="CS80" s="1266"/>
      <c r="CT80" s="1266"/>
      <c r="CU80" s="1266"/>
      <c r="CV80" s="1266"/>
      <c r="CW80" s="1266"/>
      <c r="CX80" s="1266"/>
      <c r="CY80" s="1266"/>
      <c r="CZ80" s="1266"/>
      <c r="DA80" s="1266"/>
      <c r="DB80" s="1266"/>
      <c r="DC80" s="1267"/>
      <c r="DD80" s="1268"/>
      <c r="DE80" s="1268"/>
      <c r="DF80" s="1268"/>
      <c r="DG80" s="1268">
        <f>SUMPRODUCT((MOD(COLUMN(G80:DB80)-COLUMN(G80),4)=1)*G80:DB80)</f>
        <v>0</v>
      </c>
      <c r="DH80" s="1268">
        <f>SUMPRODUCT((MOD(COLUMN(G80:DB80)-COLUMN(H80),4)=2)*G80:DB80)</f>
        <v>0</v>
      </c>
      <c r="DI80" s="1269"/>
      <c r="DJ80" s="1270"/>
      <c r="DK80" s="1268"/>
      <c r="DL80" s="1205"/>
      <c r="DM80" s="1205"/>
      <c r="DN80" s="1205"/>
      <c r="DO80" s="1205"/>
      <c r="DP80" s="1205"/>
      <c r="DQ80" s="1205"/>
      <c r="DR80" s="1205"/>
    </row>
    <row r="81" spans="1:122" ht="15.6">
      <c r="A81" s="1228" t="s">
        <v>366</v>
      </c>
      <c r="B81" t="s">
        <v>373</v>
      </c>
      <c r="C81" s="1210">
        <v>1</v>
      </c>
      <c r="D81" s="1226" t="s">
        <v>386</v>
      </c>
      <c r="E81" s="1210" t="s">
        <v>387</v>
      </c>
      <c r="F81" s="1212">
        <v>7146100</v>
      </c>
      <c r="G81" s="1222">
        <v>45960</v>
      </c>
      <c r="H81" s="45">
        <f>'AlDar International '!M18</f>
        <v>659049.98</v>
      </c>
      <c r="I81" s="45">
        <f>'Invoices (2)'!$H81*15%</f>
        <v>98857.496999999988</v>
      </c>
      <c r="J81" s="45">
        <f>'Invoices (2)'!$H81+'Invoices (2)'!$I81</f>
        <v>757907.47699999996</v>
      </c>
      <c r="K81" s="247">
        <v>45981</v>
      </c>
      <c r="L81" s="45">
        <v>776250</v>
      </c>
      <c r="M81" s="45">
        <f>'Invoices (2)'!$L81*15%</f>
        <v>116437.5</v>
      </c>
      <c r="N81" s="45">
        <f>'Invoices (2)'!$M81+'Invoices (2)'!$L81</f>
        <v>892687.5</v>
      </c>
      <c r="O81" s="247">
        <v>46113</v>
      </c>
      <c r="P81" s="1254">
        <f>'AlDar International '!Q18</f>
        <v>1090800.0001149999</v>
      </c>
      <c r="Q81" s="1254">
        <f>15%*Currentinvoices[[#This Row],[Invoice '# 3 amount]]</f>
        <v>163620.00001724999</v>
      </c>
      <c r="R81" s="45">
        <f>Currentinvoices[[#This Row],[Invoice '# 3 vat]]+Currentinvoices[[#This Row],[Invoice '# 3 vat]]</f>
        <v>327240.00003449997</v>
      </c>
      <c r="S81" s="45"/>
      <c r="T81" s="45">
        <f>'AlDar International '!S18</f>
        <v>3517000.3543296</v>
      </c>
      <c r="U81" s="45">
        <f>Currentinvoices[[#This Row],[Invoice '# 4 amount]]*15%</f>
        <v>527550.05314943998</v>
      </c>
      <c r="V81" s="45">
        <f>Currentinvoices[[#This Row],[Invoice '# 4 vat]]+Currentinvoices[[#This Row],[Invoice '# 4 amount]]</f>
        <v>4044550.4074790399</v>
      </c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247"/>
      <c r="AJ81" s="247"/>
      <c r="AK81" s="247"/>
      <c r="AL81" s="304"/>
      <c r="AM81" s="304"/>
      <c r="AN81" s="304"/>
      <c r="AO81" s="304"/>
      <c r="AP81" s="304"/>
      <c r="AQ81" s="304"/>
      <c r="AR81" s="304"/>
      <c r="AS81" s="304"/>
      <c r="AT81" s="304"/>
      <c r="AU81" s="304"/>
      <c r="AV81" s="304"/>
      <c r="AW81" s="304"/>
      <c r="AX81" s="304"/>
      <c r="AY81" s="304"/>
      <c r="AZ81" s="304"/>
      <c r="BA81" s="304"/>
      <c r="BB81" s="304"/>
      <c r="BC81" s="304"/>
      <c r="BD81" s="304"/>
      <c r="BE81" s="304"/>
      <c r="BF81" s="304"/>
      <c r="BG81" s="304"/>
      <c r="BH81" s="304"/>
      <c r="BI81" s="304"/>
      <c r="BJ81" s="304"/>
      <c r="BK81" s="304"/>
      <c r="BL81" s="304"/>
      <c r="BM81" s="304"/>
      <c r="BN81" s="304"/>
      <c r="BO81" s="304"/>
      <c r="BP81" s="304"/>
      <c r="BQ81" s="304"/>
      <c r="BR81" s="328"/>
      <c r="BS81" s="328"/>
      <c r="BT81" s="328"/>
      <c r="BU81" s="328"/>
      <c r="BV81" s="328"/>
      <c r="BW81" s="304"/>
      <c r="BX81" s="304"/>
      <c r="BY81" s="304"/>
      <c r="BZ81" s="328"/>
      <c r="CA81" s="247"/>
      <c r="CB81" s="247"/>
      <c r="CC81" s="247"/>
      <c r="CD81" s="247"/>
      <c r="CE81" s="247"/>
      <c r="CF81" s="247"/>
      <c r="CG81" s="247"/>
      <c r="CH81" s="247"/>
      <c r="CI81" s="328"/>
      <c r="CJ81" s="328"/>
      <c r="CK81" s="328"/>
      <c r="CL81" s="328"/>
      <c r="CM81" s="328"/>
      <c r="CN81" s="328"/>
      <c r="CO81" s="328"/>
      <c r="CP81" s="328"/>
      <c r="CQ81" s="328"/>
      <c r="CR81" s="328"/>
      <c r="CS81" s="328"/>
      <c r="CT81" s="328"/>
      <c r="CU81" s="328"/>
      <c r="CV81" s="328"/>
      <c r="CW81" s="328"/>
      <c r="CX81" s="328"/>
      <c r="CY81" s="328"/>
      <c r="CZ81" s="328"/>
      <c r="DA81" s="328"/>
      <c r="DB81" s="328"/>
      <c r="DC81" s="1216"/>
      <c r="DD81" s="1217">
        <f>F81</f>
        <v>7146100</v>
      </c>
      <c r="DE81" s="1217">
        <f>DD81*15%</f>
        <v>1071915</v>
      </c>
      <c r="DF81" s="1217">
        <f>DD81+DE81</f>
        <v>8218015</v>
      </c>
      <c r="DG81" s="1217">
        <f>SUMPRODUCT((MOD(COLUMN(G81:DB81)-COLUMN(G81),4)=1)*G81:DB81)</f>
        <v>6043100.3344446002</v>
      </c>
      <c r="DH81" s="1217">
        <f t="shared" si="7"/>
        <v>6022385.3845135402</v>
      </c>
      <c r="DI81" s="1218">
        <v>1</v>
      </c>
      <c r="DJ81" s="1219">
        <f t="shared" si="29"/>
        <v>7146100</v>
      </c>
      <c r="DK81" s="1217">
        <f>DJ81-DG81</f>
        <v>1102999.6655553998</v>
      </c>
      <c r="DL81" s="1205"/>
      <c r="DM81" s="1205"/>
      <c r="DN81" s="1205"/>
      <c r="DO81" s="1205"/>
      <c r="DP81" s="1205"/>
      <c r="DQ81" s="1205"/>
      <c r="DR81" s="1205"/>
    </row>
    <row r="82" spans="1:122" ht="15.6">
      <c r="A82" s="1228" t="s">
        <v>366</v>
      </c>
      <c r="B82" t="s">
        <v>373</v>
      </c>
      <c r="C82" s="1210"/>
      <c r="D82" s="1225"/>
      <c r="E82" s="1210"/>
      <c r="F82" s="1212"/>
      <c r="G82" s="1222"/>
      <c r="H82" s="45"/>
      <c r="I82" s="45"/>
      <c r="J82" s="45"/>
      <c r="K82" s="247"/>
      <c r="L82" s="247"/>
      <c r="M82" s="247"/>
      <c r="N82" s="45"/>
      <c r="O82" s="247"/>
      <c r="P82" s="247"/>
      <c r="Q82" s="247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247"/>
      <c r="AJ82" s="247"/>
      <c r="AK82" s="247"/>
      <c r="AL82" s="304"/>
      <c r="AM82" s="304"/>
      <c r="AN82" s="304"/>
      <c r="AO82" s="304"/>
      <c r="AP82" s="304"/>
      <c r="AQ82" s="304"/>
      <c r="AR82" s="304"/>
      <c r="AS82" s="304"/>
      <c r="AT82" s="304"/>
      <c r="AU82" s="304"/>
      <c r="AV82" s="304"/>
      <c r="AW82" s="304"/>
      <c r="AX82" s="304"/>
      <c r="AY82" s="304"/>
      <c r="AZ82" s="304"/>
      <c r="BA82" s="304"/>
      <c r="BB82" s="304"/>
      <c r="BC82" s="304"/>
      <c r="BD82" s="304"/>
      <c r="BE82" s="304"/>
      <c r="BF82" s="304"/>
      <c r="BG82" s="304"/>
      <c r="BH82" s="304"/>
      <c r="BI82" s="304"/>
      <c r="BJ82" s="304"/>
      <c r="BK82" s="304"/>
      <c r="BL82" s="304"/>
      <c r="BM82" s="304"/>
      <c r="BN82" s="304"/>
      <c r="BO82" s="304"/>
      <c r="BP82" s="304"/>
      <c r="BQ82" s="304"/>
      <c r="BR82" s="328"/>
      <c r="BS82" s="328"/>
      <c r="BT82" s="328"/>
      <c r="BU82" s="328"/>
      <c r="BV82" s="328"/>
      <c r="BW82" s="304"/>
      <c r="BX82" s="304"/>
      <c r="BY82" s="304"/>
      <c r="BZ82" s="328"/>
      <c r="CA82" s="247"/>
      <c r="CB82" s="247"/>
      <c r="CC82" s="247"/>
      <c r="CD82" s="247"/>
      <c r="CE82" s="247"/>
      <c r="CF82" s="247"/>
      <c r="CG82" s="247"/>
      <c r="CH82" s="247"/>
      <c r="CI82" s="328"/>
      <c r="CJ82" s="328"/>
      <c r="CK82" s="328"/>
      <c r="CL82" s="328"/>
      <c r="CM82" s="328"/>
      <c r="CN82" s="328"/>
      <c r="CO82" s="328"/>
      <c r="CP82" s="328"/>
      <c r="CQ82" s="328"/>
      <c r="CR82" s="328"/>
      <c r="CS82" s="328"/>
      <c r="CT82" s="328"/>
      <c r="CU82" s="328"/>
      <c r="CV82" s="328"/>
      <c r="CW82" s="328"/>
      <c r="CX82" s="328"/>
      <c r="CY82" s="328"/>
      <c r="CZ82" s="328"/>
      <c r="DA82" s="328"/>
      <c r="DB82" s="328"/>
      <c r="DC82" s="1216"/>
      <c r="DD82" s="1217"/>
      <c r="DE82" s="1217"/>
      <c r="DF82" s="1217"/>
      <c r="DG82" s="1217">
        <f t="shared" ref="DG82:DG93" si="33">SUMPRODUCT((MOD(COLUMN(G82:DB82)-COLUMN(G82),4)=1)*G82:DB82)</f>
        <v>0</v>
      </c>
      <c r="DH82" s="1217">
        <f t="shared" si="7"/>
        <v>0</v>
      </c>
      <c r="DI82" s="1218"/>
      <c r="DJ82" s="1219"/>
      <c r="DK82" s="1217"/>
      <c r="DL82" s="1205"/>
      <c r="DM82" s="1205"/>
      <c r="DN82" s="1205"/>
      <c r="DO82" s="1205"/>
      <c r="DP82" s="1205"/>
      <c r="DQ82" s="1205"/>
      <c r="DR82" s="1205"/>
    </row>
    <row r="83" spans="1:122" ht="15.6">
      <c r="A83" s="1228" t="s">
        <v>366</v>
      </c>
      <c r="B83" t="s">
        <v>373</v>
      </c>
      <c r="C83" s="1210"/>
      <c r="D83" s="1226"/>
      <c r="E83" s="1210"/>
      <c r="F83" s="1212"/>
      <c r="G83" s="1222"/>
      <c r="H83" s="45"/>
      <c r="I83" s="45"/>
      <c r="J83" s="45"/>
      <c r="K83" s="247"/>
      <c r="L83" s="247"/>
      <c r="M83" s="247"/>
      <c r="N83" s="45"/>
      <c r="O83" s="247"/>
      <c r="P83" s="247"/>
      <c r="Q83" s="247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247"/>
      <c r="AJ83" s="247"/>
      <c r="AK83" s="247"/>
      <c r="AL83" s="304"/>
      <c r="AM83" s="304"/>
      <c r="AN83" s="304"/>
      <c r="AO83" s="304"/>
      <c r="AP83" s="304"/>
      <c r="AQ83" s="304"/>
      <c r="AR83" s="304"/>
      <c r="AS83" s="304"/>
      <c r="AT83" s="304"/>
      <c r="AU83" s="304"/>
      <c r="AV83" s="304"/>
      <c r="AW83" s="304"/>
      <c r="AX83" s="304"/>
      <c r="AY83" s="304"/>
      <c r="AZ83" s="304"/>
      <c r="BA83" s="304"/>
      <c r="BB83" s="304"/>
      <c r="BC83" s="304"/>
      <c r="BD83" s="304"/>
      <c r="BE83" s="304"/>
      <c r="BF83" s="304"/>
      <c r="BG83" s="304"/>
      <c r="BH83" s="304"/>
      <c r="BI83" s="304"/>
      <c r="BJ83" s="304"/>
      <c r="BK83" s="304"/>
      <c r="BL83" s="304"/>
      <c r="BM83" s="304"/>
      <c r="BN83" s="304"/>
      <c r="BO83" s="304"/>
      <c r="BP83" s="304"/>
      <c r="BQ83" s="304"/>
      <c r="BR83" s="328"/>
      <c r="BS83" s="328"/>
      <c r="BT83" s="328"/>
      <c r="BU83" s="328"/>
      <c r="BV83" s="328"/>
      <c r="BW83" s="304"/>
      <c r="BX83" s="304"/>
      <c r="BY83" s="304"/>
      <c r="BZ83" s="328"/>
      <c r="CA83" s="247"/>
      <c r="CB83" s="247"/>
      <c r="CC83" s="247"/>
      <c r="CD83" s="247"/>
      <c r="CE83" s="247"/>
      <c r="CF83" s="247"/>
      <c r="CG83" s="247"/>
      <c r="CH83" s="247"/>
      <c r="CI83" s="328"/>
      <c r="CJ83" s="328"/>
      <c r="CK83" s="328"/>
      <c r="CL83" s="328"/>
      <c r="CM83" s="328"/>
      <c r="CN83" s="328"/>
      <c r="CO83" s="328"/>
      <c r="CP83" s="328"/>
      <c r="CQ83" s="328"/>
      <c r="CR83" s="328"/>
      <c r="CS83" s="328"/>
      <c r="CT83" s="328"/>
      <c r="CU83" s="328"/>
      <c r="CV83" s="328"/>
      <c r="CW83" s="328"/>
      <c r="CX83" s="328"/>
      <c r="CY83" s="328"/>
      <c r="CZ83" s="328"/>
      <c r="DA83" s="328"/>
      <c r="DB83" s="328"/>
      <c r="DC83" s="1216"/>
      <c r="DD83" s="1217"/>
      <c r="DE83" s="1217"/>
      <c r="DF83" s="1217"/>
      <c r="DG83" s="1217">
        <f t="shared" si="33"/>
        <v>0</v>
      </c>
      <c r="DH83" s="1217">
        <f t="shared" si="7"/>
        <v>0</v>
      </c>
      <c r="DI83" s="1218"/>
      <c r="DJ83" s="1219"/>
      <c r="DK83" s="1217"/>
      <c r="DL83" s="1205"/>
      <c r="DM83" s="1205"/>
      <c r="DN83" s="1205"/>
      <c r="DO83" s="1205"/>
      <c r="DP83" s="1205"/>
      <c r="DQ83" s="1205"/>
      <c r="DR83" s="1205"/>
    </row>
    <row r="84" spans="1:122" ht="15.6">
      <c r="A84" s="1228" t="s">
        <v>368</v>
      </c>
      <c r="B84" t="s">
        <v>371</v>
      </c>
      <c r="C84" s="1210">
        <v>1</v>
      </c>
      <c r="D84" s="1226" t="s">
        <v>383</v>
      </c>
      <c r="E84" s="1210" t="s">
        <v>384</v>
      </c>
      <c r="F84" s="1212">
        <v>19206662</v>
      </c>
      <c r="G84" s="1222">
        <v>45929</v>
      </c>
      <c r="H84" s="45">
        <f>Logistic!M13</f>
        <v>960349</v>
      </c>
      <c r="I84" s="45">
        <f>'Invoices (2)'!$H84*15%</f>
        <v>144052.35</v>
      </c>
      <c r="J84" s="45">
        <f>'Invoices (2)'!$H84+'Invoices (2)'!$I84</f>
        <v>1104401.3500000001</v>
      </c>
      <c r="K84" s="247">
        <v>45938</v>
      </c>
      <c r="L84" s="1241">
        <f>Logistic!O13</f>
        <v>960349</v>
      </c>
      <c r="M84" s="1241">
        <f>'Invoices (2)'!$H84*15%</f>
        <v>144052.35</v>
      </c>
      <c r="N84" s="45">
        <f>'Invoices (2)'!$H84+'Invoices (2)'!$I84</f>
        <v>1104401.3500000001</v>
      </c>
      <c r="O84" s="247">
        <v>45959</v>
      </c>
      <c r="P84" s="1241">
        <f>Logistic!Q13</f>
        <v>288080.84999999998</v>
      </c>
      <c r="Q84" s="1241">
        <f>'Invoices (2)'!$P84*15%</f>
        <v>43212.127499999995</v>
      </c>
      <c r="R84" s="45">
        <f>'Invoices (2)'!$P84+'Invoices (2)'!$Q84</f>
        <v>331292.97749999998</v>
      </c>
      <c r="S84" s="45">
        <v>45992</v>
      </c>
      <c r="T84" s="45">
        <f>Logistic!S13</f>
        <v>2784853.1</v>
      </c>
      <c r="U84" s="45">
        <f>'Invoices (2)'!$T84*15%</f>
        <v>417727.96500000003</v>
      </c>
      <c r="V84" s="45">
        <f>'Invoices (2)'!$U84+'Invoices (2)'!$T84</f>
        <v>3202581.0649999999</v>
      </c>
      <c r="W84" s="1222">
        <v>46012</v>
      </c>
      <c r="X84" s="45">
        <v>2496772.25</v>
      </c>
      <c r="Y84" s="45">
        <f>Currentinvoices[[#This Row],[Invoice '# 5 amount]]*15%</f>
        <v>374515.83749999997</v>
      </c>
      <c r="Z84" s="45">
        <f>Currentinvoices[[#This Row],[Invoice '# 5 vat]]+Currentinvoices[[#This Row],[Invoice '# 5 amount]]</f>
        <v>2871288.0874999999</v>
      </c>
      <c r="AA84" s="1222">
        <v>46057</v>
      </c>
      <c r="AB84" s="45">
        <v>4897779.9000000004</v>
      </c>
      <c r="AC84" s="45">
        <f>15%*Currentinvoices[[#This Row],[Invoice '# 6 amount]]</f>
        <v>734666.98499999999</v>
      </c>
      <c r="AD84" s="45">
        <f>Currentinvoices[[#This Row],[Invoice '# 6 vat]]+Currentinvoices[[#This Row],[Invoice '# 6 amount]]</f>
        <v>5632446.8850000007</v>
      </c>
      <c r="AE84" s="1222">
        <v>46125</v>
      </c>
      <c r="AF84" s="45">
        <v>5185884.5999999996</v>
      </c>
      <c r="AG84" s="45">
        <f>15%*Currentinvoices[[#This Row],[Invoice '# 7 amount]]</f>
        <v>777882.69</v>
      </c>
      <c r="AH84" s="45">
        <f>Currentinvoices[[#This Row],[Invoice '# 7 vat]]+Currentinvoices[[#This Row],[Invoice '# 7 amount]]</f>
        <v>5963767.2899999991</v>
      </c>
      <c r="AI84" s="247"/>
      <c r="AJ84" s="247"/>
      <c r="AK84" s="247"/>
      <c r="AL84" s="304"/>
      <c r="AM84" s="304"/>
      <c r="AN84" s="304"/>
      <c r="AO84" s="304"/>
      <c r="AP84" s="304"/>
      <c r="AQ84" s="304"/>
      <c r="AR84" s="304"/>
      <c r="AS84" s="304"/>
      <c r="AT84" s="304"/>
      <c r="AU84" s="304"/>
      <c r="AV84" s="304"/>
      <c r="AW84" s="304"/>
      <c r="AX84" s="304"/>
      <c r="AY84" s="304"/>
      <c r="AZ84" s="304"/>
      <c r="BA84" s="304"/>
      <c r="BB84" s="304"/>
      <c r="BC84" s="304"/>
      <c r="BD84" s="304"/>
      <c r="BE84" s="304"/>
      <c r="BF84" s="304"/>
      <c r="BG84" s="304"/>
      <c r="BH84" s="304"/>
      <c r="BI84" s="304"/>
      <c r="BJ84" s="304"/>
      <c r="BK84" s="304"/>
      <c r="BL84" s="304"/>
      <c r="BM84" s="304"/>
      <c r="BN84" s="304"/>
      <c r="BO84" s="304"/>
      <c r="BP84" s="304"/>
      <c r="BQ84" s="304"/>
      <c r="BR84" s="328"/>
      <c r="BS84" s="328"/>
      <c r="BT84" s="328"/>
      <c r="BU84" s="328"/>
      <c r="BV84" s="328"/>
      <c r="BW84" s="304"/>
      <c r="BX84" s="304"/>
      <c r="BY84" s="304"/>
      <c r="BZ84" s="328"/>
      <c r="CA84" s="247"/>
      <c r="CB84" s="247"/>
      <c r="CC84" s="247"/>
      <c r="CD84" s="247"/>
      <c r="CE84" s="247"/>
      <c r="CF84" s="247"/>
      <c r="CG84" s="247"/>
      <c r="CH84" s="247"/>
      <c r="CI84" s="328"/>
      <c r="CJ84" s="328"/>
      <c r="CK84" s="328"/>
      <c r="CL84" s="328"/>
      <c r="CM84" s="328"/>
      <c r="CN84" s="328"/>
      <c r="CO84" s="328"/>
      <c r="CP84" s="328"/>
      <c r="CQ84" s="328"/>
      <c r="CR84" s="328"/>
      <c r="CS84" s="328"/>
      <c r="CT84" s="328"/>
      <c r="CU84" s="328"/>
      <c r="CV84" s="328"/>
      <c r="CW84" s="328"/>
      <c r="CX84" s="328"/>
      <c r="CY84" s="328"/>
      <c r="CZ84" s="328"/>
      <c r="DA84" s="328"/>
      <c r="DB84" s="328"/>
      <c r="DC84" s="1216"/>
      <c r="DD84" s="1217">
        <f>F84</f>
        <v>19206662</v>
      </c>
      <c r="DE84" s="1217">
        <f>DD84*15%</f>
        <v>2880999.3</v>
      </c>
      <c r="DF84" s="1217">
        <f>DD84+DE84</f>
        <v>22087661.300000001</v>
      </c>
      <c r="DG84" s="1217">
        <f t="shared" si="33"/>
        <v>17574068.700000003</v>
      </c>
      <c r="DH84" s="1217">
        <f>SUMPRODUCT((MOD(COLUMN(G84:DB84)-COLUMN(H84),4)=2)*G84:DB84)</f>
        <v>20210179.004999999</v>
      </c>
      <c r="DI84" s="1218">
        <v>1</v>
      </c>
      <c r="DJ84" s="1219">
        <f>DI84*DD84</f>
        <v>19206662</v>
      </c>
      <c r="DK84" s="1217">
        <f>DJ84-DG84</f>
        <v>1632593.299999997</v>
      </c>
      <c r="DL84" s="1205"/>
      <c r="DM84" s="1205"/>
      <c r="DN84" s="1205"/>
      <c r="DO84" s="1205"/>
      <c r="DP84" s="1205"/>
      <c r="DQ84" s="1205"/>
      <c r="DR84" s="1205"/>
    </row>
    <row r="85" spans="1:122" ht="15.6">
      <c r="A85" s="1228" t="s">
        <v>368</v>
      </c>
      <c r="B85" t="s">
        <v>371</v>
      </c>
      <c r="C85" s="1210">
        <v>2</v>
      </c>
      <c r="D85" s="1226" t="s">
        <v>670</v>
      </c>
      <c r="E85" s="1210"/>
      <c r="F85" s="1212">
        <v>4700512</v>
      </c>
      <c r="G85" s="1222"/>
      <c r="H85" s="45"/>
      <c r="I85" s="45"/>
      <c r="J85" s="45"/>
      <c r="K85" s="247"/>
      <c r="L85" s="247"/>
      <c r="M85" s="247"/>
      <c r="N85" s="45"/>
      <c r="O85" s="247"/>
      <c r="P85" s="247"/>
      <c r="Q85" s="247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247">
        <v>46205</v>
      </c>
      <c r="AJ85" s="45">
        <v>940240</v>
      </c>
      <c r="AK85" s="45">
        <f>Currentinvoices[[#This Row],[Invoice '# 8 amount]]*15%</f>
        <v>141036</v>
      </c>
      <c r="AL85" s="304">
        <f>Currentinvoices[[#This Row],[Invoice '# 8 vat]]+Currentinvoices[[#This Row],[Invoice '# 8 amount]]</f>
        <v>1081276</v>
      </c>
      <c r="AM85" s="247">
        <v>46218</v>
      </c>
      <c r="AN85" s="304">
        <v>1410016</v>
      </c>
      <c r="AO85" s="304">
        <f>Currentinvoices[[#This Row],[Invoice '# 9 amount]]*15%</f>
        <v>211502.4</v>
      </c>
      <c r="AP85" s="304">
        <f>Currentinvoices[[#This Row],[Invoice '# 9 vat]]+Currentinvoices[[#This Row],[Invoice '# 9 amount]]</f>
        <v>1621518.4</v>
      </c>
      <c r="AQ85" s="304"/>
      <c r="AR85" s="304"/>
      <c r="AS85" s="304"/>
      <c r="AT85" s="304"/>
      <c r="AU85" s="304"/>
      <c r="AV85" s="304"/>
      <c r="AW85" s="304"/>
      <c r="AX85" s="304"/>
      <c r="AY85" s="304"/>
      <c r="AZ85" s="304"/>
      <c r="BA85" s="304"/>
      <c r="BB85" s="304"/>
      <c r="BC85" s="304"/>
      <c r="BD85" s="304"/>
      <c r="BE85" s="304"/>
      <c r="BF85" s="304"/>
      <c r="BG85" s="304"/>
      <c r="BH85" s="304"/>
      <c r="BI85" s="304"/>
      <c r="BJ85" s="304"/>
      <c r="BK85" s="304"/>
      <c r="BL85" s="304"/>
      <c r="BM85" s="304"/>
      <c r="BN85" s="304"/>
      <c r="BO85" s="304"/>
      <c r="BP85" s="304"/>
      <c r="BQ85" s="304"/>
      <c r="BR85" s="328"/>
      <c r="BS85" s="328"/>
      <c r="BT85" s="328"/>
      <c r="BU85" s="328"/>
      <c r="BV85" s="328"/>
      <c r="BW85" s="304"/>
      <c r="BX85" s="304"/>
      <c r="BY85" s="304"/>
      <c r="BZ85" s="328"/>
      <c r="CA85" s="247"/>
      <c r="CB85" s="247"/>
      <c r="CC85" s="247"/>
      <c r="CD85" s="247"/>
      <c r="CE85" s="247"/>
      <c r="CF85" s="247"/>
      <c r="CG85" s="247"/>
      <c r="CH85" s="247"/>
      <c r="CI85" s="328"/>
      <c r="CJ85" s="328"/>
      <c r="CK85" s="328"/>
      <c r="CL85" s="328"/>
      <c r="CM85" s="328"/>
      <c r="CN85" s="328"/>
      <c r="CO85" s="328"/>
      <c r="CP85" s="328"/>
      <c r="CQ85" s="328"/>
      <c r="CR85" s="328"/>
      <c r="CS85" s="328"/>
      <c r="CT85" s="328"/>
      <c r="CU85" s="328"/>
      <c r="CV85" s="328"/>
      <c r="CW85" s="328"/>
      <c r="CX85" s="328"/>
      <c r="CY85" s="328"/>
      <c r="CZ85" s="328"/>
      <c r="DA85" s="328"/>
      <c r="DB85" s="328"/>
      <c r="DC85" s="1216"/>
      <c r="DD85" s="1217">
        <f>F85</f>
        <v>4700512</v>
      </c>
      <c r="DE85" s="1217">
        <f>DD85*15%</f>
        <v>705076.79999999993</v>
      </c>
      <c r="DF85" s="1217">
        <f>DD85+DE85</f>
        <v>5405588.7999999998</v>
      </c>
      <c r="DG85" s="1217">
        <f t="shared" si="33"/>
        <v>2350256</v>
      </c>
      <c r="DH85" s="1217">
        <f t="shared" si="7"/>
        <v>2702794.4</v>
      </c>
      <c r="DI85" s="1218">
        <v>0.8</v>
      </c>
      <c r="DJ85" s="1219">
        <f>DI85*DD85</f>
        <v>3760409.6</v>
      </c>
      <c r="DK85" s="1217">
        <f>DJ85-DG85</f>
        <v>1410153.6</v>
      </c>
      <c r="DL85" s="1205"/>
      <c r="DM85" s="1205"/>
      <c r="DN85" s="1205"/>
      <c r="DO85" s="1205"/>
      <c r="DP85" s="1205"/>
      <c r="DQ85" s="1205"/>
      <c r="DR85" s="1205"/>
    </row>
    <row r="86" spans="1:122" ht="15.6">
      <c r="A86" s="1228" t="s">
        <v>368</v>
      </c>
      <c r="B86" t="s">
        <v>371</v>
      </c>
      <c r="C86" s="1210">
        <v>3</v>
      </c>
      <c r="D86" s="1226"/>
      <c r="E86" s="1210"/>
      <c r="F86" s="1212"/>
      <c r="G86" s="1222"/>
      <c r="H86" s="45"/>
      <c r="I86" s="45"/>
      <c r="J86" s="45"/>
      <c r="K86" s="247"/>
      <c r="L86" s="247"/>
      <c r="M86" s="247"/>
      <c r="N86" s="45"/>
      <c r="O86" s="247"/>
      <c r="P86" s="247"/>
      <c r="Q86" s="247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247"/>
      <c r="AJ86" s="247"/>
      <c r="AK86" s="247"/>
      <c r="AL86" s="304"/>
      <c r="AM86" s="304"/>
      <c r="AN86" s="304"/>
      <c r="AO86" s="304"/>
      <c r="AP86" s="304"/>
      <c r="AQ86" s="304"/>
      <c r="AR86" s="304"/>
      <c r="AS86" s="304"/>
      <c r="AT86" s="304"/>
      <c r="AU86" s="304"/>
      <c r="AV86" s="304"/>
      <c r="AW86" s="304"/>
      <c r="AX86" s="304"/>
      <c r="AY86" s="304"/>
      <c r="AZ86" s="304"/>
      <c r="BA86" s="304"/>
      <c r="BB86" s="304"/>
      <c r="BC86" s="304"/>
      <c r="BD86" s="304"/>
      <c r="BE86" s="304"/>
      <c r="BF86" s="304"/>
      <c r="BG86" s="304"/>
      <c r="BH86" s="304"/>
      <c r="BI86" s="304"/>
      <c r="BJ86" s="304"/>
      <c r="BK86" s="304"/>
      <c r="BL86" s="304"/>
      <c r="BM86" s="304"/>
      <c r="BN86" s="304"/>
      <c r="BO86" s="304"/>
      <c r="BP86" s="304"/>
      <c r="BQ86" s="304"/>
      <c r="BR86" s="328"/>
      <c r="BS86" s="328"/>
      <c r="BT86" s="328"/>
      <c r="BU86" s="328"/>
      <c r="BV86" s="328"/>
      <c r="BW86" s="304"/>
      <c r="BX86" s="304"/>
      <c r="BY86" s="304"/>
      <c r="BZ86" s="328"/>
      <c r="CA86" s="247"/>
      <c r="CB86" s="247"/>
      <c r="CC86" s="247"/>
      <c r="CD86" s="247"/>
      <c r="CE86" s="247"/>
      <c r="CF86" s="247"/>
      <c r="CG86" s="247"/>
      <c r="CH86" s="247"/>
      <c r="CI86" s="328"/>
      <c r="CJ86" s="328"/>
      <c r="CK86" s="328"/>
      <c r="CL86" s="328"/>
      <c r="CM86" s="328"/>
      <c r="CN86" s="328"/>
      <c r="CO86" s="328"/>
      <c r="CP86" s="328"/>
      <c r="CQ86" s="328"/>
      <c r="CR86" s="328"/>
      <c r="CS86" s="328"/>
      <c r="CT86" s="328"/>
      <c r="CU86" s="328"/>
      <c r="CV86" s="328"/>
      <c r="CW86" s="328"/>
      <c r="CX86" s="328"/>
      <c r="CY86" s="328"/>
      <c r="CZ86" s="328"/>
      <c r="DA86" s="328"/>
      <c r="DB86" s="328"/>
      <c r="DC86" s="1216"/>
      <c r="DD86" s="1217"/>
      <c r="DE86" s="1217"/>
      <c r="DF86" s="1217"/>
      <c r="DG86" s="1217">
        <f t="shared" si="33"/>
        <v>0</v>
      </c>
      <c r="DH86" s="1217">
        <f t="shared" si="7"/>
        <v>0</v>
      </c>
      <c r="DI86" s="1218"/>
      <c r="DJ86" s="1219"/>
      <c r="DK86" s="1217"/>
      <c r="DL86" s="1205"/>
      <c r="DM86" s="1205"/>
      <c r="DN86" s="1205"/>
      <c r="DO86" s="1205"/>
      <c r="DP86" s="1205"/>
      <c r="DQ86" s="1205"/>
      <c r="DR86" s="1205"/>
    </row>
    <row r="87" spans="1:122" ht="15.6">
      <c r="A87" s="1228" t="s">
        <v>369</v>
      </c>
      <c r="B87" s="1228"/>
      <c r="C87" s="1210"/>
      <c r="D87" s="1226"/>
      <c r="E87" s="1210"/>
      <c r="F87" s="1212"/>
      <c r="G87" s="1222"/>
      <c r="H87" s="45"/>
      <c r="I87" s="45"/>
      <c r="J87" s="45"/>
      <c r="K87" s="247"/>
      <c r="L87" s="247"/>
      <c r="M87" s="247"/>
      <c r="N87" s="45"/>
      <c r="O87" s="247"/>
      <c r="P87" s="247"/>
      <c r="Q87" s="247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247"/>
      <c r="AJ87" s="247"/>
      <c r="AK87" s="247"/>
      <c r="AL87" s="304"/>
      <c r="AM87" s="304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04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  <c r="BN87" s="304"/>
      <c r="BO87" s="304"/>
      <c r="BP87" s="304"/>
      <c r="BQ87" s="304"/>
      <c r="BR87" s="328"/>
      <c r="BS87" s="328"/>
      <c r="BT87" s="328"/>
      <c r="BU87" s="328"/>
      <c r="BV87" s="328"/>
      <c r="BW87" s="304"/>
      <c r="BX87" s="304"/>
      <c r="BY87" s="304"/>
      <c r="BZ87" s="328"/>
      <c r="CA87" s="247"/>
      <c r="CB87" s="247"/>
      <c r="CC87" s="247"/>
      <c r="CD87" s="247"/>
      <c r="CE87" s="247"/>
      <c r="CF87" s="247"/>
      <c r="CG87" s="247"/>
      <c r="CH87" s="247"/>
      <c r="CI87" s="328"/>
      <c r="CJ87" s="328"/>
      <c r="CK87" s="328"/>
      <c r="CL87" s="328"/>
      <c r="CM87" s="328"/>
      <c r="CN87" s="328"/>
      <c r="CO87" s="328"/>
      <c r="CP87" s="328"/>
      <c r="CQ87" s="328"/>
      <c r="CR87" s="328"/>
      <c r="CS87" s="328"/>
      <c r="CT87" s="328"/>
      <c r="CU87" s="328"/>
      <c r="CV87" s="328"/>
      <c r="CW87" s="328"/>
      <c r="CX87" s="328"/>
      <c r="CY87" s="328"/>
      <c r="CZ87" s="328"/>
      <c r="DA87" s="328"/>
      <c r="DB87" s="328"/>
      <c r="DC87" s="1216"/>
      <c r="DD87" s="1217"/>
      <c r="DE87" s="1217"/>
      <c r="DF87" s="1217"/>
      <c r="DG87" s="1217">
        <f t="shared" si="33"/>
        <v>0</v>
      </c>
      <c r="DH87" s="1217">
        <f t="shared" si="7"/>
        <v>0</v>
      </c>
      <c r="DI87" s="1218"/>
      <c r="DJ87" s="1219"/>
      <c r="DK87" s="1217"/>
      <c r="DL87" s="1205"/>
      <c r="DM87" s="1205"/>
      <c r="DN87" s="1205"/>
      <c r="DO87" s="1205"/>
      <c r="DP87" s="1205"/>
      <c r="DQ87" s="1205"/>
      <c r="DR87" s="1205"/>
    </row>
    <row r="88" spans="1:122" ht="15.6">
      <c r="A88" s="1228" t="s">
        <v>369</v>
      </c>
      <c r="B88" s="1228"/>
      <c r="C88" s="1210"/>
      <c r="D88" s="1226"/>
      <c r="E88" s="1210"/>
      <c r="F88" s="1212"/>
      <c r="G88" s="1222"/>
      <c r="H88" s="45"/>
      <c r="I88" s="45"/>
      <c r="J88" s="45"/>
      <c r="K88" s="247"/>
      <c r="L88" s="247"/>
      <c r="M88" s="247"/>
      <c r="N88" s="45"/>
      <c r="O88" s="247"/>
      <c r="P88" s="247"/>
      <c r="Q88" s="247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247"/>
      <c r="AJ88" s="247"/>
      <c r="AK88" s="247"/>
      <c r="AL88" s="304"/>
      <c r="AM88" s="304"/>
      <c r="AN88" s="304"/>
      <c r="AO88" s="304"/>
      <c r="AP88" s="304"/>
      <c r="AQ88" s="304"/>
      <c r="AR88" s="304"/>
      <c r="AS88" s="304"/>
      <c r="AT88" s="304"/>
      <c r="AU88" s="304"/>
      <c r="AV88" s="304"/>
      <c r="AW88" s="304"/>
      <c r="AX88" s="304"/>
      <c r="AY88" s="304"/>
      <c r="AZ88" s="304"/>
      <c r="BA88" s="304"/>
      <c r="BB88" s="304"/>
      <c r="BC88" s="304"/>
      <c r="BD88" s="304"/>
      <c r="BE88" s="304"/>
      <c r="BF88" s="304"/>
      <c r="BG88" s="304"/>
      <c r="BH88" s="304"/>
      <c r="BI88" s="304"/>
      <c r="BJ88" s="304"/>
      <c r="BK88" s="304"/>
      <c r="BL88" s="304"/>
      <c r="BM88" s="304"/>
      <c r="BN88" s="304"/>
      <c r="BO88" s="304"/>
      <c r="BP88" s="304"/>
      <c r="BQ88" s="304"/>
      <c r="BR88" s="328"/>
      <c r="BS88" s="328"/>
      <c r="BT88" s="328"/>
      <c r="BU88" s="328"/>
      <c r="BV88" s="328"/>
      <c r="BW88" s="304"/>
      <c r="BX88" s="304"/>
      <c r="BY88" s="304"/>
      <c r="BZ88" s="328"/>
      <c r="CA88" s="247"/>
      <c r="CB88" s="247"/>
      <c r="CC88" s="247"/>
      <c r="CD88" s="247"/>
      <c r="CE88" s="247"/>
      <c r="CF88" s="247"/>
      <c r="CG88" s="247"/>
      <c r="CH88" s="247"/>
      <c r="CI88" s="328"/>
      <c r="CJ88" s="328"/>
      <c r="CK88" s="328"/>
      <c r="CL88" s="328"/>
      <c r="CM88" s="328"/>
      <c r="CN88" s="328"/>
      <c r="CO88" s="328"/>
      <c r="CP88" s="328"/>
      <c r="CQ88" s="328"/>
      <c r="CR88" s="328"/>
      <c r="CS88" s="328"/>
      <c r="CT88" s="328"/>
      <c r="CU88" s="328"/>
      <c r="CV88" s="328"/>
      <c r="CW88" s="328"/>
      <c r="CX88" s="328"/>
      <c r="CY88" s="328"/>
      <c r="CZ88" s="328"/>
      <c r="DA88" s="328"/>
      <c r="DB88" s="328"/>
      <c r="DC88" s="1216"/>
      <c r="DD88" s="1217"/>
      <c r="DE88" s="1217"/>
      <c r="DF88" s="1217"/>
      <c r="DG88" s="1217">
        <f t="shared" si="33"/>
        <v>0</v>
      </c>
      <c r="DH88" s="1217">
        <f t="shared" si="7"/>
        <v>0</v>
      </c>
      <c r="DI88" s="1218"/>
      <c r="DJ88" s="1219"/>
      <c r="DK88" s="1217"/>
      <c r="DL88" s="1205"/>
      <c r="DM88" s="1205"/>
      <c r="DN88" s="1205"/>
      <c r="DO88" s="1205"/>
      <c r="DP88" s="1205"/>
      <c r="DQ88" s="1205"/>
      <c r="DR88" s="1205"/>
    </row>
    <row r="89" spans="1:122" ht="15.6">
      <c r="A89" s="1228" t="s">
        <v>369</v>
      </c>
      <c r="B89" s="1228"/>
      <c r="C89" s="1210"/>
      <c r="D89" s="1226"/>
      <c r="E89" s="1210"/>
      <c r="F89" s="1212"/>
      <c r="G89" s="1222"/>
      <c r="H89" s="45"/>
      <c r="I89" s="45"/>
      <c r="J89" s="45"/>
      <c r="K89" s="247"/>
      <c r="L89" s="247"/>
      <c r="M89" s="247"/>
      <c r="N89" s="45"/>
      <c r="O89" s="247"/>
      <c r="P89" s="247"/>
      <c r="Q89" s="247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247"/>
      <c r="AJ89" s="247"/>
      <c r="AK89" s="247"/>
      <c r="AL89" s="304"/>
      <c r="AM89" s="304"/>
      <c r="AN89" s="304"/>
      <c r="AO89" s="304"/>
      <c r="AP89" s="304"/>
      <c r="AQ89" s="304"/>
      <c r="AR89" s="304"/>
      <c r="AS89" s="304"/>
      <c r="AT89" s="304"/>
      <c r="AU89" s="304"/>
      <c r="AV89" s="304"/>
      <c r="AW89" s="304"/>
      <c r="AX89" s="304"/>
      <c r="AY89" s="304"/>
      <c r="AZ89" s="304"/>
      <c r="BA89" s="304"/>
      <c r="BB89" s="304"/>
      <c r="BC89" s="304"/>
      <c r="BD89" s="304"/>
      <c r="BE89" s="304"/>
      <c r="BF89" s="304"/>
      <c r="BG89" s="304"/>
      <c r="BH89" s="304"/>
      <c r="BI89" s="304"/>
      <c r="BJ89" s="304"/>
      <c r="BK89" s="304"/>
      <c r="BL89" s="304"/>
      <c r="BM89" s="304"/>
      <c r="BN89" s="304"/>
      <c r="BO89" s="304"/>
      <c r="BP89" s="304"/>
      <c r="BQ89" s="304"/>
      <c r="BR89" s="328"/>
      <c r="BS89" s="328"/>
      <c r="BT89" s="328"/>
      <c r="BU89" s="328"/>
      <c r="BV89" s="328"/>
      <c r="BW89" s="304"/>
      <c r="BX89" s="304"/>
      <c r="BY89" s="304"/>
      <c r="BZ89" s="328"/>
      <c r="CA89" s="247"/>
      <c r="CB89" s="247"/>
      <c r="CC89" s="247"/>
      <c r="CD89" s="247"/>
      <c r="CE89" s="247"/>
      <c r="CF89" s="247"/>
      <c r="CG89" s="247"/>
      <c r="CH89" s="247"/>
      <c r="CI89" s="328"/>
      <c r="CJ89" s="328"/>
      <c r="CK89" s="328"/>
      <c r="CL89" s="328"/>
      <c r="CM89" s="328"/>
      <c r="CN89" s="328"/>
      <c r="CO89" s="328"/>
      <c r="CP89" s="328"/>
      <c r="CQ89" s="328"/>
      <c r="CR89" s="328"/>
      <c r="CS89" s="328"/>
      <c r="CT89" s="328"/>
      <c r="CU89" s="328"/>
      <c r="CV89" s="328"/>
      <c r="CW89" s="328"/>
      <c r="CX89" s="328"/>
      <c r="CY89" s="328"/>
      <c r="CZ89" s="328"/>
      <c r="DA89" s="328"/>
      <c r="DB89" s="328"/>
      <c r="DC89" s="1216"/>
      <c r="DD89" s="1217"/>
      <c r="DE89" s="1217"/>
      <c r="DF89" s="1217"/>
      <c r="DG89" s="1217">
        <f t="shared" si="33"/>
        <v>0</v>
      </c>
      <c r="DH89" s="1217">
        <f t="shared" si="7"/>
        <v>0</v>
      </c>
      <c r="DI89" s="1218"/>
      <c r="DJ89" s="1219"/>
      <c r="DK89" s="1217"/>
      <c r="DL89" s="1205"/>
      <c r="DM89" s="1205"/>
      <c r="DN89" s="1205"/>
      <c r="DO89" s="1205"/>
      <c r="DP89" s="1205"/>
      <c r="DQ89" s="1205"/>
      <c r="DR89" s="1205"/>
    </row>
    <row r="90" spans="1:122" ht="15.6">
      <c r="A90" s="1228" t="s">
        <v>535</v>
      </c>
      <c r="B90" t="s">
        <v>537</v>
      </c>
      <c r="C90" s="1210">
        <v>1</v>
      </c>
      <c r="D90" s="1226" t="s">
        <v>638</v>
      </c>
      <c r="E90" s="1210" t="s">
        <v>675</v>
      </c>
      <c r="F90" s="1212">
        <v>42715823.600000001</v>
      </c>
      <c r="G90" s="1222">
        <v>45991</v>
      </c>
      <c r="H90" s="45">
        <f>'TYPSA-KHJ2MIC'!G49</f>
        <v>857830</v>
      </c>
      <c r="I90" s="45">
        <f>'Invoices (2)'!$H90*15%</f>
        <v>128674.5</v>
      </c>
      <c r="J90" s="45">
        <f>'Invoices (2)'!$H90+'Invoices (2)'!$I90</f>
        <v>986504.5</v>
      </c>
      <c r="K90" s="1222">
        <v>46014</v>
      </c>
      <c r="L90" s="45">
        <f>'TYPSA-KHJ2MIC'!I49</f>
        <v>1510048.5</v>
      </c>
      <c r="M90" s="45">
        <f>Currentinvoices[[#This Row],[Invoice '# 2 amount]]*15%</f>
        <v>226507.27499999999</v>
      </c>
      <c r="N90" s="45">
        <f>Currentinvoices[[#This Row],[Invoice '# 2 vat]]+Currentinvoices[[#This Row],[Invoice '# 2 amount]]</f>
        <v>1736555.7749999999</v>
      </c>
      <c r="O90" s="1222">
        <v>46055</v>
      </c>
      <c r="P90" s="1241">
        <f>'TYPSA-KHJ2MIC'!K49</f>
        <v>1681963.09</v>
      </c>
      <c r="Q90" s="1241">
        <f>'Invoices (2)'!$P90*15%</f>
        <v>252294.46350000001</v>
      </c>
      <c r="R90" s="45">
        <f>'Invoices (2)'!$P90+'Invoices (2)'!$Q90</f>
        <v>1934257.5535000002</v>
      </c>
      <c r="S90" s="247">
        <v>46117</v>
      </c>
      <c r="T90" s="45">
        <f>'TYPSA-KHJ2MIC'!M49</f>
        <v>290932.38</v>
      </c>
      <c r="U90" s="45">
        <f>Currentinvoices[[#This Row],[Invoice '# 4 amount]]*15%</f>
        <v>43639.856999999996</v>
      </c>
      <c r="V90" s="45">
        <f>Currentinvoices[[#This Row],[Invoice '# 4 vat]]+Currentinvoices[[#This Row],[Invoice '# 4 amount]]</f>
        <v>334572.23700000002</v>
      </c>
      <c r="W90" s="1222">
        <v>46134</v>
      </c>
      <c r="X90" s="45">
        <f>'TYPSA-KHJ2MIC'!O49</f>
        <v>514671</v>
      </c>
      <c r="Y90" s="45">
        <f>'TYPSA-KHJ2MIC'!O50</f>
        <v>77200.649999999994</v>
      </c>
      <c r="Z90" s="45">
        <f>'TYPSA-KHJ2MIC'!O51</f>
        <v>591871.65</v>
      </c>
      <c r="AA90" s="1222">
        <v>46181</v>
      </c>
      <c r="AB90" s="45">
        <v>1362021.71</v>
      </c>
      <c r="AC90" s="45">
        <f>Currentinvoices[[#This Row],[Invoice '# 6 amount]]*15%</f>
        <v>204303.25649999999</v>
      </c>
      <c r="AD90" s="45">
        <f>Currentinvoices[[#This Row],[Invoice '# 6 vat]]+Currentinvoices[[#This Row],[Invoice '# 6 amount]]</f>
        <v>1566324.9664999999</v>
      </c>
      <c r="AE90" s="1222">
        <v>46209</v>
      </c>
      <c r="AF90" s="45">
        <v>1362021.73</v>
      </c>
      <c r="AG90" s="45">
        <f>Currentinvoices[[#This Row],[Invoice '# 7 amount]]*15%</f>
        <v>204303.25949999999</v>
      </c>
      <c r="AH90" s="45">
        <f>Currentinvoices[[#This Row],[Invoice '# 7 vat]]+Currentinvoices[[#This Row],[Invoice '# 7 amount]]</f>
        <v>1566324.9894999999</v>
      </c>
      <c r="AI90" s="247"/>
      <c r="AJ90" s="247"/>
      <c r="AK90" s="247"/>
      <c r="AL90" s="304"/>
      <c r="AM90" s="304"/>
      <c r="AN90" s="304"/>
      <c r="AO90" s="304"/>
      <c r="AP90" s="304"/>
      <c r="AQ90" s="304"/>
      <c r="AR90" s="304"/>
      <c r="AS90" s="304"/>
      <c r="AT90" s="304"/>
      <c r="AU90" s="304"/>
      <c r="AV90" s="304"/>
      <c r="AW90" s="304"/>
      <c r="AX90" s="304"/>
      <c r="AY90" s="304"/>
      <c r="AZ90" s="304"/>
      <c r="BA90" s="304"/>
      <c r="BB90" s="304"/>
      <c r="BC90" s="304"/>
      <c r="BD90" s="304"/>
      <c r="BE90" s="304"/>
      <c r="BF90" s="304"/>
      <c r="BG90" s="304"/>
      <c r="BH90" s="304"/>
      <c r="BI90" s="304"/>
      <c r="BJ90" s="304"/>
      <c r="BK90" s="304"/>
      <c r="BL90" s="304"/>
      <c r="BM90" s="304"/>
      <c r="BN90" s="304"/>
      <c r="BO90" s="304"/>
      <c r="BP90" s="304"/>
      <c r="BQ90" s="304"/>
      <c r="BR90" s="328"/>
      <c r="BS90" s="328"/>
      <c r="BT90" s="328"/>
      <c r="BU90" s="328"/>
      <c r="BV90" s="328"/>
      <c r="BW90" s="304"/>
      <c r="BX90" s="304"/>
      <c r="BY90" s="304"/>
      <c r="BZ90" s="328"/>
      <c r="CA90" s="247"/>
      <c r="CB90" s="247"/>
      <c r="CC90" s="247"/>
      <c r="CD90" s="247"/>
      <c r="CE90" s="247"/>
      <c r="CF90" s="247"/>
      <c r="CG90" s="247"/>
      <c r="CH90" s="247"/>
      <c r="CI90" s="328"/>
      <c r="CJ90" s="328"/>
      <c r="CK90" s="328"/>
      <c r="CL90" s="328"/>
      <c r="CM90" s="328"/>
      <c r="CN90" s="328"/>
      <c r="CO90" s="328"/>
      <c r="CP90" s="328"/>
      <c r="CQ90" s="328"/>
      <c r="CR90" s="328"/>
      <c r="CS90" s="328"/>
      <c r="CT90" s="328"/>
      <c r="CU90" s="328"/>
      <c r="CV90" s="328"/>
      <c r="CW90" s="328"/>
      <c r="CX90" s="328"/>
      <c r="CY90" s="328"/>
      <c r="CZ90" s="328"/>
      <c r="DA90" s="328"/>
      <c r="DB90" s="328"/>
      <c r="DC90" s="1216"/>
      <c r="DD90" s="1217">
        <f>'Invoices (2)'!$F90</f>
        <v>42715823.600000001</v>
      </c>
      <c r="DE90" s="1217">
        <f>Currentinvoices[[#This Row],[Task Value2]]*15%</f>
        <v>6407373.54</v>
      </c>
      <c r="DF90" s="1217">
        <f>Currentinvoices[[#This Row],[VAT]]+Currentinvoices[[#This Row],[Task Value2]]</f>
        <v>49123197.140000001</v>
      </c>
      <c r="DG90" s="1217">
        <f>SUMPRODUCT((MOD(COLUMN(G90:DB90)-COLUMN(G90),4)=1)*G90:DB90)</f>
        <v>7579488.4100000001</v>
      </c>
      <c r="DH90" s="1217">
        <f>SUMPRODUCT((MOD(COLUMN(G90:DB90)-COLUMN(H90),4)=2)*G90:DB90)</f>
        <v>8716411.6714999992</v>
      </c>
      <c r="DI90" s="1218">
        <v>0.13220000000000001</v>
      </c>
      <c r="DJ90" s="1219">
        <f>DI90*DD90</f>
        <v>5647031.8799200011</v>
      </c>
      <c r="DK90" s="1217">
        <f>DJ90-DG90</f>
        <v>-1932456.530079999</v>
      </c>
      <c r="DL90" s="1205"/>
      <c r="DM90" s="1205"/>
      <c r="DN90" s="1205"/>
      <c r="DO90" s="1205"/>
      <c r="DP90" s="1205"/>
      <c r="DQ90" s="1205"/>
      <c r="DR90" s="1205"/>
    </row>
    <row r="91" spans="1:122" ht="15.6">
      <c r="A91" s="1228" t="s">
        <v>535</v>
      </c>
      <c r="B91" t="s">
        <v>537</v>
      </c>
      <c r="C91" s="1210">
        <v>2</v>
      </c>
      <c r="D91" s="1226" t="s">
        <v>676</v>
      </c>
      <c r="E91" s="1210" t="s">
        <v>674</v>
      </c>
      <c r="F91" s="1212">
        <v>2142000</v>
      </c>
      <c r="G91" s="1222"/>
      <c r="H91" s="45"/>
      <c r="I91" s="45"/>
      <c r="J91" s="45"/>
      <c r="K91" s="247"/>
      <c r="L91" s="247"/>
      <c r="M91" s="247"/>
      <c r="N91" s="45"/>
      <c r="O91" s="247"/>
      <c r="P91" s="247"/>
      <c r="Q91" s="247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247"/>
      <c r="AJ91" s="247"/>
      <c r="AK91" s="247"/>
      <c r="AL91" s="304"/>
      <c r="AM91" s="304"/>
      <c r="AN91" s="304"/>
      <c r="AO91" s="304"/>
      <c r="AP91" s="304"/>
      <c r="AQ91" s="304"/>
      <c r="AR91" s="304"/>
      <c r="AS91" s="304"/>
      <c r="AT91" s="304"/>
      <c r="AU91" s="304"/>
      <c r="AV91" s="304"/>
      <c r="AW91" s="304"/>
      <c r="AX91" s="304"/>
      <c r="AY91" s="304"/>
      <c r="AZ91" s="304"/>
      <c r="BA91" s="304"/>
      <c r="BB91" s="304"/>
      <c r="BC91" s="304"/>
      <c r="BD91" s="304"/>
      <c r="BE91" s="304"/>
      <c r="BF91" s="304"/>
      <c r="BG91" s="304"/>
      <c r="BH91" s="304"/>
      <c r="BI91" s="304"/>
      <c r="BJ91" s="304"/>
      <c r="BK91" s="304"/>
      <c r="BL91" s="304"/>
      <c r="BM91" s="304"/>
      <c r="BN91" s="304"/>
      <c r="BO91" s="304"/>
      <c r="BP91" s="304"/>
      <c r="BQ91" s="304"/>
      <c r="BR91" s="328"/>
      <c r="BS91" s="328"/>
      <c r="BT91" s="328"/>
      <c r="BU91" s="328"/>
      <c r="BV91" s="328"/>
      <c r="BW91" s="304"/>
      <c r="BX91" s="304"/>
      <c r="BY91" s="304"/>
      <c r="BZ91" s="328"/>
      <c r="CA91" s="247"/>
      <c r="CB91" s="247"/>
      <c r="CC91" s="247"/>
      <c r="CD91" s="247"/>
      <c r="CE91" s="247"/>
      <c r="CF91" s="247"/>
      <c r="CG91" s="247"/>
      <c r="CH91" s="247"/>
      <c r="CI91" s="328"/>
      <c r="CJ91" s="328"/>
      <c r="CK91" s="328"/>
      <c r="CL91" s="328"/>
      <c r="CM91" s="328"/>
      <c r="CN91" s="328"/>
      <c r="CO91" s="328"/>
      <c r="CP91" s="328"/>
      <c r="CQ91" s="328"/>
      <c r="CR91" s="328"/>
      <c r="CS91" s="328"/>
      <c r="CT91" s="328"/>
      <c r="CU91" s="328"/>
      <c r="CV91" s="328"/>
      <c r="CW91" s="328"/>
      <c r="CX91" s="328"/>
      <c r="CY91" s="328"/>
      <c r="CZ91" s="328"/>
      <c r="DA91" s="328"/>
      <c r="DB91" s="328"/>
      <c r="DC91" s="1216"/>
      <c r="DD91" s="1217"/>
      <c r="DE91" s="1217"/>
      <c r="DF91" s="1217"/>
      <c r="DG91" s="1217">
        <f t="shared" si="33"/>
        <v>0</v>
      </c>
      <c r="DH91" s="1217">
        <f t="shared" si="7"/>
        <v>0</v>
      </c>
      <c r="DI91" s="1218"/>
      <c r="DJ91" s="1219"/>
      <c r="DK91" s="1217"/>
      <c r="DL91" s="1205"/>
      <c r="DM91" s="1205"/>
      <c r="DN91" s="1205"/>
      <c r="DO91" s="1205"/>
      <c r="DP91" s="1205"/>
      <c r="DQ91" s="1205"/>
      <c r="DR91" s="1205"/>
    </row>
    <row r="92" spans="1:122" ht="15.6">
      <c r="A92" s="1228" t="s">
        <v>535</v>
      </c>
      <c r="B92" t="s">
        <v>636</v>
      </c>
      <c r="C92" s="1210">
        <v>3</v>
      </c>
      <c r="D92" s="1226" t="s">
        <v>677</v>
      </c>
      <c r="E92" s="1210" t="s">
        <v>678</v>
      </c>
      <c r="F92" s="1212">
        <v>6684584.9199999999</v>
      </c>
      <c r="G92" s="1222"/>
      <c r="H92" s="45"/>
      <c r="I92" s="45"/>
      <c r="J92" s="45"/>
      <c r="K92" s="247"/>
      <c r="L92" s="247"/>
      <c r="M92" s="247"/>
      <c r="N92" s="45"/>
      <c r="O92" s="247"/>
      <c r="P92" s="247"/>
      <c r="Q92" s="247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247"/>
      <c r="AJ92" s="247"/>
      <c r="AK92" s="247"/>
      <c r="AL92" s="304"/>
      <c r="AM92" s="304"/>
      <c r="AN92" s="304"/>
      <c r="AO92" s="304"/>
      <c r="AP92" s="304"/>
      <c r="AQ92" s="304"/>
      <c r="AR92" s="304"/>
      <c r="AS92" s="304"/>
      <c r="AT92" s="304"/>
      <c r="AU92" s="304"/>
      <c r="AV92" s="304"/>
      <c r="AW92" s="304"/>
      <c r="AX92" s="304"/>
      <c r="AY92" s="304"/>
      <c r="AZ92" s="304"/>
      <c r="BA92" s="304"/>
      <c r="BB92" s="304"/>
      <c r="BC92" s="304"/>
      <c r="BD92" s="304"/>
      <c r="BE92" s="304"/>
      <c r="BF92" s="304"/>
      <c r="BG92" s="304"/>
      <c r="BH92" s="304"/>
      <c r="BI92" s="304"/>
      <c r="BJ92" s="304"/>
      <c r="BK92" s="304"/>
      <c r="BL92" s="304"/>
      <c r="BM92" s="304"/>
      <c r="BN92" s="304"/>
      <c r="BO92" s="304"/>
      <c r="BP92" s="304"/>
      <c r="BQ92" s="304"/>
      <c r="BR92" s="328"/>
      <c r="BS92" s="328"/>
      <c r="BT92" s="328"/>
      <c r="BU92" s="328"/>
      <c r="BV92" s="328"/>
      <c r="BW92" s="304"/>
      <c r="BX92" s="304"/>
      <c r="BY92" s="304"/>
      <c r="BZ92" s="328"/>
      <c r="CA92" s="247"/>
      <c r="CB92" s="247"/>
      <c r="CC92" s="247"/>
      <c r="CD92" s="247"/>
      <c r="CE92" s="247"/>
      <c r="CF92" s="247"/>
      <c r="CG92" s="247"/>
      <c r="CH92" s="247"/>
      <c r="CI92" s="328"/>
      <c r="CJ92" s="328"/>
      <c r="CK92" s="328"/>
      <c r="CL92" s="328"/>
      <c r="CM92" s="328"/>
      <c r="CN92" s="328"/>
      <c r="CO92" s="328"/>
      <c r="CP92" s="328"/>
      <c r="CQ92" s="328"/>
      <c r="CR92" s="328"/>
      <c r="CS92" s="328"/>
      <c r="CT92" s="328"/>
      <c r="CU92" s="328"/>
      <c r="CV92" s="328"/>
      <c r="CW92" s="328"/>
      <c r="CX92" s="328"/>
      <c r="CY92" s="328"/>
      <c r="CZ92" s="328"/>
      <c r="DA92" s="328"/>
      <c r="DB92" s="328"/>
      <c r="DC92" s="1216"/>
      <c r="DD92" s="1217"/>
      <c r="DE92" s="1217"/>
      <c r="DF92" s="1217"/>
      <c r="DG92" s="1217">
        <f t="shared" ref="DG92" si="34">SUMPRODUCT((MOD(COLUMN(G92:DB92)-COLUMN(G92),4)=1)*G92:DB92)</f>
        <v>0</v>
      </c>
      <c r="DH92" s="1217">
        <f t="shared" ref="DH92" si="35">SUMPRODUCT((MOD(COLUMN(G92:DB92)-COLUMN(H92),4)=2)*G92:DB92)</f>
        <v>0</v>
      </c>
      <c r="DI92" s="1218"/>
      <c r="DJ92" s="1219"/>
      <c r="DK92" s="1217"/>
      <c r="DL92" s="1205"/>
      <c r="DM92" s="1205"/>
      <c r="DN92" s="1205"/>
      <c r="DO92" s="1205"/>
      <c r="DP92" s="1205"/>
      <c r="DQ92" s="1205"/>
      <c r="DR92" s="1205"/>
    </row>
    <row r="93" spans="1:122" ht="15.6">
      <c r="A93" s="1228" t="s">
        <v>637</v>
      </c>
      <c r="B93" t="s">
        <v>664</v>
      </c>
      <c r="C93" s="1210">
        <v>1</v>
      </c>
      <c r="D93" s="1226" t="s">
        <v>644</v>
      </c>
      <c r="E93" t="s">
        <v>639</v>
      </c>
      <c r="F93" s="1212">
        <v>16898852</v>
      </c>
      <c r="G93" s="1222">
        <v>46138</v>
      </c>
      <c r="H93" s="45">
        <v>844942.61</v>
      </c>
      <c r="I93" s="45">
        <f>Currentinvoices[[#This Row],[Invoice '# 1 amount]]*15%</f>
        <v>126741.3915</v>
      </c>
      <c r="J93" s="45">
        <f>Currentinvoices[[#This Row],[Invoice '# 1 vat]]+Currentinvoices[[#This Row],[Invoice '# 1 amount]]</f>
        <v>971684.00150000001</v>
      </c>
      <c r="K93" s="1222">
        <v>46155</v>
      </c>
      <c r="L93" s="45">
        <v>422471</v>
      </c>
      <c r="M93" s="45">
        <f>Currentinvoices[[#This Row],[Invoice '# 2 amount]]*15%</f>
        <v>63370.649999999994</v>
      </c>
      <c r="N93" s="45">
        <f>Currentinvoices[[#This Row],[Invoice '# 2 vat]]+Currentinvoices[[#This Row],[Invoice '# 2 amount]]</f>
        <v>485841.65</v>
      </c>
      <c r="O93" s="247">
        <v>46184</v>
      </c>
      <c r="P93" s="45">
        <v>422471.3</v>
      </c>
      <c r="Q93" s="45">
        <f>Currentinvoices[[#This Row],[Invoice '# 3 amount]]*15%</f>
        <v>63370.694999999992</v>
      </c>
      <c r="R93" s="45">
        <f>Currentinvoices[[#This Row],[Invoice '# 3 vat]]+Currentinvoices[[#This Row],[Invoice '# 3 amount]]</f>
        <v>485841.995</v>
      </c>
      <c r="S93" s="247">
        <v>46209</v>
      </c>
      <c r="T93" s="45">
        <v>844942.61</v>
      </c>
      <c r="U93" s="45">
        <f>Currentinvoices[[#This Row],[Invoice '# 4 amount]]*15%</f>
        <v>126741.3915</v>
      </c>
      <c r="V93" s="45">
        <f>Currentinvoices[[#This Row],[Invoice '# 4 vat]]+Currentinvoices[[#This Row],[Invoice '# 4 amount]]</f>
        <v>971684.00150000001</v>
      </c>
      <c r="W93" s="247">
        <v>46230</v>
      </c>
      <c r="X93" s="45">
        <v>422471.3</v>
      </c>
      <c r="Y93" s="45">
        <f>Currentinvoices[[#This Row],[Invoice '# 5 amount]]*15%</f>
        <v>63370.694999999992</v>
      </c>
      <c r="Z93" s="45">
        <f>Currentinvoices[[#This Row],[Invoice '# 5 vat]]+Currentinvoices[[#This Row],[Invoice '# 5 amount]]</f>
        <v>485841.995</v>
      </c>
      <c r="AA93" s="45"/>
      <c r="AB93" s="45"/>
      <c r="AC93" s="45"/>
      <c r="AD93" s="45"/>
      <c r="AE93" s="1222">
        <v>46250</v>
      </c>
      <c r="AF93" s="45">
        <v>422471.3</v>
      </c>
      <c r="AG93" s="45">
        <f>Currentinvoices[[#This Row],[Invoice '# 7 amount]]*15%</f>
        <v>63370.694999999992</v>
      </c>
      <c r="AH93" s="45">
        <f>Currentinvoices[[#This Row],[Invoice '# 7 vat]]+Currentinvoices[[#This Row],[Invoice '# 7 amount]]</f>
        <v>485841.995</v>
      </c>
      <c r="AI93" s="247"/>
      <c r="AJ93" s="247"/>
      <c r="AK93" s="247"/>
      <c r="AL93" s="304"/>
      <c r="AM93" s="304"/>
      <c r="AN93" s="304"/>
      <c r="AO93" s="304"/>
      <c r="AP93" s="304"/>
      <c r="AQ93" s="304"/>
      <c r="AR93" s="304"/>
      <c r="AS93" s="304"/>
      <c r="AT93" s="304"/>
      <c r="AU93" s="304"/>
      <c r="AV93" s="304"/>
      <c r="AW93" s="304"/>
      <c r="AX93" s="304"/>
      <c r="AY93" s="304"/>
      <c r="AZ93" s="304"/>
      <c r="BA93" s="304"/>
      <c r="BB93" s="304"/>
      <c r="BC93" s="304"/>
      <c r="BD93" s="304"/>
      <c r="BE93" s="304"/>
      <c r="BF93" s="304"/>
      <c r="BG93" s="304"/>
      <c r="BH93" s="304"/>
      <c r="BI93" s="304"/>
      <c r="BJ93" s="304"/>
      <c r="BK93" s="304"/>
      <c r="BL93" s="304"/>
      <c r="BM93" s="304"/>
      <c r="BN93" s="304"/>
      <c r="BO93" s="304"/>
      <c r="BP93" s="304"/>
      <c r="BQ93" s="304"/>
      <c r="BR93" s="328"/>
      <c r="BS93" s="328"/>
      <c r="BT93" s="328"/>
      <c r="BU93" s="328"/>
      <c r="BV93" s="328"/>
      <c r="BW93" s="304"/>
      <c r="BX93" s="304"/>
      <c r="BY93" s="304"/>
      <c r="BZ93" s="328"/>
      <c r="CA93" s="247"/>
      <c r="CB93" s="247"/>
      <c r="CC93" s="247"/>
      <c r="CD93" s="247"/>
      <c r="CE93" s="247"/>
      <c r="CF93" s="247"/>
      <c r="CG93" s="247"/>
      <c r="CH93" s="247"/>
      <c r="CI93" s="328"/>
      <c r="CJ93" s="328"/>
      <c r="CK93" s="328"/>
      <c r="CL93" s="328"/>
      <c r="CM93" s="328"/>
      <c r="CN93" s="328"/>
      <c r="CO93" s="328"/>
      <c r="CP93" s="328"/>
      <c r="CQ93" s="328"/>
      <c r="CR93" s="328"/>
      <c r="CS93" s="328"/>
      <c r="CT93" s="328"/>
      <c r="CU93" s="328"/>
      <c r="CV93" s="328"/>
      <c r="CW93" s="328"/>
      <c r="CX93" s="328"/>
      <c r="CY93" s="328"/>
      <c r="CZ93" s="328"/>
      <c r="DA93" s="328"/>
      <c r="DB93" s="328"/>
      <c r="DC93" s="1216"/>
      <c r="DD93" s="1217">
        <f>Currentinvoices[[#This Row],[Task Value]]</f>
        <v>16898852</v>
      </c>
      <c r="DE93" s="1217">
        <f>DD93*15%</f>
        <v>2534827.7999999998</v>
      </c>
      <c r="DF93" s="1217">
        <f>DD93+DE93</f>
        <v>19433679.800000001</v>
      </c>
      <c r="DG93" s="1217">
        <f t="shared" si="33"/>
        <v>3379770.1199999996</v>
      </c>
      <c r="DH93" s="1217">
        <f>SUMPRODUCT((MOD(COLUMN(G93:DB93)-COLUMN(H93),4)=2)*G93:DB93)</f>
        <v>3886735.6380000003</v>
      </c>
      <c r="DI93" s="1218">
        <v>0.36</v>
      </c>
      <c r="DJ93" s="1219">
        <f>DI93*DD93</f>
        <v>6083586.7199999997</v>
      </c>
      <c r="DK93" s="1217">
        <f>DJ93-DG93</f>
        <v>2703816.6</v>
      </c>
      <c r="DL93" s="1205"/>
      <c r="DM93" s="1205"/>
      <c r="DN93" s="1205"/>
      <c r="DO93" s="1205"/>
      <c r="DP93" s="1205"/>
      <c r="DQ93" s="1205"/>
      <c r="DR93" s="1205"/>
    </row>
    <row r="94" spans="1:122" ht="15.6">
      <c r="A94" s="1228" t="s">
        <v>637</v>
      </c>
      <c r="B94" t="s">
        <v>664</v>
      </c>
      <c r="C94" s="1210">
        <v>2</v>
      </c>
      <c r="D94" s="1226" t="s">
        <v>645</v>
      </c>
      <c r="E94" t="s">
        <v>640</v>
      </c>
      <c r="F94" s="1212">
        <v>6200000</v>
      </c>
      <c r="G94" s="1222">
        <v>46138</v>
      </c>
      <c r="H94" s="45">
        <v>310000</v>
      </c>
      <c r="I94" s="45">
        <f>Currentinvoices[[#This Row],[Invoice '# 1 amount]]*15%</f>
        <v>46500</v>
      </c>
      <c r="J94" s="45">
        <f>Currentinvoices[[#This Row],[Invoice '# 1 vat]]+Currentinvoices[[#This Row],[Invoice '# 1 amount]]</f>
        <v>356500</v>
      </c>
      <c r="K94" s="1222">
        <v>46155</v>
      </c>
      <c r="L94" s="45">
        <v>1240000</v>
      </c>
      <c r="M94" s="45">
        <f>Currentinvoices[[#This Row],[Invoice '# 2 amount]]*15%</f>
        <v>186000</v>
      </c>
      <c r="N94" s="45">
        <f>Currentinvoices[[#This Row],[Invoice '# 2 vat]]+Currentinvoices[[#This Row],[Invoice '# 2 amount]]</f>
        <v>1426000</v>
      </c>
      <c r="O94" s="247">
        <v>46184</v>
      </c>
      <c r="P94" s="45">
        <v>620000</v>
      </c>
      <c r="Q94" s="45">
        <f>Currentinvoices[[#This Row],[Invoice '# 3 amount]]*15%</f>
        <v>93000</v>
      </c>
      <c r="R94" s="45">
        <f>Currentinvoices[[#This Row],[Invoice '# 3 vat]]+Currentinvoices[[#This Row],[Invoice '# 3 amount]]</f>
        <v>713000</v>
      </c>
      <c r="S94" s="45"/>
      <c r="T94" s="45"/>
      <c r="U94" s="45"/>
      <c r="V94" s="45"/>
      <c r="W94" s="247">
        <v>46230</v>
      </c>
      <c r="X94" s="45">
        <v>434000</v>
      </c>
      <c r="Y94" s="45">
        <f>Currentinvoices[[#This Row],[Invoice '# 5 amount]]*15%</f>
        <v>65100</v>
      </c>
      <c r="Z94" s="45">
        <f>Currentinvoices[[#This Row],[Invoice '# 5 vat]]+Currentinvoices[[#This Row],[Invoice '# 5 amount]]</f>
        <v>499100</v>
      </c>
      <c r="AA94" s="45"/>
      <c r="AB94" s="45"/>
      <c r="AC94" s="45"/>
      <c r="AD94" s="45"/>
      <c r="AE94" s="1222">
        <v>46250</v>
      </c>
      <c r="AF94" s="45">
        <v>186000</v>
      </c>
      <c r="AG94" s="45">
        <f>Currentinvoices[[#This Row],[Invoice '# 7 amount]]*15%</f>
        <v>27900</v>
      </c>
      <c r="AH94" s="45">
        <f>Currentinvoices[[#This Row],[Invoice '# 7 vat]]+Currentinvoices[[#This Row],[Invoice '# 7 amount]]</f>
        <v>213900</v>
      </c>
      <c r="AI94" s="247"/>
      <c r="AJ94" s="247"/>
      <c r="AK94" s="247"/>
      <c r="AL94" s="304"/>
      <c r="AM94" s="304"/>
      <c r="AN94" s="304"/>
      <c r="AO94" s="304"/>
      <c r="AP94" s="304"/>
      <c r="AQ94" s="304"/>
      <c r="AR94" s="304"/>
      <c r="AS94" s="304"/>
      <c r="AT94" s="304"/>
      <c r="AU94" s="304"/>
      <c r="AV94" s="304"/>
      <c r="AW94" s="304"/>
      <c r="AX94" s="304"/>
      <c r="AY94" s="304"/>
      <c r="AZ94" s="304"/>
      <c r="BA94" s="304"/>
      <c r="BB94" s="304"/>
      <c r="BC94" s="304"/>
      <c r="BD94" s="304"/>
      <c r="BE94" s="304"/>
      <c r="BF94" s="304"/>
      <c r="BG94" s="304"/>
      <c r="BH94" s="304"/>
      <c r="BI94" s="304"/>
      <c r="BJ94" s="304"/>
      <c r="BK94" s="304"/>
      <c r="BL94" s="304"/>
      <c r="BM94" s="304"/>
      <c r="BN94" s="304"/>
      <c r="BO94" s="304"/>
      <c r="BP94" s="304"/>
      <c r="BQ94" s="304"/>
      <c r="BR94" s="328"/>
      <c r="BS94" s="328"/>
      <c r="BT94" s="328"/>
      <c r="BU94" s="328"/>
      <c r="BV94" s="328"/>
      <c r="BW94" s="304"/>
      <c r="BX94" s="304"/>
      <c r="BY94" s="304"/>
      <c r="BZ94" s="328"/>
      <c r="CA94" s="247"/>
      <c r="CB94" s="247"/>
      <c r="CC94" s="247"/>
      <c r="CD94" s="247"/>
      <c r="CE94" s="247"/>
      <c r="CF94" s="247"/>
      <c r="CG94" s="247"/>
      <c r="CH94" s="247"/>
      <c r="CI94" s="328"/>
      <c r="CJ94" s="328"/>
      <c r="CK94" s="328"/>
      <c r="CL94" s="328"/>
      <c r="CM94" s="328"/>
      <c r="CN94" s="328"/>
      <c r="CO94" s="328"/>
      <c r="CP94" s="328"/>
      <c r="CQ94" s="328"/>
      <c r="CR94" s="328"/>
      <c r="CS94" s="328"/>
      <c r="CT94" s="328"/>
      <c r="CU94" s="328"/>
      <c r="CV94" s="328"/>
      <c r="CW94" s="328"/>
      <c r="CX94" s="328"/>
      <c r="CY94" s="328"/>
      <c r="CZ94" s="328"/>
      <c r="DA94" s="328"/>
      <c r="DB94" s="328"/>
      <c r="DC94" s="1216"/>
      <c r="DD94" s="1217">
        <f>Currentinvoices[[#This Row],[Task Value]]</f>
        <v>6200000</v>
      </c>
      <c r="DE94" s="1217">
        <f t="shared" ref="DE94:DE96" si="36">DD94*15%</f>
        <v>930000</v>
      </c>
      <c r="DF94" s="1217">
        <f t="shared" ref="DF94:DF95" si="37">DD94+DE94</f>
        <v>7130000</v>
      </c>
      <c r="DG94" s="1217">
        <f>SUMPRODUCT((MOD(COLUMN(G94:DB94)-COLUMN(G94),4)=1)*G94:DB94)</f>
        <v>2790000</v>
      </c>
      <c r="DH94" s="1217">
        <f>SUMPRODUCT((MOD(COLUMN(G94:DB94)-COLUMN(H94),4)=2)*G94:DB94)</f>
        <v>3208500</v>
      </c>
      <c r="DI94" s="1218">
        <v>0.63</v>
      </c>
      <c r="DJ94" s="1219">
        <f>DI94*DD94</f>
        <v>3906000</v>
      </c>
      <c r="DK94" s="1217">
        <f t="shared" ref="DK94:DK96" si="38">DJ94-DG94</f>
        <v>1116000</v>
      </c>
      <c r="DL94" s="1205"/>
      <c r="DM94" s="1205"/>
      <c r="DN94" s="1205"/>
      <c r="DO94" s="1205"/>
      <c r="DP94" s="1205"/>
      <c r="DQ94" s="1205"/>
      <c r="DR94" s="1205"/>
    </row>
    <row r="95" spans="1:122" ht="15.6">
      <c r="A95" s="1228" t="s">
        <v>637</v>
      </c>
      <c r="B95" t="s">
        <v>664</v>
      </c>
      <c r="C95" s="1210">
        <v>3</v>
      </c>
      <c r="D95" s="1226" t="s">
        <v>646</v>
      </c>
      <c r="E95" t="s">
        <v>641</v>
      </c>
      <c r="F95" s="1212">
        <v>1200000</v>
      </c>
      <c r="G95" s="1222">
        <v>46138</v>
      </c>
      <c r="H95" s="45">
        <v>60000</v>
      </c>
      <c r="I95" s="45">
        <f>Currentinvoices[[#This Row],[Invoice '# 1 amount]]*15%</f>
        <v>9000</v>
      </c>
      <c r="J95" s="45">
        <f>Currentinvoices[[#This Row],[Invoice '# 1 vat]]+Currentinvoices[[#This Row],[Invoice '# 1 amount]]</f>
        <v>69000</v>
      </c>
      <c r="K95" s="1222">
        <v>46155</v>
      </c>
      <c r="L95" s="45">
        <v>240000</v>
      </c>
      <c r="M95" s="45">
        <f>Currentinvoices[[#This Row],[Invoice '# 2 amount]]*15%</f>
        <v>36000</v>
      </c>
      <c r="N95" s="45">
        <f>Currentinvoices[[#This Row],[Invoice '# 2 vat]]+Currentinvoices[[#This Row],[Invoice '# 2 amount]]</f>
        <v>276000</v>
      </c>
      <c r="O95" s="247"/>
      <c r="P95" s="247"/>
      <c r="Q95" s="247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247"/>
      <c r="AJ95" s="247"/>
      <c r="AK95" s="247"/>
      <c r="AL95" s="304"/>
      <c r="AM95" s="304"/>
      <c r="AN95" s="304"/>
      <c r="AO95" s="304"/>
      <c r="AP95" s="304"/>
      <c r="AQ95" s="304"/>
      <c r="AR95" s="304"/>
      <c r="AS95" s="304"/>
      <c r="AT95" s="304"/>
      <c r="AU95" s="304"/>
      <c r="AV95" s="304"/>
      <c r="AW95" s="304"/>
      <c r="AX95" s="304"/>
      <c r="AY95" s="304"/>
      <c r="AZ95" s="304"/>
      <c r="BA95" s="304"/>
      <c r="BB95" s="304"/>
      <c r="BC95" s="304"/>
      <c r="BD95" s="304"/>
      <c r="BE95" s="304"/>
      <c r="BF95" s="304"/>
      <c r="BG95" s="304"/>
      <c r="BH95" s="304"/>
      <c r="BI95" s="304"/>
      <c r="BJ95" s="304"/>
      <c r="BK95" s="304"/>
      <c r="BL95" s="304"/>
      <c r="BM95" s="304"/>
      <c r="BN95" s="304"/>
      <c r="BO95" s="304"/>
      <c r="BP95" s="304"/>
      <c r="BQ95" s="304"/>
      <c r="BR95" s="328"/>
      <c r="BS95" s="328"/>
      <c r="BT95" s="328"/>
      <c r="BU95" s="328"/>
      <c r="BV95" s="328"/>
      <c r="BW95" s="304"/>
      <c r="BX95" s="304"/>
      <c r="BY95" s="304"/>
      <c r="BZ95" s="328"/>
      <c r="CA95" s="247"/>
      <c r="CB95" s="247"/>
      <c r="CC95" s="247"/>
      <c r="CD95" s="247"/>
      <c r="CE95" s="247"/>
      <c r="CF95" s="247"/>
      <c r="CG95" s="247"/>
      <c r="CH95" s="247"/>
      <c r="CI95" s="328"/>
      <c r="CJ95" s="328"/>
      <c r="CK95" s="328"/>
      <c r="CL95" s="328"/>
      <c r="CM95" s="328"/>
      <c r="CN95" s="328"/>
      <c r="CO95" s="328"/>
      <c r="CP95" s="328"/>
      <c r="CQ95" s="328"/>
      <c r="CR95" s="328"/>
      <c r="CS95" s="328"/>
      <c r="CT95" s="328"/>
      <c r="CU95" s="328"/>
      <c r="CV95" s="328"/>
      <c r="CW95" s="328"/>
      <c r="CX95" s="328"/>
      <c r="CY95" s="328"/>
      <c r="CZ95" s="328"/>
      <c r="DA95" s="328"/>
      <c r="DB95" s="328"/>
      <c r="DC95" s="1216"/>
      <c r="DD95" s="1217">
        <f>Currentinvoices[[#This Row],[Task Value]]</f>
        <v>1200000</v>
      </c>
      <c r="DE95" s="1217">
        <f t="shared" si="36"/>
        <v>180000</v>
      </c>
      <c r="DF95" s="1217">
        <f t="shared" si="37"/>
        <v>1380000</v>
      </c>
      <c r="DG95" s="1217">
        <f t="shared" ref="DG95:DG96" si="39">SUMPRODUCT((MOD(COLUMN(G95:DB95)-COLUMN(G95),4)=1)*G95:DB95)</f>
        <v>300000</v>
      </c>
      <c r="DH95" s="1217">
        <f t="shared" ref="DH95:DH96" si="40">SUMPRODUCT((MOD(COLUMN(G95:DB95)-COLUMN(H95),4)=2)*G95:DB95)</f>
        <v>345000</v>
      </c>
      <c r="DI95" s="1218">
        <v>0.85</v>
      </c>
      <c r="DJ95" s="1219">
        <f t="shared" ref="DJ95:DJ96" si="41">DI95*DD95</f>
        <v>1020000</v>
      </c>
      <c r="DK95" s="1217">
        <f t="shared" si="38"/>
        <v>720000</v>
      </c>
      <c r="DL95" s="1205"/>
      <c r="DM95" s="1205"/>
      <c r="DN95" s="1205"/>
      <c r="DO95" s="1205"/>
      <c r="DP95" s="1205"/>
      <c r="DQ95" s="1205"/>
      <c r="DR95" s="1205"/>
    </row>
    <row r="96" spans="1:122" ht="15.6">
      <c r="A96" s="1228" t="s">
        <v>637</v>
      </c>
      <c r="B96" t="s">
        <v>664</v>
      </c>
      <c r="C96" s="1210">
        <v>4</v>
      </c>
      <c r="D96" s="1226" t="s">
        <v>643</v>
      </c>
      <c r="E96" t="s">
        <v>642</v>
      </c>
      <c r="F96" s="1212">
        <v>1000000</v>
      </c>
      <c r="G96" s="1222">
        <v>46138</v>
      </c>
      <c r="H96" s="45">
        <v>50000</v>
      </c>
      <c r="I96" s="45">
        <f>Currentinvoices[[#This Row],[Invoice '# 1 amount]]*15%</f>
        <v>7500</v>
      </c>
      <c r="J96" s="45">
        <f>Currentinvoices[[#This Row],[Invoice '# 1 vat]]+Currentinvoices[[#This Row],[Invoice '# 1 amount]]</f>
        <v>57500</v>
      </c>
      <c r="K96" s="1222">
        <v>46155</v>
      </c>
      <c r="L96" s="45">
        <v>400000</v>
      </c>
      <c r="M96" s="45">
        <f>Currentinvoices[[#This Row],[Invoice '# 2 amount]]*15%</f>
        <v>60000</v>
      </c>
      <c r="N96" s="45">
        <f>Currentinvoices[[#This Row],[Invoice '# 2 vat]]+Currentinvoices[[#This Row],[Invoice '# 2 amount]]</f>
        <v>460000</v>
      </c>
      <c r="O96" s="247">
        <v>46184</v>
      </c>
      <c r="P96" s="45">
        <v>200000</v>
      </c>
      <c r="Q96" s="45">
        <f>Currentinvoices[[#This Row],[Invoice '# 3 amount]]*15%</f>
        <v>30000</v>
      </c>
      <c r="R96" s="45">
        <f>Currentinvoices[[#This Row],[Invoice '# 3 vat]]+Currentinvoices[[#This Row],[Invoice '# 3 amount]]</f>
        <v>230000</v>
      </c>
      <c r="S96" s="247">
        <v>46209</v>
      </c>
      <c r="T96" s="45">
        <v>150000</v>
      </c>
      <c r="U96" s="45">
        <f>Currentinvoices[[#This Row],[Invoice '# 4 amount]]*15%</f>
        <v>22500</v>
      </c>
      <c r="V96" s="45">
        <f>Currentinvoices[[#This Row],[Invoice '# 4 vat]]+Currentinvoices[[#This Row],[Invoice '# 4 amount]]</f>
        <v>172500</v>
      </c>
      <c r="W96" s="247">
        <v>46230</v>
      </c>
      <c r="X96" s="45">
        <v>100000</v>
      </c>
      <c r="Y96" s="45">
        <f>Currentinvoices[[#This Row],[Invoice '# 5 amount]]*15%</f>
        <v>15000</v>
      </c>
      <c r="Z96" s="45">
        <f>Currentinvoices[[#This Row],[Invoice '# 5 vat]]+Currentinvoices[[#This Row],[Invoice '# 5 amount]]</f>
        <v>115000</v>
      </c>
      <c r="AA96" s="45"/>
      <c r="AB96" s="45"/>
      <c r="AC96" s="45"/>
      <c r="AD96" s="45"/>
      <c r="AE96" s="1222">
        <v>46250</v>
      </c>
      <c r="AF96" s="45">
        <v>100000</v>
      </c>
      <c r="AG96" s="45">
        <f>Currentinvoices[[#This Row],[Invoice '# 7 amount]]*15%</f>
        <v>15000</v>
      </c>
      <c r="AH96" s="45">
        <f>Currentinvoices[[#This Row],[Invoice '# 7 vat]]+Currentinvoices[[#This Row],[Invoice '# 7 amount]]</f>
        <v>115000</v>
      </c>
      <c r="AI96" s="247"/>
      <c r="AJ96" s="247"/>
      <c r="AK96" s="247"/>
      <c r="AL96" s="304"/>
      <c r="AM96" s="304"/>
      <c r="AN96" s="304"/>
      <c r="AO96" s="304"/>
      <c r="AP96" s="304"/>
      <c r="AQ96" s="304"/>
      <c r="AR96" s="304"/>
      <c r="AS96" s="304"/>
      <c r="AT96" s="304"/>
      <c r="AU96" s="304"/>
      <c r="AV96" s="304"/>
      <c r="AW96" s="304"/>
      <c r="AX96" s="304"/>
      <c r="AY96" s="304"/>
      <c r="AZ96" s="304"/>
      <c r="BA96" s="304"/>
      <c r="BB96" s="304"/>
      <c r="BC96" s="304"/>
      <c r="BD96" s="304"/>
      <c r="BE96" s="304"/>
      <c r="BF96" s="304"/>
      <c r="BG96" s="304"/>
      <c r="BH96" s="304"/>
      <c r="BI96" s="304"/>
      <c r="BJ96" s="304"/>
      <c r="BK96" s="304"/>
      <c r="BL96" s="304"/>
      <c r="BM96" s="304"/>
      <c r="BN96" s="304"/>
      <c r="BO96" s="304"/>
      <c r="BP96" s="304"/>
      <c r="BQ96" s="304"/>
      <c r="BR96" s="328"/>
      <c r="BS96" s="328"/>
      <c r="BT96" s="328"/>
      <c r="BU96" s="328"/>
      <c r="BV96" s="328"/>
      <c r="BW96" s="304"/>
      <c r="BX96" s="304"/>
      <c r="BY96" s="304"/>
      <c r="BZ96" s="328"/>
      <c r="CA96" s="247"/>
      <c r="CB96" s="247"/>
      <c r="CC96" s="247"/>
      <c r="CD96" s="247"/>
      <c r="CE96" s="247"/>
      <c r="CF96" s="247"/>
      <c r="CG96" s="247"/>
      <c r="CH96" s="247"/>
      <c r="CI96" s="328"/>
      <c r="CJ96" s="328"/>
      <c r="CK96" s="328"/>
      <c r="CL96" s="328"/>
      <c r="CM96" s="328"/>
      <c r="CN96" s="328"/>
      <c r="CO96" s="328"/>
      <c r="CP96" s="328"/>
      <c r="CQ96" s="328"/>
      <c r="CR96" s="328"/>
      <c r="CS96" s="328"/>
      <c r="CT96" s="328"/>
      <c r="CU96" s="328"/>
      <c r="CV96" s="328"/>
      <c r="CW96" s="328"/>
      <c r="CX96" s="328"/>
      <c r="CY96" s="328"/>
      <c r="CZ96" s="328"/>
      <c r="DA96" s="328"/>
      <c r="DB96" s="328"/>
      <c r="DC96" s="1216"/>
      <c r="DD96" s="1217">
        <f>Currentinvoices[[#This Row],[Task Value]]</f>
        <v>1000000</v>
      </c>
      <c r="DE96" s="1217">
        <f t="shared" si="36"/>
        <v>150000</v>
      </c>
      <c r="DF96" s="1217">
        <f>DD96+DE96</f>
        <v>1150000</v>
      </c>
      <c r="DG96" s="1217">
        <f t="shared" si="39"/>
        <v>1000000</v>
      </c>
      <c r="DH96" s="1217">
        <f t="shared" si="40"/>
        <v>1150000</v>
      </c>
      <c r="DI96" s="1218">
        <v>1</v>
      </c>
      <c r="DJ96" s="1219">
        <f t="shared" si="41"/>
        <v>1000000</v>
      </c>
      <c r="DK96" s="1217">
        <f t="shared" si="38"/>
        <v>0</v>
      </c>
      <c r="DL96" s="1205"/>
      <c r="DM96" s="1205"/>
      <c r="DN96" s="1205"/>
      <c r="DO96" s="1205"/>
      <c r="DP96" s="1205"/>
      <c r="DQ96" s="1205"/>
      <c r="DR96" s="1205"/>
    </row>
    <row r="97" spans="1:115" ht="15.6">
      <c r="A97" s="1228"/>
      <c r="B97" s="1228"/>
      <c r="C97" s="1210"/>
      <c r="D97" s="1225"/>
      <c r="E97" s="1210"/>
      <c r="F97" s="1212"/>
      <c r="G97" s="1222"/>
      <c r="H97" s="45"/>
      <c r="I97" s="45"/>
      <c r="J97" s="45"/>
      <c r="K97" s="247"/>
      <c r="L97" s="247"/>
      <c r="M97" s="247"/>
      <c r="N97" s="45"/>
      <c r="O97" s="247"/>
      <c r="P97" s="247"/>
      <c r="Q97" s="247"/>
      <c r="R97" s="45"/>
      <c r="S97" s="45"/>
      <c r="T97" s="45"/>
      <c r="U97" s="45"/>
      <c r="V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247"/>
      <c r="AJ97" s="247"/>
      <c r="AK97" s="247"/>
      <c r="AL97" s="304"/>
      <c r="AM97" s="304"/>
      <c r="AN97" s="304"/>
      <c r="AO97" s="304"/>
      <c r="AP97" s="304"/>
      <c r="AQ97" s="304"/>
      <c r="AR97" s="304"/>
      <c r="AS97" s="304"/>
      <c r="AT97" s="304"/>
      <c r="AU97" s="304"/>
      <c r="AV97" s="304"/>
      <c r="AW97" s="304"/>
      <c r="AX97" s="304"/>
      <c r="AY97" s="304"/>
      <c r="AZ97" s="304"/>
      <c r="BA97" s="304"/>
      <c r="BB97" s="304"/>
      <c r="BC97" s="304"/>
      <c r="BD97" s="304"/>
      <c r="BE97" s="304"/>
      <c r="BF97" s="304"/>
      <c r="BG97" s="304"/>
      <c r="BH97" s="304"/>
      <c r="BI97" s="304"/>
      <c r="BJ97" s="304"/>
      <c r="BK97" s="304"/>
      <c r="BL97" s="304"/>
      <c r="BM97" s="304"/>
      <c r="BN97" s="304"/>
      <c r="BO97" s="304"/>
      <c r="BP97" s="304"/>
      <c r="BQ97" s="304"/>
      <c r="BR97" s="328"/>
      <c r="BS97" s="328"/>
      <c r="BT97" s="328"/>
      <c r="BU97" s="328"/>
      <c r="BV97" s="328"/>
      <c r="BW97" s="304"/>
      <c r="BX97" s="304"/>
      <c r="BY97" s="304"/>
      <c r="BZ97" s="328"/>
      <c r="CA97" s="247"/>
      <c r="CB97" s="247"/>
      <c r="CC97" s="247"/>
      <c r="CD97" s="247"/>
      <c r="CE97" s="247"/>
      <c r="CF97" s="247"/>
      <c r="CG97" s="247"/>
      <c r="CH97" s="247"/>
      <c r="CI97" s="328"/>
      <c r="CJ97" s="328"/>
      <c r="CK97" s="328"/>
      <c r="CL97" s="328"/>
      <c r="CM97" s="328"/>
      <c r="CN97" s="328"/>
      <c r="CO97" s="328"/>
      <c r="CP97" s="328"/>
      <c r="CQ97" s="328"/>
      <c r="CR97" s="328"/>
      <c r="CS97" s="328"/>
      <c r="CT97" s="328"/>
      <c r="CU97" s="328"/>
      <c r="CV97" s="328"/>
      <c r="CW97" s="328"/>
      <c r="CX97" s="328"/>
      <c r="CY97" s="328"/>
      <c r="CZ97" s="328"/>
      <c r="DA97" s="328"/>
      <c r="DB97" s="328"/>
      <c r="DC97" s="1216"/>
      <c r="DD97" s="1217"/>
      <c r="DE97" s="1217"/>
      <c r="DF97" s="1217"/>
      <c r="DG97" s="1217">
        <f>SUMPRODUCT((MOD(COLUMN(G97:DB97)-COLUMN(G97),4)=1)*G97:DB97)</f>
        <v>0</v>
      </c>
      <c r="DH97" s="1217"/>
      <c r="DI97" s="1218"/>
      <c r="DJ97" s="1219"/>
      <c r="DK97" s="1217"/>
    </row>
    <row r="98" spans="1:115" ht="15.6">
      <c r="A98" s="1228"/>
      <c r="B98" s="1228"/>
      <c r="C98" s="1210"/>
      <c r="D98" s="1225"/>
      <c r="E98" s="1210"/>
      <c r="F98" s="1212"/>
      <c r="G98" s="1222"/>
      <c r="H98" s="45"/>
      <c r="I98" s="45"/>
      <c r="J98" s="45"/>
      <c r="K98" s="247"/>
      <c r="L98" s="247"/>
      <c r="M98" s="247"/>
      <c r="N98" s="45"/>
      <c r="O98" s="247"/>
      <c r="P98" s="247"/>
      <c r="Q98" s="247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247"/>
      <c r="AJ98" s="247"/>
      <c r="AK98" s="247"/>
      <c r="AL98" s="304"/>
      <c r="AM98" s="304"/>
      <c r="AN98" s="304"/>
      <c r="AO98" s="304"/>
      <c r="AP98" s="304"/>
      <c r="AQ98" s="304"/>
      <c r="AR98" s="304"/>
      <c r="AS98" s="304"/>
      <c r="AT98" s="304"/>
      <c r="AU98" s="304"/>
      <c r="AV98" s="304"/>
      <c r="AW98" s="304"/>
      <c r="AX98" s="304"/>
      <c r="AY98" s="304"/>
      <c r="AZ98" s="304"/>
      <c r="BA98" s="304"/>
      <c r="BB98" s="304"/>
      <c r="BC98" s="304"/>
      <c r="BD98" s="304"/>
      <c r="BE98" s="304"/>
      <c r="BF98" s="304"/>
      <c r="BG98" s="304"/>
      <c r="BH98" s="304"/>
      <c r="BI98" s="304"/>
      <c r="BJ98" s="304"/>
      <c r="BK98" s="304"/>
      <c r="BL98" s="304"/>
      <c r="BM98" s="304"/>
      <c r="BN98" s="304"/>
      <c r="BO98" s="304"/>
      <c r="BP98" s="304"/>
      <c r="BQ98" s="304"/>
      <c r="BR98" s="328"/>
      <c r="BS98" s="328"/>
      <c r="BT98" s="328"/>
      <c r="BU98" s="328"/>
      <c r="BV98" s="328"/>
      <c r="BW98" s="304"/>
      <c r="BX98" s="304"/>
      <c r="BY98" s="304"/>
      <c r="BZ98" s="328"/>
      <c r="CA98" s="247"/>
      <c r="CB98" s="247"/>
      <c r="CC98" s="247"/>
      <c r="CD98" s="247"/>
      <c r="CE98" s="247"/>
      <c r="CF98" s="247"/>
      <c r="CG98" s="247"/>
      <c r="CH98" s="247"/>
      <c r="CI98" s="328"/>
      <c r="CJ98" s="328"/>
      <c r="CK98" s="328"/>
      <c r="CL98" s="328"/>
      <c r="CM98" s="328"/>
      <c r="CN98" s="328"/>
      <c r="CO98" s="328"/>
      <c r="CP98" s="328"/>
      <c r="CQ98" s="328"/>
      <c r="CR98" s="328"/>
      <c r="CS98" s="328"/>
      <c r="CT98" s="328"/>
      <c r="CU98" s="328"/>
      <c r="CV98" s="328"/>
      <c r="CW98" s="328"/>
      <c r="CX98" s="328"/>
      <c r="CY98" s="328"/>
      <c r="CZ98" s="328"/>
      <c r="DA98" s="328"/>
      <c r="DB98" s="328"/>
      <c r="DC98" s="1216"/>
      <c r="DD98" s="1217"/>
      <c r="DE98" s="1217"/>
      <c r="DF98" s="1217"/>
      <c r="DG98" s="1217">
        <f>SUMPRODUCT((MOD(COLUMN(G98:DB98)-COLUMN(G98),4)=1)*G98:DB98)</f>
        <v>0</v>
      </c>
      <c r="DH98" s="1217"/>
      <c r="DI98" s="1218"/>
      <c r="DJ98" s="1219"/>
      <c r="DK98" s="1217"/>
    </row>
  </sheetData>
  <pageMargins left="0.7" right="0.7" top="0.75" bottom="0.75" header="0.3" footer="0.3"/>
  <pageSetup scale="1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64"/>
  <sheetViews>
    <sheetView topLeftCell="A34" workbookViewId="0">
      <selection activeCell="H47" sqref="H47"/>
    </sheetView>
  </sheetViews>
  <sheetFormatPr defaultRowHeight="14.4"/>
  <cols>
    <col min="1" max="1" width="24.5546875" customWidth="1"/>
    <col min="2" max="2" width="14.88671875" customWidth="1"/>
    <col min="3" max="3" width="24.44140625" customWidth="1"/>
    <col min="4" max="4" width="21" bestFit="1" customWidth="1"/>
    <col min="5" max="5" width="95.6640625" bestFit="1" customWidth="1"/>
    <col min="6" max="6" width="17.33203125" bestFit="1" customWidth="1"/>
    <col min="7" max="7" width="12.5546875" bestFit="1" customWidth="1"/>
    <col min="8" max="8" width="20.88671875" customWidth="1"/>
  </cols>
  <sheetData>
    <row r="1" spans="1:8" ht="28.95" customHeight="1">
      <c r="A1" s="1" t="s">
        <v>544</v>
      </c>
      <c r="B1" s="1" t="s">
        <v>543</v>
      </c>
      <c r="C1" s="1" t="s">
        <v>547</v>
      </c>
      <c r="D1" s="1" t="s">
        <v>549</v>
      </c>
      <c r="E1" s="1" t="s">
        <v>545</v>
      </c>
      <c r="F1" s="1" t="s">
        <v>550</v>
      </c>
      <c r="G1" s="1" t="s">
        <v>21</v>
      </c>
      <c r="H1" s="1" t="s">
        <v>546</v>
      </c>
    </row>
    <row r="2" spans="1:8">
      <c r="A2" t="s">
        <v>12</v>
      </c>
      <c r="B2" t="s">
        <v>31</v>
      </c>
      <c r="C2">
        <v>19993600</v>
      </c>
      <c r="D2" t="s">
        <v>551</v>
      </c>
      <c r="E2" t="s">
        <v>32</v>
      </c>
      <c r="F2" t="s">
        <v>551</v>
      </c>
      <c r="G2" t="s">
        <v>33</v>
      </c>
      <c r="H2">
        <v>877779</v>
      </c>
    </row>
    <row r="3" spans="1:8">
      <c r="A3" t="s">
        <v>12</v>
      </c>
      <c r="B3" t="s">
        <v>31</v>
      </c>
      <c r="C3">
        <v>19993600</v>
      </c>
      <c r="D3" t="s">
        <v>551</v>
      </c>
      <c r="E3" t="s">
        <v>34</v>
      </c>
      <c r="F3" t="s">
        <v>551</v>
      </c>
      <c r="G3" t="s">
        <v>35</v>
      </c>
      <c r="H3">
        <v>1403611</v>
      </c>
    </row>
    <row r="4" spans="1:8">
      <c r="A4" t="s">
        <v>12</v>
      </c>
      <c r="B4" t="s">
        <v>31</v>
      </c>
      <c r="C4">
        <v>19993600</v>
      </c>
      <c r="D4" t="s">
        <v>551</v>
      </c>
      <c r="E4" t="s">
        <v>36</v>
      </c>
      <c r="F4" t="s">
        <v>551</v>
      </c>
      <c r="G4" t="s">
        <v>37</v>
      </c>
      <c r="H4">
        <v>2999654</v>
      </c>
    </row>
    <row r="5" spans="1:8">
      <c r="A5" t="s">
        <v>12</v>
      </c>
      <c r="B5" t="s">
        <v>31</v>
      </c>
      <c r="C5">
        <v>19993600</v>
      </c>
      <c r="D5" t="s">
        <v>551</v>
      </c>
      <c r="E5" t="s">
        <v>38</v>
      </c>
      <c r="F5" t="s">
        <v>551</v>
      </c>
      <c r="G5" t="s">
        <v>39</v>
      </c>
      <c r="H5">
        <v>4125000</v>
      </c>
    </row>
    <row r="6" spans="1:8">
      <c r="A6" t="s">
        <v>12</v>
      </c>
      <c r="B6" t="s">
        <v>31</v>
      </c>
      <c r="C6">
        <v>19993600</v>
      </c>
      <c r="D6" t="s">
        <v>551</v>
      </c>
      <c r="E6" t="s">
        <v>40</v>
      </c>
      <c r="F6" t="s">
        <v>551</v>
      </c>
      <c r="G6" t="s">
        <v>41</v>
      </c>
      <c r="H6">
        <v>404258</v>
      </c>
    </row>
    <row r="7" spans="1:8">
      <c r="A7" t="s">
        <v>12</v>
      </c>
      <c r="B7" t="s">
        <v>31</v>
      </c>
      <c r="C7">
        <v>19993600</v>
      </c>
      <c r="D7" t="s">
        <v>551</v>
      </c>
      <c r="E7" t="s">
        <v>215</v>
      </c>
      <c r="F7" t="s">
        <v>551</v>
      </c>
      <c r="G7" t="s">
        <v>107</v>
      </c>
      <c r="H7">
        <v>6968306</v>
      </c>
    </row>
    <row r="8" spans="1:8">
      <c r="A8" t="s">
        <v>12</v>
      </c>
      <c r="B8" t="s">
        <v>31</v>
      </c>
      <c r="C8">
        <v>19993600</v>
      </c>
      <c r="D8" t="s">
        <v>551</v>
      </c>
      <c r="E8" t="s">
        <v>112</v>
      </c>
      <c r="F8" t="s">
        <v>551</v>
      </c>
      <c r="H8">
        <v>174000</v>
      </c>
    </row>
    <row r="9" spans="1:8">
      <c r="A9" t="s">
        <v>12</v>
      </c>
      <c r="B9" t="s">
        <v>31</v>
      </c>
      <c r="C9">
        <v>19993600</v>
      </c>
      <c r="D9" t="s">
        <v>551</v>
      </c>
      <c r="E9" t="s">
        <v>131</v>
      </c>
      <c r="F9" t="s">
        <v>551</v>
      </c>
      <c r="G9" t="s">
        <v>132</v>
      </c>
      <c r="H9">
        <v>836000</v>
      </c>
    </row>
    <row r="10" spans="1:8">
      <c r="A10" t="s">
        <v>12</v>
      </c>
      <c r="B10" t="s">
        <v>31</v>
      </c>
      <c r="C10">
        <v>19993600</v>
      </c>
      <c r="D10" t="s">
        <v>551</v>
      </c>
      <c r="E10" t="s">
        <v>135</v>
      </c>
      <c r="F10" t="s">
        <v>551</v>
      </c>
      <c r="G10" t="s">
        <v>133</v>
      </c>
      <c r="H10">
        <v>1505768</v>
      </c>
    </row>
    <row r="11" spans="1:8">
      <c r="A11" t="s">
        <v>12</v>
      </c>
      <c r="B11" t="s">
        <v>31</v>
      </c>
      <c r="C11">
        <v>19993600</v>
      </c>
      <c r="D11" t="s">
        <v>551</v>
      </c>
      <c r="E11" s="1204" t="s">
        <v>134</v>
      </c>
      <c r="F11" t="s">
        <v>551</v>
      </c>
      <c r="H11">
        <v>264505</v>
      </c>
    </row>
    <row r="12" spans="1:8">
      <c r="A12" t="s">
        <v>113</v>
      </c>
      <c r="B12" t="s">
        <v>114</v>
      </c>
      <c r="C12">
        <v>15054089</v>
      </c>
      <c r="D12" t="s">
        <v>552</v>
      </c>
      <c r="E12" t="s">
        <v>115</v>
      </c>
      <c r="F12" t="s">
        <v>551</v>
      </c>
      <c r="G12" t="s">
        <v>116</v>
      </c>
      <c r="H12">
        <v>6726972</v>
      </c>
    </row>
    <row r="13" spans="1:8">
      <c r="A13" t="s">
        <v>113</v>
      </c>
      <c r="B13" t="s">
        <v>114</v>
      </c>
      <c r="C13">
        <v>15054089</v>
      </c>
      <c r="D13" t="s">
        <v>552</v>
      </c>
      <c r="E13" t="s">
        <v>250</v>
      </c>
      <c r="F13" t="s">
        <v>552</v>
      </c>
      <c r="G13" t="s">
        <v>251</v>
      </c>
      <c r="H13">
        <v>3300435</v>
      </c>
    </row>
    <row r="14" spans="1:8">
      <c r="A14" t="s">
        <v>113</v>
      </c>
      <c r="B14" t="s">
        <v>114</v>
      </c>
      <c r="C14">
        <v>15054089</v>
      </c>
      <c r="D14" t="s">
        <v>552</v>
      </c>
      <c r="E14" t="s">
        <v>252</v>
      </c>
      <c r="F14" t="s">
        <v>552</v>
      </c>
      <c r="G14" t="s">
        <v>253</v>
      </c>
      <c r="H14">
        <v>3300435</v>
      </c>
    </row>
    <row r="15" spans="1:8">
      <c r="A15" t="s">
        <v>113</v>
      </c>
      <c r="B15" t="s">
        <v>114</v>
      </c>
      <c r="C15">
        <v>15054089</v>
      </c>
      <c r="D15" t="s">
        <v>552</v>
      </c>
      <c r="E15" t="s">
        <v>254</v>
      </c>
      <c r="F15" t="s">
        <v>551</v>
      </c>
      <c r="G15" t="s">
        <v>255</v>
      </c>
      <c r="H15">
        <v>1726247</v>
      </c>
    </row>
    <row r="16" spans="1:8">
      <c r="A16" t="s">
        <v>235</v>
      </c>
      <c r="B16" t="s">
        <v>117</v>
      </c>
      <c r="C16">
        <v>19979840</v>
      </c>
      <c r="D16" t="s">
        <v>552</v>
      </c>
      <c r="E16" t="s">
        <v>118</v>
      </c>
      <c r="F16" t="s">
        <v>551</v>
      </c>
      <c r="G16" t="s">
        <v>119</v>
      </c>
      <c r="H16">
        <v>4360270</v>
      </c>
    </row>
    <row r="17" spans="1:8">
      <c r="A17" t="s">
        <v>235</v>
      </c>
      <c r="B17" t="s">
        <v>117</v>
      </c>
      <c r="C17">
        <v>19979840</v>
      </c>
      <c r="D17" t="s">
        <v>552</v>
      </c>
      <c r="E17" t="s">
        <v>120</v>
      </c>
      <c r="F17" t="s">
        <v>551</v>
      </c>
      <c r="H17">
        <v>744150</v>
      </c>
    </row>
    <row r="18" spans="1:8">
      <c r="A18" t="s">
        <v>235</v>
      </c>
      <c r="B18" t="s">
        <v>117</v>
      </c>
      <c r="C18">
        <v>19979840</v>
      </c>
      <c r="D18" t="s">
        <v>552</v>
      </c>
      <c r="E18" t="s">
        <v>121</v>
      </c>
      <c r="F18" t="s">
        <v>551</v>
      </c>
      <c r="H18">
        <v>744150</v>
      </c>
    </row>
    <row r="19" spans="1:8">
      <c r="A19" t="s">
        <v>235</v>
      </c>
      <c r="B19" t="s">
        <v>117</v>
      </c>
      <c r="C19">
        <v>19979840</v>
      </c>
      <c r="D19" t="s">
        <v>552</v>
      </c>
      <c r="E19" t="s">
        <v>173</v>
      </c>
      <c r="F19" t="s">
        <v>551</v>
      </c>
      <c r="H19">
        <v>153002</v>
      </c>
    </row>
    <row r="20" spans="1:8">
      <c r="A20" t="s">
        <v>235</v>
      </c>
      <c r="B20" t="s">
        <v>117</v>
      </c>
      <c r="C20">
        <v>19979840</v>
      </c>
      <c r="D20" t="s">
        <v>552</v>
      </c>
      <c r="E20" t="s">
        <v>221</v>
      </c>
      <c r="H20">
        <v>156177</v>
      </c>
    </row>
    <row r="21" spans="1:8">
      <c r="A21" t="s">
        <v>235</v>
      </c>
      <c r="B21" t="s">
        <v>117</v>
      </c>
      <c r="C21">
        <v>19979840</v>
      </c>
      <c r="D21" t="s">
        <v>552</v>
      </c>
      <c r="E21" t="s">
        <v>226</v>
      </c>
      <c r="F21" t="s">
        <v>551</v>
      </c>
      <c r="G21" t="s">
        <v>227</v>
      </c>
      <c r="H21">
        <v>1656100</v>
      </c>
    </row>
    <row r="22" spans="1:8">
      <c r="A22" t="s">
        <v>235</v>
      </c>
      <c r="B22" t="s">
        <v>117</v>
      </c>
      <c r="C22">
        <v>19979840</v>
      </c>
      <c r="D22" t="s">
        <v>552</v>
      </c>
      <c r="E22" t="s">
        <v>297</v>
      </c>
      <c r="F22" t="s">
        <v>551</v>
      </c>
      <c r="G22" t="s">
        <v>301</v>
      </c>
      <c r="H22">
        <v>2560090</v>
      </c>
    </row>
    <row r="23" spans="1:8">
      <c r="A23" t="s">
        <v>235</v>
      </c>
      <c r="B23" t="s">
        <v>117</v>
      </c>
      <c r="C23">
        <v>19979840</v>
      </c>
      <c r="D23" t="s">
        <v>552</v>
      </c>
      <c r="E23" t="s">
        <v>299</v>
      </c>
      <c r="F23" t="s">
        <v>552</v>
      </c>
      <c r="G23" t="s">
        <v>300</v>
      </c>
      <c r="H23">
        <v>2310000</v>
      </c>
    </row>
    <row r="24" spans="1:8">
      <c r="A24" t="s">
        <v>235</v>
      </c>
      <c r="B24" t="s">
        <v>117</v>
      </c>
      <c r="C24">
        <v>19979840</v>
      </c>
      <c r="D24" t="s">
        <v>552</v>
      </c>
      <c r="E24" t="s">
        <v>302</v>
      </c>
      <c r="F24" t="s">
        <v>551</v>
      </c>
      <c r="G24" t="s">
        <v>303</v>
      </c>
      <c r="H24">
        <v>350000</v>
      </c>
    </row>
    <row r="25" spans="1:8">
      <c r="A25" t="s">
        <v>235</v>
      </c>
      <c r="B25" t="s">
        <v>117</v>
      </c>
      <c r="C25">
        <v>19979840</v>
      </c>
      <c r="D25" t="s">
        <v>552</v>
      </c>
      <c r="E25" t="s">
        <v>314</v>
      </c>
      <c r="F25" t="s">
        <v>552</v>
      </c>
      <c r="G25" t="s">
        <v>315</v>
      </c>
      <c r="H25">
        <v>534490</v>
      </c>
    </row>
    <row r="26" spans="1:8">
      <c r="A26" t="s">
        <v>235</v>
      </c>
      <c r="B26" t="s">
        <v>117</v>
      </c>
      <c r="C26">
        <v>19979840</v>
      </c>
      <c r="D26" t="s">
        <v>552</v>
      </c>
      <c r="E26" t="s">
        <v>325</v>
      </c>
      <c r="H26">
        <v>170000</v>
      </c>
    </row>
    <row r="27" spans="1:8">
      <c r="A27" t="s">
        <v>235</v>
      </c>
      <c r="B27" t="s">
        <v>117</v>
      </c>
      <c r="C27">
        <v>19979840</v>
      </c>
      <c r="D27" t="s">
        <v>552</v>
      </c>
      <c r="E27" t="s">
        <v>391</v>
      </c>
      <c r="F27" t="s">
        <v>552</v>
      </c>
      <c r="G27" t="s">
        <v>392</v>
      </c>
      <c r="H27">
        <v>1590000</v>
      </c>
    </row>
    <row r="28" spans="1:8">
      <c r="A28" t="s">
        <v>235</v>
      </c>
      <c r="B28" t="s">
        <v>117</v>
      </c>
      <c r="C28">
        <v>19979840</v>
      </c>
      <c r="D28" t="s">
        <v>552</v>
      </c>
      <c r="E28" t="s">
        <v>396</v>
      </c>
      <c r="F28" t="s">
        <v>552</v>
      </c>
      <c r="H28">
        <v>110500</v>
      </c>
    </row>
    <row r="29" spans="1:8">
      <c r="A29" t="s">
        <v>235</v>
      </c>
      <c r="B29" t="s">
        <v>117</v>
      </c>
      <c r="C29">
        <v>19979840</v>
      </c>
      <c r="D29" t="s">
        <v>552</v>
      </c>
      <c r="E29" t="s">
        <v>397</v>
      </c>
      <c r="F29" t="s">
        <v>552</v>
      </c>
      <c r="G29" t="s">
        <v>398</v>
      </c>
      <c r="H29">
        <v>500000</v>
      </c>
    </row>
    <row r="30" spans="1:8">
      <c r="A30" t="s">
        <v>235</v>
      </c>
      <c r="B30" t="s">
        <v>117</v>
      </c>
      <c r="C30">
        <v>19979840</v>
      </c>
      <c r="D30" t="s">
        <v>552</v>
      </c>
      <c r="E30" t="s">
        <v>400</v>
      </c>
      <c r="H30">
        <v>1798340</v>
      </c>
    </row>
    <row r="31" spans="1:8">
      <c r="A31" t="s">
        <v>235</v>
      </c>
      <c r="B31" t="s">
        <v>117</v>
      </c>
      <c r="C31">
        <v>19979840</v>
      </c>
      <c r="D31" t="s">
        <v>552</v>
      </c>
      <c r="E31" t="s">
        <v>405</v>
      </c>
      <c r="F31" t="s">
        <v>552</v>
      </c>
      <c r="H31">
        <v>590000</v>
      </c>
    </row>
    <row r="32" spans="1:8">
      <c r="A32" t="s">
        <v>122</v>
      </c>
      <c r="B32" t="s">
        <v>307</v>
      </c>
      <c r="C32">
        <v>27837620</v>
      </c>
      <c r="D32" t="s">
        <v>551</v>
      </c>
      <c r="E32" t="s">
        <v>123</v>
      </c>
      <c r="F32" t="s">
        <v>551</v>
      </c>
      <c r="G32" t="s">
        <v>307</v>
      </c>
      <c r="H32">
        <v>27837620</v>
      </c>
    </row>
    <row r="33" spans="1:8">
      <c r="A33" t="s">
        <v>234</v>
      </c>
      <c r="B33" t="s">
        <v>308</v>
      </c>
      <c r="C33">
        <v>9799000</v>
      </c>
      <c r="D33" t="s">
        <v>552</v>
      </c>
      <c r="E33" t="s">
        <v>304</v>
      </c>
      <c r="F33" t="s">
        <v>552</v>
      </c>
      <c r="G33" t="s">
        <v>305</v>
      </c>
      <c r="H33">
        <v>4421850</v>
      </c>
    </row>
    <row r="34" spans="1:8">
      <c r="A34" t="s">
        <v>234</v>
      </c>
      <c r="B34" t="s">
        <v>308</v>
      </c>
      <c r="C34">
        <v>9799000</v>
      </c>
      <c r="D34" t="s">
        <v>552</v>
      </c>
      <c r="E34" t="s">
        <v>309</v>
      </c>
      <c r="F34" t="s">
        <v>552</v>
      </c>
      <c r="G34" t="s">
        <v>310</v>
      </c>
      <c r="H34">
        <v>650000</v>
      </c>
    </row>
    <row r="35" spans="1:8">
      <c r="A35" t="s">
        <v>234</v>
      </c>
      <c r="B35" t="s">
        <v>308</v>
      </c>
      <c r="C35">
        <v>9799000</v>
      </c>
      <c r="D35" t="s">
        <v>552</v>
      </c>
      <c r="E35" t="s">
        <v>359</v>
      </c>
      <c r="F35" t="s">
        <v>552</v>
      </c>
      <c r="G35" t="s">
        <v>360</v>
      </c>
      <c r="H35">
        <v>1150000</v>
      </c>
    </row>
    <row r="36" spans="1:8">
      <c r="A36" t="s">
        <v>234</v>
      </c>
      <c r="B36" t="s">
        <v>308</v>
      </c>
      <c r="C36">
        <v>9799000</v>
      </c>
      <c r="D36" t="s">
        <v>552</v>
      </c>
      <c r="E36" t="s">
        <v>532</v>
      </c>
      <c r="F36" t="s">
        <v>552</v>
      </c>
      <c r="H36">
        <v>853820</v>
      </c>
    </row>
    <row r="37" spans="1:8">
      <c r="A37" t="s">
        <v>233</v>
      </c>
      <c r="B37" t="s">
        <v>306</v>
      </c>
      <c r="C37">
        <v>7025000</v>
      </c>
      <c r="D37" t="s">
        <v>551</v>
      </c>
      <c r="E37" t="s">
        <v>289</v>
      </c>
      <c r="F37" t="s">
        <v>551</v>
      </c>
      <c r="G37" t="s">
        <v>306</v>
      </c>
      <c r="H37">
        <v>7025000</v>
      </c>
    </row>
    <row r="38" spans="1:8">
      <c r="A38" t="s">
        <v>236</v>
      </c>
      <c r="B38" t="s">
        <v>313</v>
      </c>
      <c r="C38">
        <v>59999685.82</v>
      </c>
      <c r="D38" t="s">
        <v>552</v>
      </c>
      <c r="F38" t="s">
        <v>552</v>
      </c>
      <c r="G38" t="s">
        <v>313</v>
      </c>
    </row>
    <row r="39" spans="1:8">
      <c r="A39" t="s">
        <v>316</v>
      </c>
      <c r="B39" t="s">
        <v>317</v>
      </c>
      <c r="C39">
        <v>19856000</v>
      </c>
      <c r="D39" t="s">
        <v>552</v>
      </c>
      <c r="E39" t="s">
        <v>318</v>
      </c>
      <c r="F39" t="s">
        <v>551</v>
      </c>
      <c r="H39">
        <v>7940002</v>
      </c>
    </row>
    <row r="40" spans="1:8">
      <c r="A40" t="s">
        <v>316</v>
      </c>
      <c r="B40" t="s">
        <v>317</v>
      </c>
      <c r="C40">
        <v>19856000</v>
      </c>
      <c r="D40" t="s">
        <v>552</v>
      </c>
      <c r="E40" t="s">
        <v>336</v>
      </c>
      <c r="F40" t="s">
        <v>551</v>
      </c>
      <c r="G40" t="s">
        <v>337</v>
      </c>
      <c r="H40">
        <v>1658659</v>
      </c>
    </row>
    <row r="41" spans="1:8">
      <c r="A41" t="s">
        <v>316</v>
      </c>
      <c r="B41" t="s">
        <v>317</v>
      </c>
      <c r="C41">
        <v>19856000</v>
      </c>
      <c r="D41" t="s">
        <v>552</v>
      </c>
      <c r="E41" t="s">
        <v>348</v>
      </c>
      <c r="F41" t="s">
        <v>552</v>
      </c>
      <c r="G41" t="s">
        <v>346</v>
      </c>
      <c r="H41">
        <v>1192999</v>
      </c>
    </row>
    <row r="42" spans="1:8">
      <c r="A42" t="s">
        <v>316</v>
      </c>
      <c r="B42" t="s">
        <v>317</v>
      </c>
      <c r="C42">
        <v>19856000</v>
      </c>
      <c r="D42" t="s">
        <v>552</v>
      </c>
      <c r="E42" t="s">
        <v>349</v>
      </c>
      <c r="F42" t="s">
        <v>552</v>
      </c>
      <c r="G42" t="s">
        <v>347</v>
      </c>
      <c r="H42">
        <v>1318399</v>
      </c>
    </row>
    <row r="43" spans="1:8">
      <c r="A43" t="s">
        <v>316</v>
      </c>
      <c r="B43" t="s">
        <v>317</v>
      </c>
      <c r="C43">
        <v>19856000</v>
      </c>
      <c r="D43" t="s">
        <v>552</v>
      </c>
      <c r="E43" t="s">
        <v>389</v>
      </c>
      <c r="F43" t="s">
        <v>552</v>
      </c>
      <c r="G43" t="s">
        <v>390</v>
      </c>
      <c r="H43">
        <v>1230000</v>
      </c>
    </row>
    <row r="44" spans="1:8">
      <c r="A44" t="s">
        <v>316</v>
      </c>
      <c r="B44" t="s">
        <v>317</v>
      </c>
      <c r="C44">
        <v>19856000</v>
      </c>
      <c r="D44" t="s">
        <v>552</v>
      </c>
      <c r="E44" t="s">
        <v>666</v>
      </c>
      <c r="F44" t="s">
        <v>552</v>
      </c>
      <c r="H44">
        <v>2210695</v>
      </c>
    </row>
    <row r="45" spans="1:8">
      <c r="A45" t="s">
        <v>316</v>
      </c>
      <c r="B45" t="s">
        <v>317</v>
      </c>
      <c r="C45">
        <v>19856000</v>
      </c>
      <c r="D45" t="s">
        <v>552</v>
      </c>
      <c r="E45" t="s">
        <v>671</v>
      </c>
      <c r="F45" t="s">
        <v>552</v>
      </c>
      <c r="H45">
        <v>1000628</v>
      </c>
    </row>
    <row r="46" spans="1:8">
      <c r="A46" t="s">
        <v>361</v>
      </c>
      <c r="B46" t="s">
        <v>362</v>
      </c>
      <c r="C46">
        <v>14990000</v>
      </c>
      <c r="D46" t="s">
        <v>552</v>
      </c>
      <c r="E46" t="s">
        <v>388</v>
      </c>
      <c r="F46" t="s">
        <v>552</v>
      </c>
      <c r="H46">
        <v>2997130</v>
      </c>
    </row>
    <row r="47" spans="1:8">
      <c r="A47" t="s">
        <v>361</v>
      </c>
      <c r="B47" t="s">
        <v>362</v>
      </c>
      <c r="C47">
        <v>14990001</v>
      </c>
      <c r="D47" t="s">
        <v>552</v>
      </c>
      <c r="E47" t="s">
        <v>668</v>
      </c>
      <c r="F47" t="s">
        <v>552</v>
      </c>
      <c r="H47">
        <v>5188500</v>
      </c>
    </row>
    <row r="48" spans="1:8">
      <c r="A48" t="s">
        <v>361</v>
      </c>
      <c r="B48" t="s">
        <v>362</v>
      </c>
      <c r="C48">
        <v>14990002</v>
      </c>
      <c r="D48" t="s">
        <v>552</v>
      </c>
      <c r="E48" t="s">
        <v>669</v>
      </c>
      <c r="F48" t="s">
        <v>552</v>
      </c>
      <c r="H48">
        <v>3500000</v>
      </c>
    </row>
    <row r="49" spans="1:8">
      <c r="A49" t="s">
        <v>364</v>
      </c>
      <c r="B49" t="s">
        <v>370</v>
      </c>
      <c r="C49">
        <v>59500000</v>
      </c>
      <c r="D49" t="s">
        <v>552</v>
      </c>
      <c r="E49" t="s">
        <v>385</v>
      </c>
      <c r="F49" t="s">
        <v>552</v>
      </c>
      <c r="H49">
        <v>2490457</v>
      </c>
    </row>
    <row r="50" spans="1:8">
      <c r="A50" t="s">
        <v>364</v>
      </c>
      <c r="B50" t="s">
        <v>370</v>
      </c>
      <c r="C50">
        <v>59500000</v>
      </c>
      <c r="D50" t="s">
        <v>552</v>
      </c>
      <c r="E50" t="s">
        <v>419</v>
      </c>
      <c r="F50" t="s">
        <v>552</v>
      </c>
      <c r="G50" t="s">
        <v>420</v>
      </c>
      <c r="H50">
        <v>24501677</v>
      </c>
    </row>
    <row r="51" spans="1:8">
      <c r="A51" t="s">
        <v>364</v>
      </c>
      <c r="B51" t="s">
        <v>370</v>
      </c>
      <c r="C51">
        <v>59500000</v>
      </c>
      <c r="D51" t="s">
        <v>552</v>
      </c>
      <c r="E51" t="s">
        <v>653</v>
      </c>
      <c r="F51" t="s">
        <v>552</v>
      </c>
      <c r="H51">
        <v>1124289</v>
      </c>
    </row>
    <row r="52" spans="1:8">
      <c r="A52" t="s">
        <v>364</v>
      </c>
      <c r="B52" t="s">
        <v>370</v>
      </c>
      <c r="C52">
        <v>59500000</v>
      </c>
      <c r="D52" t="s">
        <v>552</v>
      </c>
      <c r="E52" t="s">
        <v>672</v>
      </c>
      <c r="F52" t="s">
        <v>552</v>
      </c>
      <c r="H52">
        <v>2504618</v>
      </c>
    </row>
    <row r="53" spans="1:8">
      <c r="A53" t="s">
        <v>364</v>
      </c>
      <c r="B53" t="s">
        <v>370</v>
      </c>
      <c r="C53">
        <v>59500000</v>
      </c>
      <c r="D53" t="s">
        <v>552</v>
      </c>
      <c r="E53" t="s">
        <v>673</v>
      </c>
      <c r="F53" t="s">
        <v>552</v>
      </c>
      <c r="H53">
        <v>8850569</v>
      </c>
    </row>
    <row r="54" spans="1:8">
      <c r="A54" t="s">
        <v>366</v>
      </c>
      <c r="B54" t="s">
        <v>373</v>
      </c>
      <c r="C54">
        <v>11637180</v>
      </c>
      <c r="D54" t="s">
        <v>552</v>
      </c>
      <c r="E54" t="s">
        <v>386</v>
      </c>
      <c r="F54" t="s">
        <v>552</v>
      </c>
      <c r="G54" t="s">
        <v>387</v>
      </c>
      <c r="H54">
        <v>7146100</v>
      </c>
    </row>
    <row r="55" spans="1:8">
      <c r="A55" t="s">
        <v>368</v>
      </c>
      <c r="B55" t="s">
        <v>371</v>
      </c>
      <c r="C55">
        <v>27800000</v>
      </c>
      <c r="D55" t="s">
        <v>552</v>
      </c>
      <c r="E55" t="s">
        <v>383</v>
      </c>
      <c r="F55" t="s">
        <v>552</v>
      </c>
      <c r="G55" t="s">
        <v>384</v>
      </c>
      <c r="H55">
        <v>19206662</v>
      </c>
    </row>
    <row r="56" spans="1:8">
      <c r="A56" t="s">
        <v>368</v>
      </c>
      <c r="B56" t="s">
        <v>371</v>
      </c>
      <c r="C56">
        <v>27800000</v>
      </c>
      <c r="D56" t="s">
        <v>552</v>
      </c>
      <c r="E56" t="s">
        <v>670</v>
      </c>
      <c r="F56" t="s">
        <v>552</v>
      </c>
      <c r="H56">
        <v>4700512</v>
      </c>
    </row>
    <row r="57" spans="1:8">
      <c r="A57" t="s">
        <v>536</v>
      </c>
      <c r="B57" t="s">
        <v>537</v>
      </c>
      <c r="C57">
        <v>57332139</v>
      </c>
      <c r="D57" t="s">
        <v>552</v>
      </c>
      <c r="E57" t="s">
        <v>638</v>
      </c>
      <c r="F57" t="s">
        <v>552</v>
      </c>
      <c r="G57" t="s">
        <v>675</v>
      </c>
      <c r="H57">
        <v>42715823.600000001</v>
      </c>
    </row>
    <row r="58" spans="1:8">
      <c r="A58" t="s">
        <v>536</v>
      </c>
      <c r="B58" t="s">
        <v>537</v>
      </c>
      <c r="C58">
        <v>57332139</v>
      </c>
      <c r="D58" t="s">
        <v>552</v>
      </c>
      <c r="E58" t="s">
        <v>676</v>
      </c>
      <c r="G58" t="s">
        <v>674</v>
      </c>
      <c r="H58">
        <v>2142000</v>
      </c>
    </row>
    <row r="59" spans="1:8">
      <c r="A59" t="s">
        <v>536</v>
      </c>
      <c r="B59" t="s">
        <v>537</v>
      </c>
      <c r="C59">
        <v>57332139</v>
      </c>
      <c r="D59" t="s">
        <v>552</v>
      </c>
      <c r="E59" t="s">
        <v>677</v>
      </c>
      <c r="G59" t="s">
        <v>678</v>
      </c>
      <c r="H59">
        <v>6684584.9199999999</v>
      </c>
    </row>
    <row r="60" spans="1:8">
      <c r="A60" t="s">
        <v>235</v>
      </c>
      <c r="B60" t="s">
        <v>117</v>
      </c>
      <c r="C60">
        <v>19979840</v>
      </c>
      <c r="D60" t="s">
        <v>552</v>
      </c>
      <c r="E60" t="s">
        <v>649</v>
      </c>
      <c r="F60" t="s">
        <v>552</v>
      </c>
      <c r="H60">
        <v>170000</v>
      </c>
    </row>
    <row r="61" spans="1:8">
      <c r="A61" t="s">
        <v>637</v>
      </c>
      <c r="B61" t="s">
        <v>664</v>
      </c>
      <c r="C61">
        <v>25298852</v>
      </c>
      <c r="D61" t="s">
        <v>552</v>
      </c>
      <c r="E61" t="s">
        <v>644</v>
      </c>
      <c r="F61" t="s">
        <v>552</v>
      </c>
      <c r="G61" t="s">
        <v>639</v>
      </c>
      <c r="H61">
        <v>16898852</v>
      </c>
    </row>
    <row r="62" spans="1:8">
      <c r="A62" t="s">
        <v>637</v>
      </c>
      <c r="B62" t="s">
        <v>664</v>
      </c>
      <c r="C62">
        <v>25298852</v>
      </c>
      <c r="D62" t="s">
        <v>552</v>
      </c>
      <c r="E62" t="s">
        <v>645</v>
      </c>
      <c r="F62" t="s">
        <v>552</v>
      </c>
      <c r="G62" t="s">
        <v>640</v>
      </c>
      <c r="H62">
        <v>6200000</v>
      </c>
    </row>
    <row r="63" spans="1:8">
      <c r="A63" t="s">
        <v>637</v>
      </c>
      <c r="B63" t="s">
        <v>664</v>
      </c>
      <c r="C63">
        <v>25298852</v>
      </c>
      <c r="D63" t="s">
        <v>552</v>
      </c>
      <c r="E63" t="s">
        <v>646</v>
      </c>
      <c r="F63" t="s">
        <v>552</v>
      </c>
      <c r="G63" t="s">
        <v>641</v>
      </c>
      <c r="H63">
        <v>1200000</v>
      </c>
    </row>
    <row r="64" spans="1:8">
      <c r="A64" t="s">
        <v>637</v>
      </c>
      <c r="B64" t="s">
        <v>664</v>
      </c>
      <c r="C64">
        <v>25298852</v>
      </c>
      <c r="D64" t="s">
        <v>552</v>
      </c>
      <c r="E64" t="s">
        <v>643</v>
      </c>
      <c r="F64" t="s">
        <v>552</v>
      </c>
      <c r="G64" t="s">
        <v>642</v>
      </c>
      <c r="H64">
        <v>1000000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5:AA291"/>
  <sheetViews>
    <sheetView topLeftCell="F145" zoomScale="85" zoomScaleNormal="85" workbookViewId="0">
      <selection activeCell="V155" sqref="V155"/>
    </sheetView>
  </sheetViews>
  <sheetFormatPr defaultRowHeight="14.4"/>
  <cols>
    <col min="1" max="1" width="40.33203125" customWidth="1"/>
    <col min="2" max="2" width="13.33203125" customWidth="1"/>
    <col min="3" max="3" width="16" customWidth="1"/>
    <col min="4" max="4" width="20.109375" customWidth="1"/>
    <col min="7" max="7" width="38.33203125" customWidth="1"/>
    <col min="8" max="8" width="11" style="236" customWidth="1"/>
    <col min="9" max="9" width="13.6640625" style="238" bestFit="1" customWidth="1"/>
    <col min="10" max="10" width="18.88671875" style="238" bestFit="1" customWidth="1"/>
    <col min="11" max="11" width="16.6640625" bestFit="1" customWidth="1"/>
    <col min="12" max="12" width="13.33203125" style="238" bestFit="1" customWidth="1"/>
    <col min="13" max="13" width="16.6640625" bestFit="1" customWidth="1"/>
    <col min="14" max="15" width="13.6640625" bestFit="1" customWidth="1"/>
    <col min="16" max="16" width="10.6640625" bestFit="1" customWidth="1"/>
    <col min="17" max="17" width="16.44140625" bestFit="1" customWidth="1"/>
    <col min="18" max="18" width="19.109375" customWidth="1"/>
    <col min="19" max="19" width="17.109375" bestFit="1" customWidth="1"/>
    <col min="20" max="20" width="12.6640625" bestFit="1" customWidth="1"/>
    <col min="21" max="21" width="17.44140625" customWidth="1"/>
    <col min="22" max="22" width="13.6640625" bestFit="1" customWidth="1"/>
    <col min="23" max="23" width="26.6640625" customWidth="1"/>
    <col min="24" max="24" width="11.88671875" bestFit="1" customWidth="1"/>
    <col min="25" max="25" width="12.5546875" bestFit="1" customWidth="1"/>
    <col min="26" max="26" width="11.5546875" bestFit="1" customWidth="1"/>
  </cols>
  <sheetData>
    <row r="5" spans="1:19">
      <c r="G5" t="s">
        <v>164</v>
      </c>
      <c r="J5" s="418"/>
      <c r="L5" s="1285" t="s">
        <v>161</v>
      </c>
      <c r="M5" s="1286"/>
      <c r="N5" s="1284" t="s">
        <v>171</v>
      </c>
      <c r="O5" s="1285"/>
      <c r="P5" s="1285" t="s">
        <v>271</v>
      </c>
      <c r="Q5" s="1286"/>
      <c r="R5" s="1284" t="s">
        <v>272</v>
      </c>
      <c r="S5" s="1285"/>
    </row>
    <row r="6" spans="1:19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8" t="s">
        <v>163</v>
      </c>
      <c r="M6" s="239" t="s">
        <v>162</v>
      </c>
      <c r="N6" s="238" t="s">
        <v>169</v>
      </c>
      <c r="O6" s="239" t="s">
        <v>170</v>
      </c>
      <c r="P6" s="238" t="s">
        <v>266</v>
      </c>
      <c r="Q6" s="239" t="s">
        <v>268</v>
      </c>
      <c r="R6" s="238" t="s">
        <v>269</v>
      </c>
      <c r="S6" s="239" t="s">
        <v>270</v>
      </c>
    </row>
    <row r="7" spans="1:19">
      <c r="A7" s="406" t="s">
        <v>143</v>
      </c>
      <c r="B7" s="429" t="s">
        <v>151</v>
      </c>
      <c r="C7" s="422">
        <v>670</v>
      </c>
      <c r="D7" s="407"/>
      <c r="G7" s="164" t="s">
        <v>143</v>
      </c>
      <c r="H7" s="236" t="s">
        <v>151</v>
      </c>
      <c r="I7" s="422"/>
      <c r="J7" s="425">
        <f>Table5[[#This Row],[Total Quantity]]-Table5[[#This Row],[Quantity]]-Table5[[#This Row],[Quantity2]]</f>
        <v>0</v>
      </c>
      <c r="K7" s="238">
        <v>465</v>
      </c>
      <c r="M7" s="230">
        <f>Table5[[#This Row],[Quantity2]]*Table5[[#This Row],[Rate]]</f>
        <v>0</v>
      </c>
      <c r="N7" s="238"/>
      <c r="O7" s="230">
        <f>Table5[[#This Row],[Quantity2]]*Table5[[#This Row],[Rate]]</f>
        <v>0</v>
      </c>
      <c r="P7" s="238"/>
      <c r="Q7" s="230">
        <f>Table5[[#This Row],[Quantity2]]*Table5[[#This Row],[Rate]]</f>
        <v>0</v>
      </c>
      <c r="R7" s="238"/>
      <c r="S7" s="230">
        <f>Table5[[#This Row],[Quantity2]]*Table5[[#This Row],[Rate]]</f>
        <v>0</v>
      </c>
    </row>
    <row r="8" spans="1:19">
      <c r="A8" s="408" t="s">
        <v>144</v>
      </c>
      <c r="B8" s="430" t="s">
        <v>152</v>
      </c>
      <c r="C8" s="423">
        <v>1050</v>
      </c>
      <c r="D8" s="409"/>
      <c r="G8" s="164" t="s">
        <v>144</v>
      </c>
      <c r="H8" s="236" t="s">
        <v>152</v>
      </c>
      <c r="I8" s="423"/>
      <c r="J8" s="426">
        <f>Table5[[#This Row],[Total Quantity]]-Table5[[#This Row],[Quantity]]-Table5[[#This Row],[Quantity2]]</f>
        <v>0</v>
      </c>
      <c r="K8" s="238">
        <v>390</v>
      </c>
      <c r="M8" s="230">
        <f>Table5[[#This Row],[Quantity2]]*Table5[[#This Row],[Rate]]</f>
        <v>0</v>
      </c>
      <c r="N8" s="238"/>
      <c r="O8" s="230">
        <f>Table5[[#This Row],[Quantity2]]*Table5[[#This Row],[Rate]]</f>
        <v>0</v>
      </c>
      <c r="P8" s="238"/>
      <c r="Q8" s="230">
        <f>Table5[[#This Row],[Quantity2]]*Table5[[#This Row],[Rate]]</f>
        <v>0</v>
      </c>
      <c r="R8" s="238"/>
      <c r="S8" s="230">
        <f>Table5[[#This Row],[Quantity2]]*Table5[[#This Row],[Rate]]</f>
        <v>0</v>
      </c>
    </row>
    <row r="9" spans="1:19">
      <c r="A9" s="406" t="s">
        <v>142</v>
      </c>
      <c r="B9" s="429" t="s">
        <v>153</v>
      </c>
      <c r="C9" s="422">
        <v>1810</v>
      </c>
      <c r="D9" s="410"/>
      <c r="G9" s="164" t="s">
        <v>142</v>
      </c>
      <c r="H9" s="236" t="s">
        <v>153</v>
      </c>
      <c r="I9" s="424"/>
      <c r="J9" s="427">
        <f>Table5[[#This Row],[Total Quantity]]-Table5[[#This Row],[Quantity]]-Table5[[#This Row],[Quantity2]]</f>
        <v>0</v>
      </c>
      <c r="K9" s="238">
        <v>200</v>
      </c>
      <c r="M9" s="232">
        <f>Table5[[#This Row],[Quantity2]]*Table5[[#This Row],[Rate]]</f>
        <v>0</v>
      </c>
      <c r="N9" s="238"/>
      <c r="O9" s="232">
        <f>Table5[[#This Row],[Quantity2]]*Table5[[#This Row],[Rate]]</f>
        <v>0</v>
      </c>
      <c r="P9" s="238"/>
      <c r="Q9" s="232">
        <f>Table5[[#This Row],[Quantity2]]*Table5[[#This Row],[Rate]]</f>
        <v>0</v>
      </c>
      <c r="R9" s="238"/>
      <c r="S9" s="232">
        <f>Table5[[#This Row],[Quantity2]]*Table5[[#This Row],[Rate]]</f>
        <v>0</v>
      </c>
    </row>
    <row r="10" spans="1:19">
      <c r="A10" s="408" t="s">
        <v>145</v>
      </c>
      <c r="B10" s="430" t="s">
        <v>154</v>
      </c>
      <c r="C10" s="423">
        <v>2380</v>
      </c>
      <c r="D10" s="411"/>
      <c r="G10" s="164" t="s">
        <v>145</v>
      </c>
      <c r="H10" s="236" t="s">
        <v>154</v>
      </c>
      <c r="I10" s="424"/>
      <c r="J10" s="427">
        <f>Table5[[#This Row],[Total Quantity]]-Table5[[#This Row],[Quantity]]-Table5[[#This Row],[Quantity2]]</f>
        <v>0</v>
      </c>
      <c r="K10" s="238">
        <v>90</v>
      </c>
      <c r="L10" s="239"/>
      <c r="M10" s="231">
        <f>Table5[[#This Row],[Quantity2]]*Table5[[#This Row],[Rate]]</f>
        <v>0</v>
      </c>
      <c r="N10" s="240"/>
      <c r="O10" s="231">
        <f>Table5[[#This Row],[Quantity2]]*Table5[[#This Row],[Rate]]</f>
        <v>0</v>
      </c>
      <c r="P10" s="239"/>
      <c r="Q10" s="231">
        <f>Table5[[#This Row],[Quantity2]]*Table5[[#This Row],[Rate]]</f>
        <v>0</v>
      </c>
      <c r="R10" s="240"/>
      <c r="S10" s="231">
        <f>Table5[[#This Row],[Quantity2]]*Table5[[#This Row],[Rate]]</f>
        <v>0</v>
      </c>
    </row>
    <row r="11" spans="1:19">
      <c r="A11" s="406" t="s">
        <v>146</v>
      </c>
      <c r="B11" s="429" t="s">
        <v>155</v>
      </c>
      <c r="C11" s="422">
        <v>9040</v>
      </c>
      <c r="D11" s="412">
        <f>C11-Table5[[#This Row],[Total Quantity]]-I26-I41-I58-I76-I95-I118-I140-I159-I177</f>
        <v>-1690.27</v>
      </c>
      <c r="G11" s="164" t="s">
        <v>146</v>
      </c>
      <c r="H11" s="236" t="s">
        <v>155</v>
      </c>
      <c r="I11" s="424">
        <v>1800</v>
      </c>
      <c r="J11" s="427">
        <f>Table5[[#This Row],[Total Quantity]]-Table5[[#This Row],[Quantity]]-Table5[[#This Row],[Quantity2]]</f>
        <v>561.51821819999998</v>
      </c>
      <c r="K11" s="238">
        <v>275</v>
      </c>
      <c r="L11" s="239">
        <v>253.5</v>
      </c>
      <c r="M11" s="231">
        <f>Table5[[#This Row],[Rate]]*Table5[[#This Row],[Quantity]]</f>
        <v>69712.5</v>
      </c>
      <c r="N11" s="240">
        <v>984.98178180000002</v>
      </c>
      <c r="O11" s="231">
        <f>Table5[[#This Row],[Quantity2]]*Table5[[#This Row],[Rate]]</f>
        <v>270869.98999500001</v>
      </c>
      <c r="P11" s="239">
        <v>471.51821818181816</v>
      </c>
      <c r="Q11" s="231">
        <f>Table5[[#This Row],[Rate]]*Table5[[#This Row],[Quantity3]]</f>
        <v>129667.51</v>
      </c>
      <c r="R11" s="240">
        <v>90</v>
      </c>
      <c r="S11" s="231">
        <f>Table5[[#This Row],[Quantity25]]*Table5[[#This Row],[Rate]]</f>
        <v>24750</v>
      </c>
    </row>
    <row r="12" spans="1:19">
      <c r="A12" s="408" t="s">
        <v>144</v>
      </c>
      <c r="B12" s="430" t="s">
        <v>156</v>
      </c>
      <c r="C12" s="423">
        <v>19600</v>
      </c>
      <c r="D12" s="411">
        <f>C12-Table5[[#This Row],[Total Quantity]]-I27-I42-I59-I77-I96-I119-I141-I160-I178-I272</f>
        <v>10753.11</v>
      </c>
      <c r="G12" s="164" t="s">
        <v>144</v>
      </c>
      <c r="H12" s="236" t="s">
        <v>156</v>
      </c>
      <c r="I12" s="424">
        <v>3200</v>
      </c>
      <c r="J12" s="427">
        <f>Table5[[#This Row],[Total Quantity]]-Table5[[#This Row],[Quantity]]-Table5[[#This Row],[Quantity2]]</f>
        <v>952.44999999999982</v>
      </c>
      <c r="K12" s="238">
        <v>180</v>
      </c>
      <c r="L12" s="239">
        <v>775.55</v>
      </c>
      <c r="M12" s="231">
        <f>Table5[[#This Row],[Rate]]*Table5[[#This Row],[Quantity]]</f>
        <v>139599</v>
      </c>
      <c r="N12" s="240">
        <v>1472</v>
      </c>
      <c r="O12" s="231">
        <f>Table5[[#This Row],[Quantity2]]*Table5[[#This Row],[Rate]]</f>
        <v>264960</v>
      </c>
      <c r="P12" s="239">
        <v>792.45</v>
      </c>
      <c r="Q12" s="231">
        <f>Table5[[#This Row],[Rate]]*Table5[[#This Row],[Quantity3]]</f>
        <v>142641</v>
      </c>
      <c r="R12" s="240">
        <v>160</v>
      </c>
      <c r="S12" s="231">
        <f>Table5[[#This Row],[Quantity25]]*Table5[[#This Row],[Rate]]</f>
        <v>28800</v>
      </c>
    </row>
    <row r="13" spans="1:19">
      <c r="A13" s="406" t="s">
        <v>142</v>
      </c>
      <c r="B13" s="429" t="s">
        <v>157</v>
      </c>
      <c r="C13" s="422">
        <v>33970</v>
      </c>
      <c r="D13" s="411">
        <f>C13-Table5[[#This Row],[Total Quantity]]-I28-I43-I60-I78-I97-I120-I142-I161-I273</f>
        <v>-3702.0299999999997</v>
      </c>
      <c r="G13" s="164" t="s">
        <v>142</v>
      </c>
      <c r="H13" s="236" t="s">
        <v>157</v>
      </c>
      <c r="I13" s="424">
        <v>15200</v>
      </c>
      <c r="J13" s="427">
        <f>Table5[[#This Row],[Total Quantity]]-Table5[[#This Row],[Quantity]]-Table5[[#This Row],[Quantity2]]</f>
        <v>4511</v>
      </c>
      <c r="K13" s="238">
        <v>145</v>
      </c>
      <c r="L13" s="239">
        <v>3849</v>
      </c>
      <c r="M13" s="231">
        <f>Table5[[#This Row],[Rate]]*Table5[[#This Row],[Quantity]]</f>
        <v>558105</v>
      </c>
      <c r="N13" s="240">
        <v>6840</v>
      </c>
      <c r="O13" s="234">
        <f>Table5[[#This Row],[Quantity2]]*Table5[[#This Row],[Rate]]</f>
        <v>991800</v>
      </c>
      <c r="P13" s="239">
        <v>3751</v>
      </c>
      <c r="Q13" s="231">
        <f>Table5[[#This Row],[Rate]]*Table5[[#This Row],[Quantity3]]</f>
        <v>543895</v>
      </c>
      <c r="R13" s="240">
        <v>760</v>
      </c>
      <c r="S13" s="231">
        <f>Table5[[#This Row],[Quantity25]]*Table5[[#This Row],[Rate]]</f>
        <v>110200</v>
      </c>
    </row>
    <row r="14" spans="1:19">
      <c r="A14" s="408" t="s">
        <v>145</v>
      </c>
      <c r="B14" s="431" t="s">
        <v>158</v>
      </c>
      <c r="C14" s="423">
        <v>36820</v>
      </c>
      <c r="D14" s="411">
        <f>C14-Table5[[#This Row],[Total Quantity]]-I29-I44-I61-I79-I98-I121-I143-I162</f>
        <v>-10720.059999999998</v>
      </c>
      <c r="G14" s="164" t="s">
        <v>145</v>
      </c>
      <c r="H14" s="237" t="s">
        <v>158</v>
      </c>
      <c r="I14" s="424">
        <v>13235</v>
      </c>
      <c r="J14" s="427">
        <f>Table5[[#This Row],[Total Quantity]]-Table5[[#This Row],[Quantity]]-Table5[[#This Row],[Quantity2]]</f>
        <v>1342.8000000000002</v>
      </c>
      <c r="K14" s="238">
        <v>82</v>
      </c>
      <c r="L14" s="239">
        <v>7657</v>
      </c>
      <c r="M14" s="231">
        <f>Table5[[#This Row],[Rate]]*Table5[[#This Row],[Quantity]]</f>
        <v>627874</v>
      </c>
      <c r="N14" s="240">
        <v>4235.2</v>
      </c>
      <c r="O14" s="234">
        <f>Table5[[#This Row],[Quantity2]]*Table5[[#This Row],[Rate]]</f>
        <v>347286.39999999997</v>
      </c>
      <c r="P14" s="239">
        <v>681.05</v>
      </c>
      <c r="Q14" s="231">
        <f>Table5[[#This Row],[Rate]]*Table5[[#This Row],[Quantity3]]</f>
        <v>55846.1</v>
      </c>
      <c r="R14" s="240">
        <v>661.75</v>
      </c>
      <c r="S14" s="231">
        <f>Table5[[#This Row],[Quantity25]]*Table5[[#This Row],[Rate]]</f>
        <v>54263.5</v>
      </c>
    </row>
    <row r="15" spans="1:19">
      <c r="A15" s="413" t="s">
        <v>149</v>
      </c>
      <c r="B15" s="432" t="s">
        <v>159</v>
      </c>
      <c r="C15" s="422">
        <v>7140</v>
      </c>
      <c r="D15" s="411">
        <f>C15-Table5[[#This Row],[Total Quantity]]-I30-I45-I275</f>
        <v>7140</v>
      </c>
      <c r="G15" t="s">
        <v>149</v>
      </c>
      <c r="H15" s="237" t="s">
        <v>159</v>
      </c>
      <c r="I15" s="424"/>
      <c r="J15" s="427">
        <f>Table5[[#This Row],[Total Quantity]]-Table5[[#This Row],[Quantity]]-Table5[[#This Row],[Quantity2]]</f>
        <v>0</v>
      </c>
      <c r="K15" s="238">
        <v>275</v>
      </c>
      <c r="M15" s="234">
        <f>Table5[[#This Row],[Quantity2]]*Table5[[#This Row],[Rate]]</f>
        <v>0</v>
      </c>
      <c r="N15" s="238"/>
      <c r="O15" s="234">
        <f>Table5[[#This Row],[Quantity2]]*Table5[[#This Row],[Rate]]</f>
        <v>0</v>
      </c>
      <c r="P15" s="238"/>
      <c r="Q15" s="234">
        <f>Table5[[#This Row],[Quantity2]]*Table5[[#This Row],[Rate]]</f>
        <v>0</v>
      </c>
      <c r="R15" s="238"/>
      <c r="S15" s="234">
        <f>Table5[[#This Row],[Quantity2]]*Table5[[#This Row],[Rate]]</f>
        <v>0</v>
      </c>
    </row>
    <row r="16" spans="1:19">
      <c r="A16" s="414" t="s">
        <v>150</v>
      </c>
      <c r="B16" s="431" t="s">
        <v>160</v>
      </c>
      <c r="C16" s="423">
        <v>7140</v>
      </c>
      <c r="D16" s="411">
        <f>C16-Table5[[#This Row],[Total Quantity]]-I31-I46-I276</f>
        <v>7140</v>
      </c>
      <c r="G16" t="s">
        <v>150</v>
      </c>
      <c r="H16" s="237" t="s">
        <v>160</v>
      </c>
      <c r="I16" s="424"/>
      <c r="J16" s="427">
        <f>Table5[[#This Row],[Total Quantity]]-Table5[[#This Row],[Quantity]]-Table5[[#This Row],[Quantity2]]</f>
        <v>0</v>
      </c>
      <c r="K16" s="238">
        <v>180</v>
      </c>
      <c r="M16" s="234">
        <f>Table5[[#This Row],[Quantity2]]*Table5[[#This Row],[Rate]]</f>
        <v>0</v>
      </c>
      <c r="N16" s="238"/>
      <c r="O16" s="234">
        <f>Table5[[#This Row],[Quantity2]]*Table5[[#This Row],[Rate]]</f>
        <v>0</v>
      </c>
      <c r="P16" s="238"/>
      <c r="Q16" s="234">
        <f>Table5[[#This Row],[Quantity2]]*Table5[[#This Row],[Rate]]</f>
        <v>0</v>
      </c>
      <c r="R16" s="238"/>
      <c r="S16" s="234">
        <f>Table5[[#This Row],[Quantity2]]*Table5[[#This Row],[Rate]]</f>
        <v>0</v>
      </c>
    </row>
    <row r="17" spans="3:23">
      <c r="G17" s="241"/>
      <c r="H17" s="242"/>
      <c r="I17" s="424"/>
      <c r="J17" s="427"/>
      <c r="K17" s="243" t="s">
        <v>25</v>
      </c>
      <c r="L17" s="244">
        <f t="shared" ref="L17:S17" si="0">SUM(L7:L16)</f>
        <v>12535.05</v>
      </c>
      <c r="M17" s="244">
        <f t="shared" si="0"/>
        <v>1395290.5</v>
      </c>
      <c r="N17" s="244">
        <f t="shared" si="0"/>
        <v>13532.181781800002</v>
      </c>
      <c r="O17" s="244">
        <f t="shared" si="0"/>
        <v>1874916.3899949999</v>
      </c>
      <c r="P17" s="244">
        <f t="shared" si="0"/>
        <v>5696.0182181818182</v>
      </c>
      <c r="Q17" s="244">
        <f t="shared" si="0"/>
        <v>872049.61</v>
      </c>
      <c r="R17" s="244">
        <f t="shared" si="0"/>
        <v>1671.75</v>
      </c>
      <c r="S17" s="244">
        <f t="shared" si="0"/>
        <v>218013.5</v>
      </c>
    </row>
    <row r="18" spans="3:23">
      <c r="H18" s="237"/>
      <c r="K18" s="234"/>
      <c r="M18" s="234"/>
    </row>
    <row r="19" spans="3:23">
      <c r="J19" s="416"/>
      <c r="K19" s="417"/>
      <c r="M19" s="233"/>
      <c r="U19" t="s">
        <v>341</v>
      </c>
    </row>
    <row r="20" spans="3:23">
      <c r="G20" t="s">
        <v>172</v>
      </c>
      <c r="J20" s="418"/>
      <c r="L20" s="1285" t="s">
        <v>161</v>
      </c>
      <c r="M20" s="1286"/>
      <c r="N20" s="1284" t="s">
        <v>171</v>
      </c>
      <c r="O20" s="1285"/>
      <c r="P20" s="1284" t="s">
        <v>225</v>
      </c>
      <c r="Q20" s="1285"/>
      <c r="R20" s="1284"/>
      <c r="S20" s="1285"/>
      <c r="T20" s="1287" t="s">
        <v>291</v>
      </c>
      <c r="U20" s="1287"/>
      <c r="V20" s="1287" t="s">
        <v>338</v>
      </c>
      <c r="W20" s="1287"/>
    </row>
    <row r="21" spans="3:23">
      <c r="G21" t="s">
        <v>141</v>
      </c>
      <c r="H21" s="236" t="s">
        <v>147</v>
      </c>
      <c r="I21" s="236" t="s">
        <v>217</v>
      </c>
      <c r="J21" s="236" t="s">
        <v>219</v>
      </c>
      <c r="K21" s="238" t="s">
        <v>148</v>
      </c>
      <c r="L21" s="238" t="s">
        <v>163</v>
      </c>
      <c r="M21" s="239" t="s">
        <v>162</v>
      </c>
      <c r="N21" s="238" t="s">
        <v>169</v>
      </c>
      <c r="O21" s="239" t="s">
        <v>170</v>
      </c>
      <c r="P21" s="238" t="s">
        <v>208</v>
      </c>
      <c r="Q21" s="239" t="s">
        <v>209</v>
      </c>
      <c r="R21" s="238" t="s">
        <v>2</v>
      </c>
      <c r="S21" s="239" t="s">
        <v>257</v>
      </c>
      <c r="T21" s="717" t="s">
        <v>295</v>
      </c>
      <c r="U21" s="718" t="s">
        <v>296</v>
      </c>
      <c r="V21" s="717" t="s">
        <v>339</v>
      </c>
      <c r="W21" s="718" t="s">
        <v>340</v>
      </c>
    </row>
    <row r="22" spans="3:23">
      <c r="D22">
        <f>K12/5421</f>
        <v>3.3204205866076371E-2</v>
      </c>
      <c r="G22" s="164" t="s">
        <v>143</v>
      </c>
      <c r="H22" s="236" t="s">
        <v>151</v>
      </c>
      <c r="I22" s="236"/>
      <c r="J22" s="428">
        <f>Table57[[#This Row],[Total Quantity]]-Table57[[#This Row],[Quantity2222]]</f>
        <v>0</v>
      </c>
      <c r="K22" s="238">
        <v>465</v>
      </c>
      <c r="M22" s="230">
        <f>Table57[[#This Row],[Quantity2222]]*Table57[[#This Row],[Rate]]</f>
        <v>0</v>
      </c>
      <c r="N22" s="238"/>
      <c r="O22" s="230">
        <f>Table57[[#This Row],[Quantity2222]]*Table57[[#This Row],[Rate]]</f>
        <v>0</v>
      </c>
      <c r="P22" s="238"/>
      <c r="Q22" s="230">
        <f>Table57[[#This Row],[Quantity2222]]*Table57[[#This Row],[Rate]]</f>
        <v>0</v>
      </c>
      <c r="R22" s="238"/>
      <c r="S22" s="230"/>
      <c r="T22" s="717"/>
      <c r="U22" s="719">
        <f>Table57[[#This Row],[Quantity2222]]*Table57[[#This Row],[Rate]]</f>
        <v>0</v>
      </c>
      <c r="V22" s="720"/>
      <c r="W22" s="721">
        <f>Table57[[#This Row],[Quantity2222]]*Table57[[#This Row],[Rate]]</f>
        <v>0</v>
      </c>
    </row>
    <row r="23" spans="3:23">
      <c r="G23" s="164" t="s">
        <v>144</v>
      </c>
      <c r="H23" s="236" t="s">
        <v>152</v>
      </c>
      <c r="I23" s="236"/>
      <c r="J23" s="428">
        <f>Table57[[#This Row],[Total Quantity]]-Table57[[#This Row],[Quantity2222]]</f>
        <v>0</v>
      </c>
      <c r="K23" s="238">
        <v>390</v>
      </c>
      <c r="M23" s="230">
        <f>Table57[[#This Row],[Quantity2222]]*Table57[[#This Row],[Rate]]</f>
        <v>0</v>
      </c>
      <c r="N23" s="238"/>
      <c r="O23" s="230">
        <f>Table57[[#This Row],[Quantity2222]]*Table57[[#This Row],[Rate]]</f>
        <v>0</v>
      </c>
      <c r="P23" s="238"/>
      <c r="Q23" s="230">
        <f>Table57[[#This Row],[Quantity2222]]*Table57[[#This Row],[Rate]]</f>
        <v>0</v>
      </c>
      <c r="R23" s="238"/>
      <c r="S23" s="230"/>
      <c r="T23" s="717"/>
      <c r="U23" s="719">
        <f>Table57[[#This Row],[Quantity2222]]*Table57[[#This Row],[Rate]]</f>
        <v>0</v>
      </c>
      <c r="V23" s="720"/>
      <c r="W23" s="721">
        <f>Table57[[#This Row],[Quantity2222]]*Table57[[#This Row],[Rate]]</f>
        <v>0</v>
      </c>
    </row>
    <row r="24" spans="3:23">
      <c r="C24" s="558">
        <v>1488300</v>
      </c>
      <c r="D24" s="231">
        <f>C24/K12</f>
        <v>8268.3333333333339</v>
      </c>
      <c r="G24" s="164" t="s">
        <v>142</v>
      </c>
      <c r="H24" s="236" t="s">
        <v>153</v>
      </c>
      <c r="I24" s="236"/>
      <c r="J24" s="428">
        <f>Table57[[#This Row],[Total Quantity]]-Table57[[#This Row],[Quantity2222]]</f>
        <v>0</v>
      </c>
      <c r="K24" s="238">
        <v>200</v>
      </c>
      <c r="M24" s="232">
        <f>Table57[[#This Row],[Quantity2222]]*Table57[[#This Row],[Rate]]</f>
        <v>0</v>
      </c>
      <c r="N24" s="238"/>
      <c r="O24" s="232">
        <f>Table57[[#This Row],[Quantity2222]]*Table57[[#This Row],[Rate]]</f>
        <v>0</v>
      </c>
      <c r="P24" s="238"/>
      <c r="Q24" s="232">
        <f>Table57[[#This Row],[Quantity2222]]*Table57[[#This Row],[Rate]]</f>
        <v>0</v>
      </c>
      <c r="R24" s="238"/>
      <c r="S24" s="232"/>
      <c r="T24" s="717"/>
      <c r="U24" s="722">
        <f>Table57[[#This Row],[Quantity2222]]*Table57[[#This Row],[Rate]]</f>
        <v>0</v>
      </c>
      <c r="V24" s="720"/>
      <c r="W24" s="721">
        <f>Table57[[#This Row],[Quantity2222]]*Table57[[#This Row],[Rate]]</f>
        <v>0</v>
      </c>
    </row>
    <row r="25" spans="3:23">
      <c r="G25" s="164" t="s">
        <v>145</v>
      </c>
      <c r="H25" s="236" t="s">
        <v>154</v>
      </c>
      <c r="I25" s="236"/>
      <c r="J25" s="428">
        <f>Table57[[#This Row],[Total Quantity]]-Table57[[#This Row],[Quantity2222]]</f>
        <v>0</v>
      </c>
      <c r="K25" s="238">
        <v>90</v>
      </c>
      <c r="M25" s="231">
        <f>Table57[[#This Row],[Quantity2222]]*Table57[[#This Row],[Rate]]</f>
        <v>0</v>
      </c>
      <c r="N25" s="240"/>
      <c r="O25" s="231">
        <f>Table57[[#This Row],[Quantity2222]]*Table57[[#This Row],[Rate]]</f>
        <v>0</v>
      </c>
      <c r="P25" s="240"/>
      <c r="Q25" s="231">
        <f>Table57[[#This Row],[Quantity2222]]*Table57[[#This Row],[Rate]]</f>
        <v>0</v>
      </c>
      <c r="R25" s="240"/>
      <c r="S25" s="231"/>
      <c r="T25" s="723"/>
      <c r="U25" s="724">
        <f>Table57[[#This Row],[Quantity2222]]*Table57[[#This Row],[Rate]]</f>
        <v>0</v>
      </c>
      <c r="V25" s="725"/>
      <c r="W25" s="721">
        <f>Table57[[#This Row],[Quantity2222]]*Table57[[#This Row],[Rate]]</f>
        <v>0</v>
      </c>
    </row>
    <row r="26" spans="3:23">
      <c r="G26" s="164" t="s">
        <v>146</v>
      </c>
      <c r="H26" s="236" t="s">
        <v>155</v>
      </c>
      <c r="I26" s="424">
        <v>5412</v>
      </c>
      <c r="J26" s="427">
        <f>Table57[[#This Row],[Total Quantity]]-Table57[[#This Row],[Quantity2222]]-Table57[[#This Row],[Quantity2]]-Table57[[#This Row],[Quantity22]]-Table57[[#This Row],[Column1]]-Table57[[#This Row],[Quantity22222]]</f>
        <v>0</v>
      </c>
      <c r="K26" s="238">
        <v>275</v>
      </c>
      <c r="M26" s="231"/>
      <c r="N26" s="240">
        <v>1353</v>
      </c>
      <c r="O26" s="231">
        <f>Table57[[#This Row],[Quantity2]]*Table57[[#This Row],[Rate]]</f>
        <v>372075</v>
      </c>
      <c r="P26" s="240">
        <v>1353</v>
      </c>
      <c r="Q26" s="231">
        <f>Table57[[#This Row],[Quantity2222]]*Table57[[#This Row],[Rate]]</f>
        <v>372075</v>
      </c>
      <c r="R26" s="240"/>
      <c r="S26" s="231"/>
      <c r="T26" s="723">
        <v>1353</v>
      </c>
      <c r="U26" s="724">
        <f>Table57[[#This Row],[Quantity2222]]*Table57[[#This Row],[Rate]]</f>
        <v>372075</v>
      </c>
      <c r="V26" s="726">
        <v>1353</v>
      </c>
      <c r="W26" s="727">
        <f>Table57[[#This Row],[Quantity22222]]*Table57[[#This Row],[Rate]]</f>
        <v>372075</v>
      </c>
    </row>
    <row r="27" spans="3:23">
      <c r="G27" s="164" t="s">
        <v>144</v>
      </c>
      <c r="H27" s="236" t="s">
        <v>156</v>
      </c>
      <c r="I27" s="236"/>
      <c r="J27" s="428">
        <f>Table57[[#This Row],[Total Quantity]]-Table57[[#This Row],[Quantity2222]]</f>
        <v>0</v>
      </c>
      <c r="K27" s="238">
        <v>180</v>
      </c>
      <c r="M27" s="231"/>
      <c r="N27" s="240"/>
      <c r="O27" s="231"/>
      <c r="P27" s="240"/>
      <c r="Q27" s="231"/>
      <c r="R27" s="240"/>
      <c r="S27" s="231"/>
      <c r="T27" s="723"/>
      <c r="U27" s="724"/>
      <c r="V27" s="725"/>
      <c r="W27" s="721"/>
    </row>
    <row r="28" spans="3:23">
      <c r="G28" s="164" t="s">
        <v>142</v>
      </c>
      <c r="H28" s="236" t="s">
        <v>157</v>
      </c>
      <c r="I28" s="236"/>
      <c r="J28" s="428">
        <f>Table57[[#This Row],[Total Quantity]]-Table57[[#This Row],[Quantity2222]]</f>
        <v>0</v>
      </c>
      <c r="K28" s="238">
        <v>145</v>
      </c>
      <c r="L28" s="240"/>
      <c r="M28" s="231"/>
      <c r="N28" s="240"/>
      <c r="O28" s="231"/>
      <c r="P28" s="240"/>
      <c r="Q28" s="231"/>
      <c r="R28" s="240"/>
      <c r="S28" s="231"/>
      <c r="T28" s="723"/>
      <c r="U28" s="724"/>
      <c r="V28" s="725"/>
      <c r="W28" s="721"/>
    </row>
    <row r="29" spans="3:23">
      <c r="G29" s="164" t="s">
        <v>145</v>
      </c>
      <c r="H29" s="237" t="s">
        <v>158</v>
      </c>
      <c r="I29" s="237"/>
      <c r="J29" s="237"/>
      <c r="K29" s="238">
        <v>82</v>
      </c>
      <c r="L29" s="239"/>
      <c r="M29" s="231"/>
      <c r="N29" s="240"/>
      <c r="O29" s="231"/>
      <c r="P29" s="240"/>
      <c r="Q29" s="231"/>
      <c r="R29" s="240"/>
      <c r="S29" s="231"/>
      <c r="T29" s="723"/>
      <c r="U29" s="724"/>
      <c r="V29" s="725"/>
      <c r="W29" s="721"/>
    </row>
    <row r="30" spans="3:23">
      <c r="G30" t="s">
        <v>149</v>
      </c>
      <c r="H30" s="237" t="s">
        <v>159</v>
      </c>
      <c r="I30" s="237"/>
      <c r="J30" s="237"/>
      <c r="K30" s="238">
        <v>275</v>
      </c>
      <c r="M30" s="234">
        <f>Table57[[#This Row],[Quantity2222]]*Table57[[#This Row],[Rate]]</f>
        <v>0</v>
      </c>
      <c r="N30" s="238"/>
      <c r="O30" s="234">
        <f>Table57[[#This Row],[Quantity2222]]*Table57[[#This Row],[Rate]]</f>
        <v>0</v>
      </c>
      <c r="P30" s="238"/>
      <c r="Q30" s="234">
        <f>Table57[[#This Row],[Quantity2222]]*Table57[[#This Row],[Rate]]</f>
        <v>0</v>
      </c>
      <c r="R30" s="238"/>
      <c r="S30" s="234"/>
      <c r="T30" s="717"/>
      <c r="U30" s="728">
        <f>Table57[[#This Row],[Quantity2222]]*Table57[[#This Row],[Rate]]</f>
        <v>0</v>
      </c>
      <c r="V30" s="720"/>
      <c r="W30" s="721">
        <f>Table57[[#This Row],[Quantity2222]]*Table57[[#This Row],[Rate]]</f>
        <v>0</v>
      </c>
    </row>
    <row r="31" spans="3:23">
      <c r="G31" t="s">
        <v>150</v>
      </c>
      <c r="H31" s="237" t="s">
        <v>160</v>
      </c>
      <c r="I31" s="237"/>
      <c r="J31" s="237"/>
      <c r="K31" s="238">
        <v>180</v>
      </c>
      <c r="M31" s="234">
        <f>Table57[[#This Row],[Quantity2222]]*Table57[[#This Row],[Rate]]</f>
        <v>0</v>
      </c>
      <c r="N31" s="238"/>
      <c r="O31" s="234">
        <f>Table57[[#This Row],[Quantity2222]]*Table57[[#This Row],[Rate]]</f>
        <v>0</v>
      </c>
      <c r="P31" s="238"/>
      <c r="Q31" s="234">
        <f>Table57[[#This Row],[Quantity2222]]*Table57[[#This Row],[Rate]]</f>
        <v>0</v>
      </c>
      <c r="R31" s="238"/>
      <c r="S31" s="234"/>
      <c r="T31" s="717"/>
      <c r="U31" s="728">
        <f>Table57[[#This Row],[Quantity2222]]*Table57[[#This Row],[Rate]]</f>
        <v>0</v>
      </c>
      <c r="V31" s="720"/>
      <c r="W31" s="721">
        <f>Table57[[#This Row],[Quantity2222]]*Table57[[#This Row],[Rate]]</f>
        <v>0</v>
      </c>
    </row>
    <row r="32" spans="3:23">
      <c r="G32" s="241"/>
      <c r="H32" s="242"/>
      <c r="I32" s="242"/>
      <c r="J32" s="242"/>
      <c r="K32" s="243" t="s">
        <v>25</v>
      </c>
      <c r="L32" s="244">
        <f t="shared" ref="L32:U32" si="1">SUM(L22:L31)</f>
        <v>0</v>
      </c>
      <c r="M32" s="244">
        <f t="shared" si="1"/>
        <v>0</v>
      </c>
      <c r="N32" s="244">
        <f t="shared" si="1"/>
        <v>1353</v>
      </c>
      <c r="O32" s="244">
        <f t="shared" si="1"/>
        <v>372075</v>
      </c>
      <c r="P32" s="244">
        <f t="shared" si="1"/>
        <v>1353</v>
      </c>
      <c r="Q32" s="244">
        <f t="shared" si="1"/>
        <v>372075</v>
      </c>
      <c r="R32" s="244"/>
      <c r="S32" s="244"/>
      <c r="T32" s="729">
        <f t="shared" si="1"/>
        <v>1353</v>
      </c>
      <c r="U32" s="729">
        <f t="shared" si="1"/>
        <v>372075</v>
      </c>
      <c r="V32" s="729">
        <f t="shared" ref="V32:W32" si="2">SUM(V22:V31)</f>
        <v>1353</v>
      </c>
      <c r="W32" s="729">
        <f t="shared" si="2"/>
        <v>372075</v>
      </c>
    </row>
    <row r="34" spans="7:19">
      <c r="R34" s="231"/>
    </row>
    <row r="35" spans="7:19">
      <c r="G35" t="s">
        <v>173</v>
      </c>
      <c r="J35" s="418"/>
      <c r="L35" s="419" t="s">
        <v>161</v>
      </c>
      <c r="M35" s="420"/>
      <c r="N35" s="1284" t="s">
        <v>171</v>
      </c>
      <c r="O35" s="1285"/>
      <c r="P35" s="1284" t="s">
        <v>222</v>
      </c>
      <c r="Q35" s="1285"/>
    </row>
    <row r="36" spans="7:19">
      <c r="G36" t="s">
        <v>141</v>
      </c>
      <c r="H36" s="236" t="s">
        <v>147</v>
      </c>
      <c r="I36" s="236" t="s">
        <v>217</v>
      </c>
      <c r="J36" s="236" t="s">
        <v>219</v>
      </c>
      <c r="K36" s="238" t="s">
        <v>148</v>
      </c>
      <c r="L36" s="238" t="s">
        <v>163</v>
      </c>
      <c r="M36" s="239" t="s">
        <v>162</v>
      </c>
      <c r="N36" s="238" t="s">
        <v>169</v>
      </c>
      <c r="O36" s="239" t="s">
        <v>170</v>
      </c>
      <c r="P36" s="238" t="s">
        <v>208</v>
      </c>
      <c r="Q36" s="239" t="s">
        <v>209</v>
      </c>
    </row>
    <row r="37" spans="7:19">
      <c r="G37" s="164" t="s">
        <v>143</v>
      </c>
      <c r="H37" s="236" t="s">
        <v>151</v>
      </c>
      <c r="I37" s="236"/>
      <c r="J37" s="236"/>
      <c r="K37" s="238">
        <v>465</v>
      </c>
      <c r="M37" s="230">
        <f>Table578[[#This Row],[Quantity2]]*Table578[[#This Row],[Rate]]</f>
        <v>0</v>
      </c>
      <c r="N37" s="238"/>
      <c r="O37" s="230">
        <f>Table578[[#This Row],[Quantity2]]*Table578[[#This Row],[Rate]]</f>
        <v>0</v>
      </c>
    </row>
    <row r="38" spans="7:19">
      <c r="G38" s="164" t="s">
        <v>144</v>
      </c>
      <c r="H38" s="236" t="s">
        <v>152</v>
      </c>
      <c r="I38" s="236"/>
      <c r="J38" s="236"/>
      <c r="K38" s="238">
        <v>390</v>
      </c>
      <c r="M38" s="230">
        <f>Table578[[#This Row],[Quantity2]]*Table578[[#This Row],[Rate]]</f>
        <v>0</v>
      </c>
      <c r="N38" s="238"/>
      <c r="O38" s="230">
        <f>Table578[[#This Row],[Quantity2]]*Table578[[#This Row],[Rate]]</f>
        <v>0</v>
      </c>
      <c r="S38" s="231">
        <f>U32+W32</f>
        <v>744150</v>
      </c>
    </row>
    <row r="39" spans="7:19">
      <c r="G39" s="164" t="s">
        <v>142</v>
      </c>
      <c r="H39" s="236" t="s">
        <v>153</v>
      </c>
      <c r="I39" s="236"/>
      <c r="J39" s="236"/>
      <c r="K39" s="238">
        <v>200</v>
      </c>
      <c r="M39" s="232">
        <f>Table578[[#This Row],[Quantity2]]*Table578[[#This Row],[Rate]]</f>
        <v>0</v>
      </c>
      <c r="N39" s="238"/>
      <c r="O39" s="232">
        <f>Table578[[#This Row],[Quantity2]]*Table578[[#This Row],[Rate]]</f>
        <v>0</v>
      </c>
      <c r="S39" s="231">
        <f>O32+Q32+S32</f>
        <v>744150</v>
      </c>
    </row>
    <row r="40" spans="7:19">
      <c r="G40" s="164" t="s">
        <v>145</v>
      </c>
      <c r="H40" s="236" t="s">
        <v>154</v>
      </c>
      <c r="I40" s="236"/>
      <c r="J40" s="236"/>
      <c r="K40" s="238">
        <v>90</v>
      </c>
      <c r="M40" s="231">
        <f>Table578[[#This Row],[Quantity2]]*Table578[[#This Row],[Rate]]</f>
        <v>0</v>
      </c>
      <c r="N40" s="238"/>
      <c r="O40" s="231">
        <f>Table578[[#This Row],[Quantity2]]*Table578[[#This Row],[Rate]]</f>
        <v>0</v>
      </c>
    </row>
    <row r="41" spans="7:19">
      <c r="G41" s="164" t="s">
        <v>146</v>
      </c>
      <c r="H41" s="236" t="s">
        <v>155</v>
      </c>
      <c r="I41" s="236">
        <v>28</v>
      </c>
      <c r="J41" s="236">
        <f>Table578[[#This Row],[Total Quantity]]-Table578[[#This Row],[Quantity2]]</f>
        <v>8.3999999999999986</v>
      </c>
      <c r="K41" s="238">
        <v>275</v>
      </c>
      <c r="M41" s="231"/>
      <c r="N41" s="240">
        <v>19.600000000000001</v>
      </c>
      <c r="O41" s="231">
        <f>Table578[[#This Row],[Rate]]*Table578[[#This Row],[Quantity2]]</f>
        <v>5390</v>
      </c>
      <c r="P41">
        <v>8.4</v>
      </c>
      <c r="Q41">
        <f>Table578[[#This Row],[Rate]]*Table578[[#This Row],[Quantity22]]</f>
        <v>2310</v>
      </c>
    </row>
    <row r="42" spans="7:19">
      <c r="G42" s="164" t="s">
        <v>144</v>
      </c>
      <c r="H42" s="236" t="s">
        <v>156</v>
      </c>
      <c r="I42" s="236">
        <v>84</v>
      </c>
      <c r="J42" s="236">
        <f>Table578[[#This Row],[Total Quantity]]-Table578[[#This Row],[Quantity2]]</f>
        <v>25.200000000000003</v>
      </c>
      <c r="K42" s="238">
        <v>180</v>
      </c>
      <c r="M42" s="231"/>
      <c r="N42" s="240">
        <v>58.8</v>
      </c>
      <c r="O42" s="231">
        <f>Table578[[#This Row],[Rate]]*Table578[[#This Row],[Quantity2]]</f>
        <v>10584</v>
      </c>
      <c r="P42">
        <v>25.2</v>
      </c>
      <c r="Q42">
        <f>Table578[[#This Row],[Rate]]*Table578[[#This Row],[Quantity22]]</f>
        <v>4536</v>
      </c>
    </row>
    <row r="43" spans="7:19">
      <c r="G43" s="164" t="s">
        <v>142</v>
      </c>
      <c r="H43" s="236" t="s">
        <v>157</v>
      </c>
      <c r="I43" s="236">
        <v>423</v>
      </c>
      <c r="J43" s="236">
        <f>Table578[[#This Row],[Total Quantity]]-Table578[[#This Row],[Quantity2]]</f>
        <v>126.89999999999998</v>
      </c>
      <c r="K43" s="238">
        <v>145</v>
      </c>
      <c r="L43" s="240"/>
      <c r="M43" s="231"/>
      <c r="N43" s="240">
        <v>296.10000000000002</v>
      </c>
      <c r="O43" s="231">
        <f>Table578[[#This Row],[Rate]]*Table578[[#This Row],[Quantity2]]</f>
        <v>42934.5</v>
      </c>
      <c r="P43">
        <v>126.9</v>
      </c>
      <c r="Q43">
        <f>Table578[[#This Row],[Rate]]*Table578[[#This Row],[Quantity22]]</f>
        <v>18400.5</v>
      </c>
    </row>
    <row r="44" spans="7:19">
      <c r="G44" s="164" t="s">
        <v>145</v>
      </c>
      <c r="H44" s="237" t="s">
        <v>158</v>
      </c>
      <c r="I44" s="237">
        <v>839.6</v>
      </c>
      <c r="J44" s="237">
        <f>Table578[[#This Row],[Total Quantity]]-Table578[[#This Row],[Quantity2]]</f>
        <v>251.88</v>
      </c>
      <c r="K44" s="238">
        <v>82</v>
      </c>
      <c r="L44" s="239"/>
      <c r="M44" s="231"/>
      <c r="N44" s="239">
        <v>587.72</v>
      </c>
      <c r="O44" s="231">
        <f>Table578[[#This Row],[Rate]]*Table578[[#This Row],[Quantity2]]</f>
        <v>48193.04</v>
      </c>
      <c r="P44">
        <v>251.88</v>
      </c>
      <c r="Q44">
        <f>Table578[[#This Row],[Rate]]*Table578[[#This Row],[Quantity22]]</f>
        <v>20654.16</v>
      </c>
    </row>
    <row r="45" spans="7:19">
      <c r="G45" t="s">
        <v>149</v>
      </c>
      <c r="H45" s="237" t="s">
        <v>159</v>
      </c>
      <c r="I45" s="237"/>
      <c r="J45" s="237"/>
      <c r="K45" s="238">
        <v>275</v>
      </c>
      <c r="M45" s="234">
        <f>Table578[[#This Row],[Quantity2]]*Table578[[#This Row],[Rate]]</f>
        <v>0</v>
      </c>
      <c r="N45" s="238"/>
      <c r="O45" s="234">
        <f>Table578[[#This Row],[Quantity2]]*Table578[[#This Row],[Rate]]</f>
        <v>0</v>
      </c>
    </row>
    <row r="46" spans="7:19">
      <c r="G46" t="s">
        <v>150</v>
      </c>
      <c r="H46" s="237" t="s">
        <v>160</v>
      </c>
      <c r="I46" s="237"/>
      <c r="J46" s="237"/>
      <c r="K46" s="238">
        <v>180</v>
      </c>
      <c r="M46" s="234">
        <f>Table578[[#This Row],[Quantity2]]*Table578[[#This Row],[Rate]]</f>
        <v>0</v>
      </c>
      <c r="N46" s="238"/>
      <c r="O46" s="234">
        <f>Table578[[#This Row],[Quantity2]]*Table578[[#This Row],[Rate]]</f>
        <v>0</v>
      </c>
    </row>
    <row r="47" spans="7:19">
      <c r="G47" s="241"/>
      <c r="H47" s="242"/>
      <c r="I47" s="242"/>
      <c r="J47" s="242"/>
      <c r="K47" s="243" t="s">
        <v>25</v>
      </c>
      <c r="L47" s="244">
        <f t="shared" ref="L47:Q47" si="3">SUM(L37:L46)</f>
        <v>0</v>
      </c>
      <c r="M47" s="244">
        <f t="shared" si="3"/>
        <v>0</v>
      </c>
      <c r="N47" s="244">
        <f t="shared" si="3"/>
        <v>962.22</v>
      </c>
      <c r="O47" s="244">
        <f t="shared" si="3"/>
        <v>107101.54000000001</v>
      </c>
      <c r="P47" s="244">
        <f t="shared" si="3"/>
        <v>412.38</v>
      </c>
      <c r="Q47" s="244">
        <f t="shared" si="3"/>
        <v>45900.66</v>
      </c>
    </row>
    <row r="52" spans="7:17">
      <c r="G52" s="139" t="s">
        <v>221</v>
      </c>
      <c r="J52" s="418"/>
      <c r="L52" s="419" t="s">
        <v>161</v>
      </c>
      <c r="M52" s="420"/>
      <c r="N52" s="1284" t="s">
        <v>171</v>
      </c>
      <c r="O52" s="1285"/>
      <c r="P52" s="1284" t="s">
        <v>222</v>
      </c>
      <c r="Q52" s="1285"/>
    </row>
    <row r="53" spans="7:17">
      <c r="G53" t="s">
        <v>141</v>
      </c>
      <c r="H53" s="236" t="s">
        <v>147</v>
      </c>
      <c r="I53" s="236" t="s">
        <v>217</v>
      </c>
      <c r="J53" s="236" t="s">
        <v>219</v>
      </c>
      <c r="K53" s="238" t="s">
        <v>148</v>
      </c>
      <c r="L53" s="238" t="s">
        <v>163</v>
      </c>
      <c r="M53" s="239" t="s">
        <v>162</v>
      </c>
      <c r="N53" s="238" t="s">
        <v>169</v>
      </c>
      <c r="O53" s="239" t="s">
        <v>170</v>
      </c>
      <c r="P53" s="238" t="s">
        <v>208</v>
      </c>
      <c r="Q53" s="239" t="s">
        <v>209</v>
      </c>
    </row>
    <row r="54" spans="7:17">
      <c r="G54" s="164" t="s">
        <v>143</v>
      </c>
      <c r="H54" s="236" t="s">
        <v>151</v>
      </c>
      <c r="I54" s="236"/>
      <c r="J54" s="236"/>
      <c r="K54" s="238">
        <v>465</v>
      </c>
      <c r="M54" s="230">
        <f>Table57811[[#This Row],[Quantity2]]*Table57811[[#This Row],[Rate]]</f>
        <v>0</v>
      </c>
      <c r="N54" s="238"/>
      <c r="O54" s="230">
        <f>Table57811[[#This Row],[Quantity2]]*Table57811[[#This Row],[Rate]]</f>
        <v>0</v>
      </c>
    </row>
    <row r="55" spans="7:17">
      <c r="G55" s="164" t="s">
        <v>144</v>
      </c>
      <c r="H55" s="236" t="s">
        <v>152</v>
      </c>
      <c r="I55" s="236"/>
      <c r="J55" s="236"/>
      <c r="K55" s="238">
        <v>390</v>
      </c>
      <c r="M55" s="230">
        <f>Table57811[[#This Row],[Quantity2]]*Table57811[[#This Row],[Rate]]</f>
        <v>0</v>
      </c>
      <c r="N55" s="238"/>
      <c r="O55" s="230">
        <f>Table57811[[#This Row],[Quantity2]]*Table57811[[#This Row],[Rate]]</f>
        <v>0</v>
      </c>
    </row>
    <row r="56" spans="7:17">
      <c r="G56" s="164" t="s">
        <v>142</v>
      </c>
      <c r="H56" s="236" t="s">
        <v>153</v>
      </c>
      <c r="I56" s="236"/>
      <c r="J56" s="236"/>
      <c r="K56" s="238">
        <v>200</v>
      </c>
      <c r="M56" s="232">
        <f>Table57811[[#This Row],[Quantity2]]*Table57811[[#This Row],[Rate]]</f>
        <v>0</v>
      </c>
      <c r="N56" s="238"/>
      <c r="O56" s="232">
        <f>Table57811[[#This Row],[Quantity2]]*Table57811[[#This Row],[Rate]]</f>
        <v>0</v>
      </c>
    </row>
    <row r="57" spans="7:17">
      <c r="G57" s="164" t="s">
        <v>145</v>
      </c>
      <c r="H57" s="236" t="s">
        <v>154</v>
      </c>
      <c r="I57" s="236"/>
      <c r="J57" s="236"/>
      <c r="K57" s="238">
        <v>90</v>
      </c>
      <c r="M57" s="231">
        <f>Table57811[[#This Row],[Quantity2]]*Table57811[[#This Row],[Rate]]</f>
        <v>0</v>
      </c>
      <c r="N57" s="238"/>
      <c r="O57" s="231"/>
    </row>
    <row r="58" spans="7:17">
      <c r="G58" s="164" t="s">
        <v>146</v>
      </c>
      <c r="H58" s="236" t="s">
        <v>155</v>
      </c>
      <c r="I58" s="236">
        <v>29</v>
      </c>
      <c r="J58" s="236">
        <f>Table57811[[#This Row],[Total Quantity]]-Table57811[[#This Row],[Quantity2]]</f>
        <v>29</v>
      </c>
      <c r="K58" s="238">
        <v>275</v>
      </c>
      <c r="M58" s="231"/>
      <c r="N58" s="240"/>
      <c r="O58" s="231"/>
      <c r="P58">
        <v>20.3</v>
      </c>
      <c r="Q58">
        <f>Table57811[[#This Row],[Rate]]*Table57811[[#This Row],[Quantity22]]</f>
        <v>5582.5</v>
      </c>
    </row>
    <row r="59" spans="7:17">
      <c r="G59" s="164" t="s">
        <v>144</v>
      </c>
      <c r="H59" s="236" t="s">
        <v>156</v>
      </c>
      <c r="I59" s="236">
        <v>87</v>
      </c>
      <c r="J59" s="236">
        <f>Table57811[[#This Row],[Total Quantity]]-Table57811[[#This Row],[Quantity2]]</f>
        <v>87</v>
      </c>
      <c r="K59" s="238">
        <v>180</v>
      </c>
      <c r="M59" s="231"/>
      <c r="N59" s="240"/>
      <c r="O59" s="231"/>
      <c r="P59">
        <v>60.9</v>
      </c>
      <c r="Q59">
        <f>Table57811[[#This Row],[Rate]]*Table57811[[#This Row],[Quantity22]]</f>
        <v>10962</v>
      </c>
    </row>
    <row r="60" spans="7:17">
      <c r="G60" s="164" t="s">
        <v>142</v>
      </c>
      <c r="H60" s="236" t="s">
        <v>157</v>
      </c>
      <c r="I60" s="236">
        <v>430</v>
      </c>
      <c r="J60" s="236">
        <f>Table57811[[#This Row],[Total Quantity]]-Table57811[[#This Row],[Quantity2]]</f>
        <v>430</v>
      </c>
      <c r="K60" s="238">
        <v>145</v>
      </c>
      <c r="L60" s="240"/>
      <c r="M60" s="231"/>
      <c r="N60" s="240"/>
      <c r="O60" s="231"/>
      <c r="P60">
        <v>301</v>
      </c>
      <c r="Q60">
        <f>Table57811[[#This Row],[Rate]]*Table57811[[#This Row],[Quantity22]]</f>
        <v>43645</v>
      </c>
    </row>
    <row r="61" spans="7:17">
      <c r="G61" s="164" t="s">
        <v>145</v>
      </c>
      <c r="H61" s="237" t="s">
        <v>158</v>
      </c>
      <c r="I61" s="237">
        <v>856</v>
      </c>
      <c r="J61" s="237">
        <f>Table57811[[#This Row],[Total Quantity]]-Table57811[[#This Row],[Quantity2]]</f>
        <v>856</v>
      </c>
      <c r="K61" s="238">
        <v>82</v>
      </c>
      <c r="L61" s="239"/>
      <c r="M61" s="231"/>
      <c r="N61" s="239"/>
      <c r="O61" s="231"/>
      <c r="P61">
        <v>599.20000000000005</v>
      </c>
      <c r="Q61">
        <f>Table57811[[#This Row],[Rate]]*Table57811[[#This Row],[Quantity22]]</f>
        <v>49134.400000000001</v>
      </c>
    </row>
    <row r="62" spans="7:17">
      <c r="G62" t="s">
        <v>149</v>
      </c>
      <c r="H62" s="237" t="s">
        <v>159</v>
      </c>
      <c r="I62" s="237"/>
      <c r="J62" s="237"/>
      <c r="K62" s="238">
        <v>275</v>
      </c>
      <c r="M62" s="234">
        <f>Table57811[[#This Row],[Quantity2]]*Table57811[[#This Row],[Rate]]</f>
        <v>0</v>
      </c>
      <c r="N62" s="238"/>
      <c r="O62" s="234">
        <f>Table57811[[#This Row],[Quantity2]]*Table57811[[#This Row],[Rate]]</f>
        <v>0</v>
      </c>
    </row>
    <row r="63" spans="7:17">
      <c r="G63" t="s">
        <v>150</v>
      </c>
      <c r="H63" s="237" t="s">
        <v>160</v>
      </c>
      <c r="I63" s="237"/>
      <c r="J63" s="237"/>
      <c r="K63" s="238">
        <v>180</v>
      </c>
      <c r="M63" s="234">
        <f>Table57811[[#This Row],[Quantity2]]*Table57811[[#This Row],[Rate]]</f>
        <v>0</v>
      </c>
      <c r="N63" s="238"/>
      <c r="O63" s="234">
        <f>Table57811[[#This Row],[Quantity2]]*Table57811[[#This Row],[Rate]]</f>
        <v>0</v>
      </c>
    </row>
    <row r="64" spans="7:17">
      <c r="G64" s="241"/>
      <c r="H64" s="242"/>
      <c r="I64" s="242"/>
      <c r="J64" s="242"/>
      <c r="K64" s="243" t="s">
        <v>25</v>
      </c>
      <c r="L64" s="244">
        <f t="shared" ref="L64:Q64" si="4">SUM(L54:L63)</f>
        <v>0</v>
      </c>
      <c r="M64" s="244">
        <f t="shared" si="4"/>
        <v>0</v>
      </c>
      <c r="N64" s="244">
        <f t="shared" si="4"/>
        <v>0</v>
      </c>
      <c r="O64" s="244">
        <f t="shared" si="4"/>
        <v>0</v>
      </c>
      <c r="P64" s="244">
        <f t="shared" si="4"/>
        <v>981.40000000000009</v>
      </c>
      <c r="Q64" s="244">
        <f t="shared" si="4"/>
        <v>109323.9</v>
      </c>
    </row>
    <row r="69" spans="7:17">
      <c r="J69" s="416"/>
      <c r="K69" s="417"/>
      <c r="M69" s="233"/>
    </row>
    <row r="70" spans="7:17">
      <c r="G70" t="s">
        <v>290</v>
      </c>
      <c r="J70" s="418"/>
      <c r="L70" s="1285" t="s">
        <v>272</v>
      </c>
      <c r="M70" s="1286"/>
      <c r="N70" s="1284" t="s">
        <v>291</v>
      </c>
      <c r="O70" s="1285"/>
      <c r="P70" s="1284" t="s">
        <v>292</v>
      </c>
      <c r="Q70" s="1285"/>
    </row>
    <row r="71" spans="7:17">
      <c r="G71" t="s">
        <v>141</v>
      </c>
      <c r="H71" s="236" t="s">
        <v>147</v>
      </c>
      <c r="I71" s="236" t="s">
        <v>217</v>
      </c>
      <c r="J71" s="236" t="s">
        <v>219</v>
      </c>
      <c r="K71" s="238" t="s">
        <v>148</v>
      </c>
      <c r="L71" s="238" t="s">
        <v>163</v>
      </c>
      <c r="M71" s="239" t="s">
        <v>162</v>
      </c>
      <c r="N71" s="238" t="s">
        <v>169</v>
      </c>
      <c r="O71" s="239" t="s">
        <v>170</v>
      </c>
      <c r="P71" s="238" t="s">
        <v>208</v>
      </c>
      <c r="Q71" s="239" t="s">
        <v>209</v>
      </c>
    </row>
    <row r="72" spans="7:17">
      <c r="G72" s="164" t="s">
        <v>143</v>
      </c>
      <c r="H72" s="236" t="s">
        <v>151</v>
      </c>
      <c r="I72" s="237"/>
      <c r="J72" s="428">
        <f>Table5716[[#This Row],[Total Quantity]]-Table5716[[#This Row],[Quantity22]]</f>
        <v>0</v>
      </c>
      <c r="K72" s="238">
        <v>465</v>
      </c>
      <c r="M72" s="230">
        <f>Table5716[[#This Row],[Quantity]]*Table5716[[#This Row],[Rate]]</f>
        <v>0</v>
      </c>
      <c r="N72" s="238"/>
      <c r="O72" s="230">
        <f>Table5716[[#This Row],[Quantity2]]*Table5716[[#This Row],[Rate]]</f>
        <v>0</v>
      </c>
      <c r="P72" s="238"/>
      <c r="Q72" s="230"/>
    </row>
    <row r="73" spans="7:17">
      <c r="G73" s="164" t="s">
        <v>144</v>
      </c>
      <c r="H73" s="236" t="s">
        <v>152</v>
      </c>
      <c r="I73" s="237"/>
      <c r="J73" s="428">
        <f>Table5716[[#This Row],[Total Quantity]]-Table5716[[#This Row],[Quantity22]]</f>
        <v>0</v>
      </c>
      <c r="K73" s="238">
        <v>390</v>
      </c>
      <c r="M73" s="230">
        <f>Table5716[[#This Row],[Quantity]]*Table5716[[#This Row],[Rate]]</f>
        <v>0</v>
      </c>
      <c r="N73" s="238"/>
      <c r="O73" s="230">
        <f>Table5716[[#This Row],[Quantity2]]*Table5716[[#This Row],[Rate]]</f>
        <v>0</v>
      </c>
      <c r="P73" s="238"/>
      <c r="Q73" s="230"/>
    </row>
    <row r="74" spans="7:17">
      <c r="G74" s="164" t="s">
        <v>142</v>
      </c>
      <c r="H74" s="236" t="s">
        <v>153</v>
      </c>
      <c r="I74" s="237"/>
      <c r="J74" s="428">
        <f>Table5716[[#This Row],[Total Quantity]]-Table5716[[#This Row],[Quantity22]]</f>
        <v>0</v>
      </c>
      <c r="K74" s="238">
        <v>200</v>
      </c>
      <c r="M74" s="232">
        <f>Table5716[[#This Row],[Quantity]]*Table5716[[#This Row],[Rate]]</f>
        <v>0</v>
      </c>
      <c r="N74" s="238"/>
      <c r="O74" s="232">
        <f>Table5716[[#This Row],[Quantity2]]*Table5716[[#This Row],[Rate]]</f>
        <v>0</v>
      </c>
      <c r="P74" s="238"/>
      <c r="Q74" s="232"/>
    </row>
    <row r="75" spans="7:17">
      <c r="G75" s="164" t="s">
        <v>145</v>
      </c>
      <c r="H75" s="236" t="s">
        <v>154</v>
      </c>
      <c r="I75" s="237"/>
      <c r="J75" s="428">
        <f>Table5716[[#This Row],[Total Quantity]]-Table5716[[#This Row],[Quantity22]]</f>
        <v>0</v>
      </c>
      <c r="K75" s="238">
        <v>90</v>
      </c>
      <c r="M75" s="231">
        <f>Table5716[[#This Row],[Quantity]]*Table5716[[#This Row],[Rate]]</f>
        <v>0</v>
      </c>
      <c r="N75" s="240"/>
      <c r="O75" s="231">
        <f>Table5716[[#This Row],[Quantity2]]*Table5716[[#This Row],[Rate]]</f>
        <v>0</v>
      </c>
      <c r="P75" s="240"/>
      <c r="Q75" s="231"/>
    </row>
    <row r="76" spans="7:17">
      <c r="G76" s="164" t="s">
        <v>146</v>
      </c>
      <c r="H76" s="236" t="s">
        <v>155</v>
      </c>
      <c r="I76" s="236">
        <v>700</v>
      </c>
      <c r="J76" s="561">
        <f>Table5716[[#This Row],[Total Quantity]]-Table5716[[#This Row],[Quantity]]-Table5716[[#This Row],[Quantity2]]</f>
        <v>105</v>
      </c>
      <c r="K76" s="238">
        <v>275</v>
      </c>
      <c r="L76" s="238">
        <v>350</v>
      </c>
      <c r="M76" s="231">
        <f>Table5716[[#This Row],[Quantity]]*Table5716[[#This Row],[Rate]]</f>
        <v>96250</v>
      </c>
      <c r="N76" s="240">
        <v>245</v>
      </c>
      <c r="O76" s="231">
        <f>Table5716[[#This Row],[Quantity2]]*Table5716[[#This Row],[Rate]]</f>
        <v>67375</v>
      </c>
      <c r="P76" s="240"/>
      <c r="Q76" s="231"/>
    </row>
    <row r="77" spans="7:17">
      <c r="G77" s="164" t="s">
        <v>144</v>
      </c>
      <c r="H77" s="236" t="s">
        <v>156</v>
      </c>
      <c r="I77" s="236">
        <v>1300</v>
      </c>
      <c r="J77" s="562">
        <f>Table5716[[#This Row],[Total Quantity]]-Table5716[[#This Row],[Quantity]]-Table5716[[#This Row],[Quantity2]]</f>
        <v>195</v>
      </c>
      <c r="K77" s="238">
        <v>180</v>
      </c>
      <c r="L77" s="238">
        <v>650</v>
      </c>
      <c r="M77" s="231">
        <f>Table5716[[#This Row],[Quantity]]*Table5716[[#This Row],[Rate]]</f>
        <v>117000</v>
      </c>
      <c r="N77" s="240">
        <v>455</v>
      </c>
      <c r="O77" s="231">
        <f>Table5716[[#This Row],[Quantity2]]*Table5716[[#This Row],[Rate]]</f>
        <v>81900</v>
      </c>
      <c r="P77" s="240"/>
      <c r="Q77" s="231"/>
    </row>
    <row r="78" spans="7:17">
      <c r="G78" s="164" t="s">
        <v>142</v>
      </c>
      <c r="H78" s="236" t="s">
        <v>157</v>
      </c>
      <c r="I78" s="236">
        <v>5200</v>
      </c>
      <c r="J78" s="562">
        <f>Table5716[[#This Row],[Total Quantity]]-Table5716[[#This Row],[Quantity]]-Table5716[[#This Row],[Quantity2]]</f>
        <v>780</v>
      </c>
      <c r="K78" s="238">
        <v>145</v>
      </c>
      <c r="L78" s="240">
        <v>2600</v>
      </c>
      <c r="M78" s="231">
        <f>Table5716[[#This Row],[Quantity]]*Table5716[[#This Row],[Rate]]</f>
        <v>377000</v>
      </c>
      <c r="N78" s="240">
        <v>1820</v>
      </c>
      <c r="O78" s="231">
        <f>Table5716[[#This Row],[Quantity2]]*Table5716[[#This Row],[Rate]]</f>
        <v>263900</v>
      </c>
      <c r="P78" s="240"/>
      <c r="Q78" s="231"/>
    </row>
    <row r="79" spans="7:17">
      <c r="G79" s="164" t="s">
        <v>145</v>
      </c>
      <c r="H79" s="237" t="s">
        <v>158</v>
      </c>
      <c r="I79" s="236">
        <v>5800</v>
      </c>
      <c r="J79" s="562">
        <f>Table5716[[#This Row],[Total Quantity]]-Table5716[[#This Row],[Quantity]]-Table5716[[#This Row],[Quantity2]]</f>
        <v>870</v>
      </c>
      <c r="K79" s="238">
        <v>82</v>
      </c>
      <c r="L79" s="239">
        <v>2900</v>
      </c>
      <c r="M79" s="231">
        <f>Table5716[[#This Row],[Quantity]]*Table5716[[#This Row],[Rate]]</f>
        <v>237800</v>
      </c>
      <c r="N79" s="240">
        <v>2030</v>
      </c>
      <c r="O79" s="231">
        <f>Table5716[[#This Row],[Quantity2]]*Table5716[[#This Row],[Rate]]</f>
        <v>166460</v>
      </c>
      <c r="P79" s="240"/>
      <c r="Q79" s="231"/>
    </row>
    <row r="80" spans="7:17">
      <c r="G80" t="s">
        <v>149</v>
      </c>
      <c r="H80" s="237" t="s">
        <v>159</v>
      </c>
      <c r="I80" s="237"/>
      <c r="J80" s="562"/>
      <c r="K80" s="238">
        <v>275</v>
      </c>
      <c r="M80" s="234">
        <f>Table5716[[#This Row],[Quantity]]*Table5716[[#This Row],[Rate]]</f>
        <v>0</v>
      </c>
      <c r="N80" s="238"/>
      <c r="O80" s="234">
        <f>Table5716[[#This Row],[Quantity2]]*Table5716[[#This Row],[Rate]]</f>
        <v>0</v>
      </c>
      <c r="P80" s="238"/>
      <c r="Q80" s="234"/>
    </row>
    <row r="81" spans="7:27">
      <c r="G81" t="s">
        <v>150</v>
      </c>
      <c r="H81" s="237" t="s">
        <v>160</v>
      </c>
      <c r="I81" s="237"/>
      <c r="J81" s="237"/>
      <c r="K81" s="238">
        <v>180</v>
      </c>
      <c r="M81" s="234">
        <f>Table5716[[#This Row],[Quantity]]*Table5716[[#This Row],[Rate]]</f>
        <v>0</v>
      </c>
      <c r="N81" s="238"/>
      <c r="O81" s="234">
        <f>Table5716[[#This Row],[Quantity2]]*Table5716[[#This Row],[Rate]]</f>
        <v>0</v>
      </c>
      <c r="P81" s="238"/>
      <c r="Q81" s="234"/>
    </row>
    <row r="82" spans="7:27">
      <c r="G82" s="241"/>
      <c r="H82" s="242"/>
      <c r="I82" s="242"/>
      <c r="J82" s="242"/>
      <c r="K82" s="243" t="s">
        <v>25</v>
      </c>
      <c r="L82" s="244"/>
      <c r="M82" s="244">
        <f>SUM(M73:M80)</f>
        <v>828050</v>
      </c>
      <c r="N82" s="244"/>
      <c r="O82" s="244">
        <f>SUM(O73:O80)</f>
        <v>579635</v>
      </c>
      <c r="P82" s="244"/>
      <c r="Q82" s="244"/>
    </row>
    <row r="88" spans="7:27">
      <c r="J88" s="416"/>
      <c r="K88" s="417"/>
      <c r="M88" s="233"/>
    </row>
    <row r="89" spans="7:27">
      <c r="G89" t="s">
        <v>298</v>
      </c>
      <c r="J89" s="418"/>
      <c r="L89" s="1285" t="s">
        <v>272</v>
      </c>
      <c r="M89" s="1286"/>
      <c r="N89" s="1284" t="s">
        <v>291</v>
      </c>
      <c r="O89" s="1285"/>
      <c r="P89" s="1284" t="s">
        <v>292</v>
      </c>
      <c r="Q89" s="1285"/>
      <c r="R89" s="1284" t="s">
        <v>321</v>
      </c>
      <c r="S89" s="1285"/>
      <c r="T89" s="1284" t="s">
        <v>376</v>
      </c>
      <c r="U89" s="1285"/>
      <c r="V89" s="1284" t="s">
        <v>338</v>
      </c>
      <c r="W89" s="1285"/>
      <c r="X89" s="1284" t="s">
        <v>377</v>
      </c>
      <c r="Y89" s="1285"/>
    </row>
    <row r="90" spans="7:27">
      <c r="G90" t="s">
        <v>141</v>
      </c>
      <c r="H90" s="236" t="s">
        <v>147</v>
      </c>
      <c r="I90" s="236" t="s">
        <v>217</v>
      </c>
      <c r="J90" s="236" t="s">
        <v>219</v>
      </c>
      <c r="K90" s="238" t="s">
        <v>148</v>
      </c>
      <c r="L90" s="238" t="s">
        <v>163</v>
      </c>
      <c r="M90" s="239" t="s">
        <v>162</v>
      </c>
      <c r="N90" s="238" t="s">
        <v>169</v>
      </c>
      <c r="O90" s="239" t="s">
        <v>170</v>
      </c>
      <c r="P90" s="238" t="s">
        <v>208</v>
      </c>
      <c r="Q90" s="239" t="s">
        <v>209</v>
      </c>
      <c r="R90" s="238" t="s">
        <v>293</v>
      </c>
      <c r="S90" s="239" t="s">
        <v>294</v>
      </c>
      <c r="T90" s="238" t="s">
        <v>293</v>
      </c>
      <c r="U90" s="239" t="s">
        <v>294</v>
      </c>
      <c r="V90" s="238" t="s">
        <v>293</v>
      </c>
      <c r="W90" s="239" t="s">
        <v>294</v>
      </c>
      <c r="X90" s="238" t="s">
        <v>293</v>
      </c>
      <c r="Y90" s="239" t="s">
        <v>294</v>
      </c>
    </row>
    <row r="91" spans="7:27">
      <c r="G91" s="164" t="s">
        <v>143</v>
      </c>
      <c r="H91" s="236" t="s">
        <v>151</v>
      </c>
      <c r="I91" s="237"/>
      <c r="J91" s="428">
        <f>Table571617[[#This Row],[Total Quantity]]-Table571617[[#This Row],[Quantity22]]</f>
        <v>0</v>
      </c>
      <c r="K91" s="238">
        <v>465</v>
      </c>
      <c r="M91" s="230">
        <f>Table571617[[#This Row],[Quantity]]*Table571617[[#This Row],[Rate]]</f>
        <v>0</v>
      </c>
      <c r="N91" s="238"/>
      <c r="O91" s="230">
        <f>Table571617[[#This Row],[Quantity2]]*Table571617[[#This Row],[Rate]]</f>
        <v>0</v>
      </c>
      <c r="P91" s="238"/>
      <c r="Q91" s="230"/>
      <c r="R91" s="238"/>
      <c r="S91" s="230">
        <f>Table571617[[#This Row],[Quantity222]]*Table571617[[#This Row],[Rate]]</f>
        <v>0</v>
      </c>
      <c r="T91" s="238"/>
      <c r="U91" s="230">
        <f>Table571617[[#This Row],[Quantity222]]*Table571617[[#This Row],[Rate]]</f>
        <v>0</v>
      </c>
      <c r="V91" s="238"/>
      <c r="W91" s="230">
        <f>Table571617[[#This Row],[Quantity222]]*Table571617[[#This Row],[Rate]]</f>
        <v>0</v>
      </c>
      <c r="X91" s="238"/>
      <c r="Y91" s="230">
        <f>Table571617[[#This Row],[Quantity222]]*Table571617[[#This Row],[Rate]]</f>
        <v>0</v>
      </c>
    </row>
    <row r="92" spans="7:27">
      <c r="G92" s="164" t="s">
        <v>144</v>
      </c>
      <c r="H92" s="236" t="s">
        <v>152</v>
      </c>
      <c r="I92" s="237"/>
      <c r="J92" s="428">
        <f>Table571617[[#This Row],[Total Quantity]]-Table571617[[#This Row],[Quantity22]]</f>
        <v>0</v>
      </c>
      <c r="K92" s="238">
        <v>390</v>
      </c>
      <c r="M92" s="230">
        <f>Table571617[[#This Row],[Quantity]]*Table571617[[#This Row],[Rate]]</f>
        <v>0</v>
      </c>
      <c r="N92" s="238"/>
      <c r="O92" s="230">
        <f>Table571617[[#This Row],[Quantity2]]*Table571617[[#This Row],[Rate]]</f>
        <v>0</v>
      </c>
      <c r="P92" s="238"/>
      <c r="Q92" s="230"/>
      <c r="R92" s="238"/>
      <c r="S92" s="230">
        <f>Table571617[[#This Row],[Quantity222]]*Table571617[[#This Row],[Rate]]</f>
        <v>0</v>
      </c>
      <c r="T92" s="238"/>
      <c r="U92" s="230">
        <f>Table571617[[#This Row],[Quantity222]]*Table571617[[#This Row],[Rate]]</f>
        <v>0</v>
      </c>
      <c r="V92" s="238"/>
      <c r="W92" s="230">
        <f>Table571617[[#This Row],[Quantity222]]*Table571617[[#This Row],[Rate]]</f>
        <v>0</v>
      </c>
      <c r="X92" s="238"/>
      <c r="Y92" s="230">
        <f>Table571617[[#This Row],[Quantity222]]*Table571617[[#This Row],[Rate]]</f>
        <v>0</v>
      </c>
    </row>
    <row r="93" spans="7:27">
      <c r="G93" s="164" t="s">
        <v>142</v>
      </c>
      <c r="H93" s="236" t="s">
        <v>153</v>
      </c>
      <c r="I93" s="237"/>
      <c r="J93" s="428">
        <f>Table571617[[#This Row],[Total Quantity]]-Table571617[[#This Row],[Quantity22]]</f>
        <v>0</v>
      </c>
      <c r="K93" s="238">
        <v>200</v>
      </c>
      <c r="M93" s="232">
        <f>Table571617[[#This Row],[Quantity]]*Table571617[[#This Row],[Rate]]</f>
        <v>0</v>
      </c>
      <c r="N93" s="238"/>
      <c r="O93" s="232">
        <f>Table571617[[#This Row],[Quantity2]]*Table571617[[#This Row],[Rate]]</f>
        <v>0</v>
      </c>
      <c r="P93" s="238"/>
      <c r="Q93" s="232"/>
      <c r="R93" s="238"/>
      <c r="S93" s="232">
        <f>Table571617[[#This Row],[Quantity222]]*Table571617[[#This Row],[Rate]]</f>
        <v>0</v>
      </c>
      <c r="T93" s="238"/>
      <c r="U93" s="232">
        <f>Table571617[[#This Row],[Quantity222]]*Table571617[[#This Row],[Rate]]</f>
        <v>0</v>
      </c>
      <c r="V93" s="238"/>
      <c r="W93" s="232">
        <f>Table571617[[#This Row],[Quantity222]]*Table571617[[#This Row],[Rate]]</f>
        <v>0</v>
      </c>
      <c r="X93" s="238"/>
      <c r="Y93" s="232"/>
      <c r="Z93" s="230"/>
    </row>
    <row r="94" spans="7:27">
      <c r="G94" s="164" t="s">
        <v>145</v>
      </c>
      <c r="H94" s="236" t="s">
        <v>154</v>
      </c>
      <c r="I94" s="237"/>
      <c r="J94" s="428">
        <f>Table571617[[#This Row],[Total Quantity]]-Table571617[[#This Row],[Quantity22]]</f>
        <v>0</v>
      </c>
      <c r="K94" s="238">
        <v>90</v>
      </c>
      <c r="M94" s="231">
        <f>Table571617[[#This Row],[Quantity]]*Table571617[[#This Row],[Rate]]</f>
        <v>0</v>
      </c>
      <c r="N94" s="240"/>
      <c r="O94" s="231">
        <f>Table571617[[#This Row],[Quantity2]]*Table571617[[#This Row],[Rate]]</f>
        <v>0</v>
      </c>
      <c r="P94" s="240"/>
      <c r="Q94" s="231"/>
      <c r="R94" s="240"/>
      <c r="S94" s="231">
        <f>Table571617[[#This Row],[Quantity222]]*Table571617[[#This Row],[Rate]]</f>
        <v>0</v>
      </c>
      <c r="T94" s="240"/>
      <c r="U94" s="231"/>
      <c r="V94" s="240"/>
      <c r="W94" s="231"/>
      <c r="X94" s="240"/>
      <c r="Y94" s="231"/>
      <c r="Z94" s="230"/>
    </row>
    <row r="95" spans="7:27">
      <c r="G95" s="164" t="s">
        <v>146</v>
      </c>
      <c r="H95" s="236" t="s">
        <v>155</v>
      </c>
      <c r="I95" s="236">
        <v>1800</v>
      </c>
      <c r="J95" s="561">
        <f>Table571617[[#This Row],[Total Quantity]]-Table571617[[#This Row],[Quantity]]-Table571617[[#This Row],[Quantity2]]-Table571617[[#This Row],[Quantity222]]</f>
        <v>1260</v>
      </c>
      <c r="K95" s="238">
        <v>275</v>
      </c>
      <c r="M95" s="231"/>
      <c r="N95" s="240">
        <v>270</v>
      </c>
      <c r="O95" s="231">
        <f>Table571617[[#This Row],[Quantity2]]*Table571617[[#This Row],[Rate]]</f>
        <v>74250</v>
      </c>
      <c r="P95" s="240"/>
      <c r="Q95" s="231"/>
      <c r="R95" s="240">
        <v>270</v>
      </c>
      <c r="S95" s="231">
        <f>Table571617[[#This Row],[Quantity222]]*Table571617[[#This Row],[Rate]]</f>
        <v>74250</v>
      </c>
      <c r="T95" s="240">
        <v>450</v>
      </c>
      <c r="U95" s="231">
        <f>T95*Table571617[[#This Row],[Rate]]</f>
        <v>123750</v>
      </c>
      <c r="V95" s="240">
        <v>630.00036363636366</v>
      </c>
      <c r="W95" s="231">
        <f>V95*Table571617[[#This Row],[Rate]]</f>
        <v>173250.1</v>
      </c>
      <c r="X95" s="240">
        <v>179.99963636363637</v>
      </c>
      <c r="Y95" s="231">
        <f>X95*Table571617[[#This Row],[Rate]]</f>
        <v>49499.9</v>
      </c>
      <c r="Z95" s="230">
        <v>173250.1</v>
      </c>
      <c r="AA95">
        <f>Z95/Table571617[[#This Row],[Rate]]</f>
        <v>630.00036363636366</v>
      </c>
    </row>
    <row r="96" spans="7:27">
      <c r="G96" s="164" t="s">
        <v>144</v>
      </c>
      <c r="H96" s="236" t="s">
        <v>156</v>
      </c>
      <c r="I96" s="236">
        <v>1900</v>
      </c>
      <c r="J96" s="561">
        <f>Table571617[[#This Row],[Total Quantity]]-Table571617[[#This Row],[Quantity]]-Table571617[[#This Row],[Quantity2]]-Table571617[[#This Row],[Quantity222]]</f>
        <v>1330</v>
      </c>
      <c r="K96" s="238">
        <v>180</v>
      </c>
      <c r="M96" s="231"/>
      <c r="N96" s="240">
        <v>285</v>
      </c>
      <c r="O96" s="231">
        <f>Table571617[[#This Row],[Quantity2]]*Table571617[[#This Row],[Rate]]</f>
        <v>51300</v>
      </c>
      <c r="P96" s="240"/>
      <c r="Q96" s="231"/>
      <c r="R96" s="240">
        <v>285</v>
      </c>
      <c r="S96" s="231">
        <f>Table571617[[#This Row],[Quantity222]]*Table571617[[#This Row],[Rate]]</f>
        <v>51300</v>
      </c>
      <c r="T96" s="240">
        <v>475</v>
      </c>
      <c r="U96" s="231">
        <f>T96*Table571617[[#This Row],[Rate]]</f>
        <v>85500</v>
      </c>
      <c r="V96" s="240">
        <v>665.00038888888889</v>
      </c>
      <c r="W96" s="231">
        <f>V96*Table571617[[#This Row],[Rate]]</f>
        <v>119700.07</v>
      </c>
      <c r="X96" s="240">
        <v>189.99961111111111</v>
      </c>
      <c r="Y96" s="231">
        <f>X96*Table571617[[#This Row],[Rate]]</f>
        <v>34199.93</v>
      </c>
      <c r="Z96" s="230">
        <v>119700.07</v>
      </c>
      <c r="AA96">
        <f>Z96/Table571617[[#This Row],[Rate]]</f>
        <v>665.00038888888889</v>
      </c>
    </row>
    <row r="97" spans="7:27">
      <c r="G97" s="164" t="s">
        <v>142</v>
      </c>
      <c r="H97" s="236" t="s">
        <v>157</v>
      </c>
      <c r="I97" s="236">
        <v>7150</v>
      </c>
      <c r="J97" s="561">
        <f>Table571617[[#This Row],[Total Quantity]]-Table571617[[#This Row],[Quantity]]-Table571617[[#This Row],[Quantity2]]-Table571617[[#This Row],[Quantity222]]</f>
        <v>5005</v>
      </c>
      <c r="K97" s="238">
        <v>145</v>
      </c>
      <c r="L97" s="240"/>
      <c r="M97" s="231"/>
      <c r="N97" s="240">
        <v>1072.5</v>
      </c>
      <c r="O97" s="231">
        <f>Table571617[[#This Row],[Quantity2]]*Table571617[[#This Row],[Rate]]</f>
        <v>155512.5</v>
      </c>
      <c r="P97" s="240"/>
      <c r="Q97" s="231"/>
      <c r="R97" s="240">
        <v>1072.5</v>
      </c>
      <c r="S97" s="231">
        <f>Table571617[[#This Row],[Quantity222]]*Table571617[[#This Row],[Rate]]</f>
        <v>155512.5</v>
      </c>
      <c r="T97" s="240">
        <v>1787.5</v>
      </c>
      <c r="U97" s="231">
        <f>T97*Table571617[[#This Row],[Rate]]</f>
        <v>259187.5</v>
      </c>
      <c r="V97" s="240">
        <v>2502.5013793103449</v>
      </c>
      <c r="W97" s="231">
        <f>V97*Table571617[[#This Row],[Rate]]</f>
        <v>362862.7</v>
      </c>
      <c r="X97" s="240">
        <v>714.99862068965524</v>
      </c>
      <c r="Y97" s="231">
        <f>X97*Table571617[[#This Row],[Rate]]</f>
        <v>103674.8</v>
      </c>
      <c r="Z97" s="230">
        <v>362862.7</v>
      </c>
      <c r="AA97">
        <f>Z97/Table571617[[#This Row],[Rate]]</f>
        <v>2502.5013793103449</v>
      </c>
    </row>
    <row r="98" spans="7:27">
      <c r="G98" s="164" t="s">
        <v>145</v>
      </c>
      <c r="H98" s="237" t="s">
        <v>158</v>
      </c>
      <c r="I98" s="236">
        <v>8370</v>
      </c>
      <c r="J98" s="561">
        <f>Table571617[[#This Row],[Total Quantity]]-Table571617[[#This Row],[Quantity]]-Table571617[[#This Row],[Quantity2]]-Table571617[[#This Row],[Quantity222]]</f>
        <v>5859</v>
      </c>
      <c r="K98" s="238">
        <v>82</v>
      </c>
      <c r="L98" s="239"/>
      <c r="M98" s="231"/>
      <c r="N98" s="240">
        <v>1255.5</v>
      </c>
      <c r="O98" s="231">
        <f>Table571617[[#This Row],[Quantity2]]*Table571617[[#This Row],[Rate]]</f>
        <v>102951</v>
      </c>
      <c r="P98" s="240"/>
      <c r="Q98" s="231"/>
      <c r="R98" s="240">
        <v>1255.5</v>
      </c>
      <c r="S98" s="231">
        <f>Table571617[[#This Row],[Quantity222]]*Table571617[[#This Row],[Rate]]</f>
        <v>102951</v>
      </c>
      <c r="T98" s="240">
        <v>2092.5</v>
      </c>
      <c r="U98" s="231">
        <f>T98*Table571617[[#This Row],[Rate]]</f>
        <v>171585</v>
      </c>
      <c r="V98" s="240">
        <v>2929.5015853658538</v>
      </c>
      <c r="W98" s="231">
        <f>V98*Table571617[[#This Row],[Rate]]</f>
        <v>240219.13</v>
      </c>
      <c r="X98" s="240">
        <v>836.99841463414623</v>
      </c>
      <c r="Y98" s="231">
        <f>X98*Table571617[[#This Row],[Rate]]</f>
        <v>68633.87</v>
      </c>
      <c r="Z98" s="230">
        <v>240219.13</v>
      </c>
      <c r="AA98">
        <f>Z98/Table571617[[#This Row],[Rate]]</f>
        <v>2929.5015853658538</v>
      </c>
    </row>
    <row r="99" spans="7:27">
      <c r="G99" t="s">
        <v>149</v>
      </c>
      <c r="H99" s="237" t="s">
        <v>159</v>
      </c>
      <c r="I99" s="237"/>
      <c r="J99" s="562"/>
      <c r="K99" s="238">
        <v>275</v>
      </c>
      <c r="M99" s="234"/>
      <c r="N99" s="238"/>
      <c r="O99" s="234">
        <f>Table571617[[#This Row],[Quantity2]]*Table571617[[#This Row],[Rate]]</f>
        <v>0</v>
      </c>
      <c r="P99" s="238"/>
      <c r="Q99" s="234"/>
      <c r="R99" s="238"/>
      <c r="S99" s="234">
        <f>Table571617[[#This Row],[Quantity222]]*Table571617[[#This Row],[Rate]]</f>
        <v>0</v>
      </c>
      <c r="T99" s="238"/>
      <c r="U99" s="234"/>
      <c r="V99" s="238"/>
      <c r="W99" s="234"/>
      <c r="X99" s="238"/>
      <c r="Y99" s="234"/>
      <c r="Z99" s="230"/>
    </row>
    <row r="100" spans="7:27">
      <c r="G100" t="s">
        <v>150</v>
      </c>
      <c r="H100" s="237" t="s">
        <v>160</v>
      </c>
      <c r="I100" s="237"/>
      <c r="J100" s="237"/>
      <c r="K100" s="238">
        <v>180</v>
      </c>
      <c r="M100" s="234"/>
      <c r="N100" s="238"/>
      <c r="O100" s="234">
        <f>Table571617[[#This Row],[Quantity2]]*Table571617[[#This Row],[Rate]]</f>
        <v>0</v>
      </c>
      <c r="P100" s="238"/>
      <c r="Q100" s="234"/>
      <c r="R100" s="238"/>
      <c r="S100" s="234">
        <f>Table571617[[#This Row],[Quantity222]]*Table571617[[#This Row],[Rate]]</f>
        <v>0</v>
      </c>
      <c r="T100" s="238"/>
      <c r="U100" s="234"/>
      <c r="V100" s="238"/>
      <c r="W100" s="234"/>
      <c r="X100" s="238"/>
      <c r="Y100" s="234"/>
      <c r="Z100" s="230"/>
    </row>
    <row r="101" spans="7:27">
      <c r="G101" s="241"/>
      <c r="H101" s="242"/>
      <c r="I101" s="242"/>
      <c r="J101" s="242"/>
      <c r="K101" s="243" t="s">
        <v>25</v>
      </c>
      <c r="L101" s="244"/>
      <c r="M101" s="244"/>
      <c r="N101" s="244"/>
      <c r="O101" s="244">
        <f>SUM(O92:O99)</f>
        <v>384013.5</v>
      </c>
      <c r="P101" s="244"/>
      <c r="Q101" s="244"/>
      <c r="R101" s="244"/>
      <c r="S101" s="244">
        <f t="shared" ref="S101:Y101" si="5">SUM(S92:S99)</f>
        <v>384013.5</v>
      </c>
      <c r="T101" s="871">
        <f t="shared" si="5"/>
        <v>4805</v>
      </c>
      <c r="U101" s="871">
        <f t="shared" si="5"/>
        <v>640022.5</v>
      </c>
      <c r="V101" s="871">
        <f t="shared" si="5"/>
        <v>6727.0037172014509</v>
      </c>
      <c r="W101" s="871">
        <f t="shared" si="5"/>
        <v>896032.00000000012</v>
      </c>
      <c r="X101" s="871">
        <f t="shared" si="5"/>
        <v>1921.9962827985489</v>
      </c>
      <c r="Y101" s="871">
        <f t="shared" si="5"/>
        <v>256008.5</v>
      </c>
    </row>
    <row r="111" spans="7:27">
      <c r="J111" s="416"/>
      <c r="K111" s="417"/>
      <c r="M111" s="233"/>
    </row>
    <row r="112" spans="7:27">
      <c r="G112" t="s">
        <v>311</v>
      </c>
      <c r="J112" s="418"/>
      <c r="L112" s="1285" t="s">
        <v>272</v>
      </c>
      <c r="M112" s="1286"/>
      <c r="N112" s="1284" t="s">
        <v>291</v>
      </c>
      <c r="O112" s="1285"/>
      <c r="P112" s="1284" t="s">
        <v>292</v>
      </c>
      <c r="Q112" s="1285"/>
      <c r="R112" s="1284" t="s">
        <v>321</v>
      </c>
      <c r="S112" s="1285"/>
    </row>
    <row r="113" spans="7:23">
      <c r="G113" t="s">
        <v>141</v>
      </c>
      <c r="H113" s="236" t="s">
        <v>147</v>
      </c>
      <c r="I113" s="236" t="s">
        <v>217</v>
      </c>
      <c r="J113" s="236" t="s">
        <v>219</v>
      </c>
      <c r="K113" s="238" t="s">
        <v>148</v>
      </c>
      <c r="L113" s="238" t="s">
        <v>163</v>
      </c>
      <c r="M113" s="239" t="s">
        <v>162</v>
      </c>
      <c r="N113" s="238" t="s">
        <v>169</v>
      </c>
      <c r="O113" s="239" t="s">
        <v>170</v>
      </c>
      <c r="P113" s="238" t="s">
        <v>208</v>
      </c>
      <c r="Q113" s="239" t="s">
        <v>209</v>
      </c>
      <c r="R113" s="238" t="s">
        <v>293</v>
      </c>
      <c r="S113" s="239" t="s">
        <v>294</v>
      </c>
      <c r="T113" t="s">
        <v>2</v>
      </c>
      <c r="U113" t="s">
        <v>257</v>
      </c>
    </row>
    <row r="114" spans="7:23">
      <c r="G114" s="164" t="s">
        <v>143</v>
      </c>
      <c r="H114" s="236" t="s">
        <v>151</v>
      </c>
      <c r="I114" s="237"/>
      <c r="J114" s="428">
        <f>Table57161718[[#This Row],[Total Quantity]]-Table57161718[[#This Row],[Quantity22]]</f>
        <v>0</v>
      </c>
      <c r="K114" s="238">
        <v>465</v>
      </c>
      <c r="M114" s="230">
        <f>Table57161718[[#This Row],[Quantity]]*Table57161718[[#This Row],[Rate]]</f>
        <v>0</v>
      </c>
      <c r="N114" s="238"/>
      <c r="O114" s="230">
        <f>Table57161718[[#This Row],[Quantity2]]*Table57161718[[#This Row],[Rate]]</f>
        <v>0</v>
      </c>
      <c r="P114" s="238"/>
      <c r="Q114" s="230"/>
      <c r="R114" s="238"/>
      <c r="S114" s="230">
        <f>Table57161718[[#This Row],[Quantity222]]*Table57161718[[#This Row],[Rate]]</f>
        <v>0</v>
      </c>
    </row>
    <row r="115" spans="7:23">
      <c r="G115" s="164" t="s">
        <v>144</v>
      </c>
      <c r="H115" s="236" t="s">
        <v>152</v>
      </c>
      <c r="I115" s="237"/>
      <c r="J115" s="428">
        <f>Table57161718[[#This Row],[Total Quantity]]-Table57161718[[#This Row],[Quantity22]]</f>
        <v>0</v>
      </c>
      <c r="K115" s="238">
        <v>390</v>
      </c>
      <c r="M115" s="230">
        <f>Table57161718[[#This Row],[Quantity]]*Table57161718[[#This Row],[Rate]]</f>
        <v>0</v>
      </c>
      <c r="N115" s="238"/>
      <c r="O115" s="230">
        <f>Table57161718[[#This Row],[Quantity2]]*Table57161718[[#This Row],[Rate]]</f>
        <v>0</v>
      </c>
      <c r="P115" s="238"/>
      <c r="Q115" s="230"/>
      <c r="R115" s="238"/>
      <c r="S115" s="230">
        <f>Table57161718[[#This Row],[Quantity222]]*Table57161718[[#This Row],[Rate]]</f>
        <v>0</v>
      </c>
    </row>
    <row r="116" spans="7:23">
      <c r="G116" s="164" t="s">
        <v>142</v>
      </c>
      <c r="H116" s="236" t="s">
        <v>153</v>
      </c>
      <c r="I116" s="237"/>
      <c r="J116" s="428">
        <f>Table57161718[[#This Row],[Total Quantity]]-Table57161718[[#This Row],[Quantity22]]</f>
        <v>0</v>
      </c>
      <c r="K116" s="238">
        <v>200</v>
      </c>
      <c r="M116" s="232">
        <f>Table57161718[[#This Row],[Quantity]]*Table57161718[[#This Row],[Rate]]</f>
        <v>0</v>
      </c>
      <c r="N116" s="238"/>
      <c r="O116" s="232">
        <f>Table57161718[[#This Row],[Quantity2]]*Table57161718[[#This Row],[Rate]]</f>
        <v>0</v>
      </c>
      <c r="P116" s="238"/>
      <c r="Q116" s="232"/>
      <c r="R116" s="238"/>
      <c r="S116" s="232">
        <f>Table57161718[[#This Row],[Quantity222]]*Table57161718[[#This Row],[Rate]]</f>
        <v>0</v>
      </c>
    </row>
    <row r="117" spans="7:23">
      <c r="G117" s="164" t="s">
        <v>145</v>
      </c>
      <c r="H117" s="236" t="s">
        <v>154</v>
      </c>
      <c r="I117" s="237"/>
      <c r="J117" s="428">
        <f>Table57161718[[#This Row],[Total Quantity]]-Table57161718[[#This Row],[Quantity22]]</f>
        <v>0</v>
      </c>
      <c r="K117" s="238">
        <v>90</v>
      </c>
      <c r="M117" s="231">
        <f>Table57161718[[#This Row],[Quantity]]*Table57161718[[#This Row],[Rate]]</f>
        <v>0</v>
      </c>
      <c r="N117" s="255"/>
      <c r="O117" s="569"/>
      <c r="P117" s="240"/>
      <c r="Q117" s="231">
        <f>Table57161718[[#This Row],[Quantity2]]*Table57161718[[#This Row],[Rate]]</f>
        <v>0</v>
      </c>
      <c r="R117" s="240"/>
      <c r="S117" s="231">
        <f>Table57161718[[#This Row],[Quantity222]]*Table57161718[[#This Row],[Rate]]</f>
        <v>0</v>
      </c>
    </row>
    <row r="118" spans="7:23">
      <c r="G118" s="164" t="s">
        <v>146</v>
      </c>
      <c r="H118" s="236" t="s">
        <v>155</v>
      </c>
      <c r="I118" s="236">
        <v>64</v>
      </c>
      <c r="J118" s="561">
        <f>Table57161718[[#This Row],[Total Quantity]]-Table57161718[[#This Row],[Quantity]]-Table57161718[[#This Row],[Quantity22]]-Table57161718[[#This Row],[Quantity222]]</f>
        <v>0.36363636363637042</v>
      </c>
      <c r="K118" s="238">
        <v>275</v>
      </c>
      <c r="M118" s="231"/>
      <c r="N118" s="255"/>
      <c r="O118" s="569"/>
      <c r="P118" s="240">
        <v>31.818181818181817</v>
      </c>
      <c r="Q118" s="231">
        <f>Table57161718[[#This Row],[Quantity22]]*Table57161718[[#This Row],[Rate]]</f>
        <v>8750</v>
      </c>
      <c r="R118" s="240">
        <v>31.818181818181817</v>
      </c>
      <c r="S118" s="231">
        <f>Table57161718[[#This Row],[Quantity222]]*Table57161718[[#This Row],[Rate]]</f>
        <v>8750</v>
      </c>
    </row>
    <row r="119" spans="7:23">
      <c r="G119" s="164" t="s">
        <v>144</v>
      </c>
      <c r="H119" s="236" t="s">
        <v>156</v>
      </c>
      <c r="I119" s="236">
        <v>194</v>
      </c>
      <c r="J119" s="561">
        <f>Table57161718[[#This Row],[Total Quantity]]-Table57161718[[#This Row],[Quantity]]-Table57161718[[#This Row],[Quantity22]]-Table57161718[[#This Row],[Quantity222]]</f>
        <v>-0.44444444444445708</v>
      </c>
      <c r="K119" s="238">
        <v>180</v>
      </c>
      <c r="M119" s="231"/>
      <c r="N119" s="255"/>
      <c r="O119" s="569"/>
      <c r="P119" s="240">
        <v>97.222222222222229</v>
      </c>
      <c r="Q119" s="231">
        <f>Table57161718[[#This Row],[Quantity22]]*Table57161718[[#This Row],[Rate]]</f>
        <v>17500</v>
      </c>
      <c r="R119" s="240">
        <v>97.222222222222229</v>
      </c>
      <c r="S119" s="231">
        <f>Table57161718[[#This Row],[Quantity222]]*Table57161718[[#This Row],[Rate]]</f>
        <v>17500</v>
      </c>
    </row>
    <row r="120" spans="7:23">
      <c r="G120" s="164" t="s">
        <v>142</v>
      </c>
      <c r="H120" s="236" t="s">
        <v>157</v>
      </c>
      <c r="I120" s="236">
        <v>966</v>
      </c>
      <c r="J120" s="561">
        <f>Table57161718[[#This Row],[Total Quantity]]-Table57161718[[#This Row],[Quantity]]-Table57161718[[#This Row],[Quantity22]]-Table57161718[[#This Row],[Quantity222]]</f>
        <v>0.48275862068965125</v>
      </c>
      <c r="K120" s="238">
        <v>145</v>
      </c>
      <c r="L120" s="240"/>
      <c r="M120" s="231"/>
      <c r="N120" s="255"/>
      <c r="O120" s="569"/>
      <c r="P120" s="240">
        <v>482.75862068965517</v>
      </c>
      <c r="Q120" s="231">
        <f>Table57161718[[#This Row],[Quantity22]]*Table57161718[[#This Row],[Rate]]</f>
        <v>70000</v>
      </c>
      <c r="R120" s="240">
        <v>482.75862068965517</v>
      </c>
      <c r="S120" s="231">
        <f>Table57161718[[#This Row],[Quantity222]]*Table57161718[[#This Row],[Rate]]</f>
        <v>70000</v>
      </c>
    </row>
    <row r="121" spans="7:23">
      <c r="G121" s="164" t="s">
        <v>145</v>
      </c>
      <c r="H121" s="237" t="s">
        <v>158</v>
      </c>
      <c r="I121" s="236">
        <v>1921</v>
      </c>
      <c r="J121" s="561">
        <f>Table57161718[[#This Row],[Total Quantity]]-Table57161718[[#This Row],[Quantity]]-Table57161718[[#This Row],[Quantity22]]-Table57161718[[#This Row],[Quantity222]]</f>
        <v>0.26829268292681263</v>
      </c>
      <c r="K121" s="238">
        <v>82</v>
      </c>
      <c r="L121" s="239"/>
      <c r="M121" s="231"/>
      <c r="N121" s="255"/>
      <c r="O121" s="569"/>
      <c r="P121" s="240">
        <v>960.36585365853659</v>
      </c>
      <c r="Q121" s="231">
        <f>Table57161718[[#This Row],[Quantity22]]*Table57161718[[#This Row],[Rate]]</f>
        <v>78750</v>
      </c>
      <c r="R121" s="240">
        <v>960.36585365853659</v>
      </c>
      <c r="S121" s="231">
        <f>Table57161718[[#This Row],[Quantity222]]*Table57161718[[#This Row],[Rate]]</f>
        <v>78750</v>
      </c>
    </row>
    <row r="122" spans="7:23">
      <c r="G122" t="s">
        <v>149</v>
      </c>
      <c r="H122" s="237" t="s">
        <v>159</v>
      </c>
      <c r="I122" s="237"/>
      <c r="J122" s="562"/>
      <c r="K122" s="238">
        <v>275</v>
      </c>
      <c r="M122" s="234"/>
      <c r="N122" s="255"/>
      <c r="O122" s="569"/>
      <c r="P122" s="238"/>
      <c r="Q122" s="231">
        <f>Table57161718[[#This Row],[Quantity22]]*Table57161718[[#This Row],[Rate]]</f>
        <v>0</v>
      </c>
      <c r="R122" s="238"/>
      <c r="S122" s="231">
        <f>Table57161718[[#This Row],[Quantity222]]*Table57161718[[#This Row],[Rate]]</f>
        <v>0</v>
      </c>
    </row>
    <row r="123" spans="7:23">
      <c r="G123" t="s">
        <v>150</v>
      </c>
      <c r="H123" s="237" t="s">
        <v>160</v>
      </c>
      <c r="I123" s="237"/>
      <c r="J123" s="237"/>
      <c r="K123" s="238">
        <v>180</v>
      </c>
      <c r="M123" s="234"/>
      <c r="N123" s="255"/>
      <c r="O123" s="569"/>
      <c r="P123" s="238"/>
      <c r="Q123" s="234">
        <f>Table57161718[[#This Row],[Quantity2]]*Table57161718[[#This Row],[Rate]]</f>
        <v>0</v>
      </c>
      <c r="R123" s="238"/>
      <c r="S123" s="234">
        <f>Table57161718[[#This Row],[Quantity222]]*Table57161718[[#This Row],[Rate]]</f>
        <v>0</v>
      </c>
      <c r="W123">
        <v>210000</v>
      </c>
    </row>
    <row r="124" spans="7:23">
      <c r="G124" s="241"/>
      <c r="H124" s="242"/>
      <c r="I124" s="242"/>
      <c r="J124" s="242"/>
      <c r="K124" s="243" t="s">
        <v>25</v>
      </c>
      <c r="L124" s="244"/>
      <c r="M124" s="244"/>
      <c r="N124" s="255"/>
      <c r="O124" s="569"/>
      <c r="P124" s="244"/>
      <c r="Q124" s="244">
        <f>SUM(Q117:Q121)</f>
        <v>175000</v>
      </c>
      <c r="R124" s="244"/>
      <c r="S124" s="244">
        <f>SUM(S117:S121)</f>
        <v>175000</v>
      </c>
      <c r="W124">
        <v>693000</v>
      </c>
    </row>
    <row r="125" spans="7:23">
      <c r="W125">
        <v>85000</v>
      </c>
    </row>
    <row r="126" spans="7:23">
      <c r="W126">
        <v>384013.5</v>
      </c>
    </row>
    <row r="127" spans="7:23">
      <c r="W127">
        <v>175000</v>
      </c>
    </row>
    <row r="133" spans="7:23">
      <c r="J133" s="416"/>
      <c r="K133" s="417"/>
      <c r="M133" s="233"/>
    </row>
    <row r="134" spans="7:23">
      <c r="G134" t="s">
        <v>322</v>
      </c>
      <c r="J134" s="418"/>
      <c r="L134" s="1285" t="s">
        <v>272</v>
      </c>
      <c r="M134" s="1286"/>
      <c r="N134" s="1284" t="s">
        <v>291</v>
      </c>
      <c r="O134" s="1285"/>
      <c r="P134" s="1284" t="s">
        <v>292</v>
      </c>
      <c r="Q134" s="1285"/>
      <c r="R134" s="1284" t="s">
        <v>321</v>
      </c>
      <c r="S134" s="1285"/>
      <c r="T134" s="1284" t="s">
        <v>399</v>
      </c>
      <c r="U134" s="1285"/>
      <c r="V134" s="1284" t="s">
        <v>531</v>
      </c>
      <c r="W134" s="1285"/>
    </row>
    <row r="135" spans="7:23">
      <c r="G135" t="s">
        <v>141</v>
      </c>
      <c r="H135" s="236" t="s">
        <v>147</v>
      </c>
      <c r="I135" s="236" t="s">
        <v>217</v>
      </c>
      <c r="J135" s="236" t="s">
        <v>219</v>
      </c>
      <c r="K135" s="238" t="s">
        <v>148</v>
      </c>
      <c r="L135" s="238" t="s">
        <v>163</v>
      </c>
      <c r="M135" s="239" t="s">
        <v>162</v>
      </c>
      <c r="N135" s="238" t="s">
        <v>169</v>
      </c>
      <c r="O135" s="239" t="s">
        <v>170</v>
      </c>
      <c r="P135" s="238" t="s">
        <v>2</v>
      </c>
      <c r="Q135" s="239" t="s">
        <v>257</v>
      </c>
      <c r="R135" s="238" t="s">
        <v>293</v>
      </c>
      <c r="S135" s="239" t="s">
        <v>294</v>
      </c>
      <c r="T135" t="s">
        <v>258</v>
      </c>
      <c r="U135" t="s">
        <v>259</v>
      </c>
      <c r="V135" t="s">
        <v>283</v>
      </c>
      <c r="W135" t="s">
        <v>284</v>
      </c>
    </row>
    <row r="136" spans="7:23">
      <c r="G136" s="164" t="s">
        <v>143</v>
      </c>
      <c r="H136" s="236" t="s">
        <v>151</v>
      </c>
      <c r="I136" s="237"/>
      <c r="J136" s="428">
        <f>Table5716171819[[#This Row],[Total Quantity]]-Table5716171819[[#This Row],[Column1]]</f>
        <v>0</v>
      </c>
      <c r="K136" s="238">
        <v>465</v>
      </c>
      <c r="M136" s="230">
        <f>Table5716171819[[#This Row],[Quantity]]*Table5716171819[[#This Row],[Rate]]</f>
        <v>0</v>
      </c>
      <c r="N136" s="238"/>
      <c r="O136" s="230">
        <f>Table5716171819[[#This Row],[Quantity2]]*Table5716171819[[#This Row],[Rate]]</f>
        <v>0</v>
      </c>
      <c r="P136" s="238"/>
      <c r="Q136" s="230"/>
      <c r="R136" s="238"/>
      <c r="S136" s="230"/>
      <c r="U136" s="231">
        <f>Table5716171819[[#This Row],[Column3]]*Table5716171819[[#This Row],[Rate]]</f>
        <v>0</v>
      </c>
      <c r="W136">
        <f>Table5716171819[[#This Row],[Column5]]*Table5716171819[[#This Row],[Rate]]</f>
        <v>0</v>
      </c>
    </row>
    <row r="137" spans="7:23">
      <c r="G137" s="164" t="s">
        <v>144</v>
      </c>
      <c r="H137" s="236" t="s">
        <v>152</v>
      </c>
      <c r="I137" s="237"/>
      <c r="J137" s="428">
        <f>Table5716171819[[#This Row],[Total Quantity]]-Table5716171819[[#This Row],[Column1]]</f>
        <v>0</v>
      </c>
      <c r="K137" s="238">
        <v>390</v>
      </c>
      <c r="M137" s="230">
        <f>Table5716171819[[#This Row],[Quantity]]*Table5716171819[[#This Row],[Rate]]</f>
        <v>0</v>
      </c>
      <c r="N137" s="238"/>
      <c r="O137" s="230">
        <f>Table5716171819[[#This Row],[Quantity2]]*Table5716171819[[#This Row],[Rate]]</f>
        <v>0</v>
      </c>
      <c r="P137" s="238"/>
      <c r="Q137" s="230"/>
      <c r="R137" s="238"/>
      <c r="S137" s="230"/>
      <c r="U137" s="231">
        <f>Table5716171819[[#This Row],[Column3]]*Table5716171819[[#This Row],[Rate]]</f>
        <v>0</v>
      </c>
      <c r="W137">
        <f>Table5716171819[[#This Row],[Column5]]*Table5716171819[[#This Row],[Rate]]</f>
        <v>0</v>
      </c>
    </row>
    <row r="138" spans="7:23">
      <c r="G138" s="164" t="s">
        <v>142</v>
      </c>
      <c r="H138" s="236" t="s">
        <v>153</v>
      </c>
      <c r="I138" s="237"/>
      <c r="J138" s="428">
        <f>Table5716171819[[#This Row],[Total Quantity]]-Table5716171819[[#This Row],[Column1]]</f>
        <v>0</v>
      </c>
      <c r="K138" s="238">
        <v>200</v>
      </c>
      <c r="M138" s="232">
        <f>Table5716171819[[#This Row],[Quantity]]*Table5716171819[[#This Row],[Rate]]</f>
        <v>0</v>
      </c>
      <c r="N138" s="238"/>
      <c r="O138" s="232">
        <f>Table5716171819[[#This Row],[Quantity2]]*Table5716171819[[#This Row],[Rate]]</f>
        <v>0</v>
      </c>
      <c r="P138" s="238"/>
      <c r="Q138" s="232"/>
      <c r="R138" s="238"/>
      <c r="S138" s="232"/>
      <c r="U138" s="231">
        <f>Table5716171819[[#This Row],[Column3]]*Table5716171819[[#This Row],[Rate]]</f>
        <v>0</v>
      </c>
      <c r="W138">
        <f>Table5716171819[[#This Row],[Column5]]*Table5716171819[[#This Row],[Rate]]</f>
        <v>0</v>
      </c>
    </row>
    <row r="139" spans="7:23">
      <c r="G139" s="164" t="s">
        <v>145</v>
      </c>
      <c r="H139" s="236" t="s">
        <v>154</v>
      </c>
      <c r="I139" s="237"/>
      <c r="J139" s="428">
        <f>Table5716171819[[#This Row],[Total Quantity]]-Table5716171819[[#This Row],[Column1]]</f>
        <v>0</v>
      </c>
      <c r="K139" s="238">
        <v>90</v>
      </c>
      <c r="M139" s="231">
        <f>Table5716171819[[#This Row],[Quantity]]*Table5716171819[[#This Row],[Rate]]</f>
        <v>0</v>
      </c>
      <c r="N139" s="255"/>
      <c r="O139" s="569"/>
      <c r="P139" s="240"/>
      <c r="Q139" s="231"/>
      <c r="R139" s="240"/>
      <c r="S139" s="231">
        <f>Table5716171819[[#This Row],[Quantity2]]*Table5716171819[[#This Row],[Rate]]</f>
        <v>0</v>
      </c>
      <c r="U139" s="231">
        <f>Table5716171819[[#This Row],[Column3]]*Table5716171819[[#This Row],[Rate]]</f>
        <v>0</v>
      </c>
      <c r="W139">
        <f>Table5716171819[[#This Row],[Column5]]*Table5716171819[[#This Row],[Rate]]</f>
        <v>0</v>
      </c>
    </row>
    <row r="140" spans="7:23">
      <c r="G140" s="164" t="s">
        <v>146</v>
      </c>
      <c r="H140" s="236" t="s">
        <v>155</v>
      </c>
      <c r="I140" s="236">
        <v>127.27</v>
      </c>
      <c r="J140" s="561">
        <f>Table5716171819[[#This Row],[Total Quantity]]-Table5716171819[[#This Row],[Quantity222]]</f>
        <v>89.088181818181823</v>
      </c>
      <c r="K140" s="238">
        <v>275</v>
      </c>
      <c r="M140" s="231"/>
      <c r="N140" s="255"/>
      <c r="O140" s="569"/>
      <c r="P140" s="240"/>
      <c r="Q140" s="231"/>
      <c r="R140" s="240">
        <v>38.18181818181818</v>
      </c>
      <c r="S140" s="231">
        <f>Table5716171819[[#This Row],[Quantity222]]*Table5716171819[[#This Row],[Rate]]</f>
        <v>10500</v>
      </c>
      <c r="T140" s="230">
        <v>31.82</v>
      </c>
      <c r="U140" s="230">
        <f>Table5716171819[[#This Row],[Column3]]*Table5716171819[[#This Row],[Rate]]</f>
        <v>8750.5</v>
      </c>
      <c r="V140">
        <v>25.25</v>
      </c>
      <c r="W140">
        <f>Table5716171819[[#This Row],[Column5]]*Table5716171819[[#This Row],[Rate]]</f>
        <v>6943.75</v>
      </c>
    </row>
    <row r="141" spans="7:23">
      <c r="G141" s="164" t="s">
        <v>144</v>
      </c>
      <c r="H141" s="236" t="s">
        <v>156</v>
      </c>
      <c r="I141" s="236">
        <v>388.89</v>
      </c>
      <c r="J141" s="561">
        <f>Table5716171819[[#This Row],[Total Quantity]]-Table5716171819[[#This Row],[Quantity222]]</f>
        <v>272.2233333333333</v>
      </c>
      <c r="K141" s="238">
        <v>180</v>
      </c>
      <c r="M141" s="231"/>
      <c r="N141" s="255"/>
      <c r="O141" s="569"/>
      <c r="P141" s="240"/>
      <c r="Q141" s="231"/>
      <c r="R141" s="240">
        <v>116.66666666666667</v>
      </c>
      <c r="S141" s="231">
        <f>Table5716171819[[#This Row],[Quantity222]]*Table5716171819[[#This Row],[Rate]]</f>
        <v>21000</v>
      </c>
      <c r="T141" s="230">
        <v>97.22</v>
      </c>
      <c r="U141" s="230">
        <f>Table5716171819[[#This Row],[Column3]]*Table5716171819[[#This Row],[Rate]]</f>
        <v>17499.599999999999</v>
      </c>
      <c r="V141">
        <v>77.78</v>
      </c>
      <c r="W141">
        <f>Table5716171819[[#This Row],[Column5]]*Table5716171819[[#This Row],[Rate]]</f>
        <v>14000.4</v>
      </c>
    </row>
    <row r="142" spans="7:23">
      <c r="G142" s="164" t="s">
        <v>142</v>
      </c>
      <c r="H142" s="236" t="s">
        <v>157</v>
      </c>
      <c r="I142" s="236">
        <v>1931.03</v>
      </c>
      <c r="J142" s="561">
        <f>Table5716171819[[#This Row],[Total Quantity]]-Table5716171819[[#This Row],[Quantity222]]</f>
        <v>1351.7196551724137</v>
      </c>
      <c r="K142" s="238">
        <v>145</v>
      </c>
      <c r="L142" s="240"/>
      <c r="M142" s="231"/>
      <c r="N142" s="255"/>
      <c r="O142" s="569"/>
      <c r="P142" s="240"/>
      <c r="Q142" s="231"/>
      <c r="R142" s="240">
        <v>579.31034482758616</v>
      </c>
      <c r="S142" s="231">
        <f>Table5716171819[[#This Row],[Quantity222]]*Table5716171819[[#This Row],[Rate]]</f>
        <v>84000</v>
      </c>
      <c r="T142" s="230">
        <v>482.76</v>
      </c>
      <c r="U142" s="230">
        <f>Table5716171819[[#This Row],[Column3]]*Table5716171819[[#This Row],[Rate]]</f>
        <v>70000.2</v>
      </c>
      <c r="V142">
        <v>386.21</v>
      </c>
      <c r="W142">
        <f>Table5716171819[[#This Row],[Column5]]*Table5716171819[[#This Row],[Rate]]</f>
        <v>56000.45</v>
      </c>
    </row>
    <row r="143" spans="7:23">
      <c r="G143" s="164" t="s">
        <v>145</v>
      </c>
      <c r="H143" s="237" t="s">
        <v>158</v>
      </c>
      <c r="I143" s="236">
        <v>3841.46</v>
      </c>
      <c r="J143" s="561">
        <f>Table5716171819[[#This Row],[Total Quantity]]-Table5716171819[[#This Row],[Quantity222]]</f>
        <v>2689.0209756097561</v>
      </c>
      <c r="K143" s="238">
        <v>82</v>
      </c>
      <c r="L143" s="239"/>
      <c r="M143" s="231"/>
      <c r="N143" s="255"/>
      <c r="O143" s="569"/>
      <c r="P143" s="240"/>
      <c r="Q143" s="231"/>
      <c r="R143" s="240">
        <v>1152.439024390244</v>
      </c>
      <c r="S143" s="231">
        <f>Table5716171819[[#This Row],[Quantity222]]*Table5716171819[[#This Row],[Rate]]</f>
        <v>94500</v>
      </c>
      <c r="T143" s="230">
        <v>960.37</v>
      </c>
      <c r="U143" s="230">
        <f>Table5716171819[[#This Row],[Column3]]*Table5716171819[[#This Row],[Rate]]</f>
        <v>78750.34</v>
      </c>
      <c r="V143">
        <v>768.29</v>
      </c>
      <c r="W143">
        <f>Table5716171819[[#This Row],[Column5]]*Table5716171819[[#This Row],[Rate]]</f>
        <v>62999.78</v>
      </c>
    </row>
    <row r="144" spans="7:23">
      <c r="G144" t="s">
        <v>149</v>
      </c>
      <c r="H144" s="237" t="s">
        <v>159</v>
      </c>
      <c r="I144" s="237"/>
      <c r="J144" s="562"/>
      <c r="K144" s="238">
        <v>275</v>
      </c>
      <c r="M144" s="234"/>
      <c r="N144" s="255"/>
      <c r="O144" s="569"/>
      <c r="P144" s="238"/>
      <c r="Q144" s="231"/>
      <c r="R144" s="238"/>
      <c r="S144" s="231">
        <f>Table5716171819[[#This Row],[Column1]]*Table5716171819[[#This Row],[Rate]]</f>
        <v>0</v>
      </c>
      <c r="T144" s="230"/>
      <c r="U144" s="230"/>
      <c r="W144">
        <f>Table5716171819[[#This Row],[Column5]]*Table5716171819[[#This Row],[Rate]]</f>
        <v>0</v>
      </c>
    </row>
    <row r="145" spans="7:23">
      <c r="G145" t="s">
        <v>150</v>
      </c>
      <c r="H145" s="237" t="s">
        <v>160</v>
      </c>
      <c r="I145" s="237"/>
      <c r="J145" s="237"/>
      <c r="K145" s="238">
        <v>180</v>
      </c>
      <c r="M145" s="234"/>
      <c r="N145" s="255"/>
      <c r="O145" s="569"/>
      <c r="P145" s="238"/>
      <c r="Q145" s="234"/>
      <c r="R145" s="238"/>
      <c r="S145" s="234">
        <f>Table5716171819[[#This Row],[Quantity2]]*Table5716171819[[#This Row],[Rate]]</f>
        <v>0</v>
      </c>
      <c r="U145" s="231"/>
      <c r="W145">
        <f>Table5716171819[[#This Row],[Column5]]*Table5716171819[[#This Row],[Rate]]</f>
        <v>0</v>
      </c>
    </row>
    <row r="146" spans="7:23">
      <c r="G146" s="241"/>
      <c r="H146" s="242"/>
      <c r="I146" s="242"/>
      <c r="J146" s="242"/>
      <c r="K146" s="243" t="s">
        <v>25</v>
      </c>
      <c r="L146" s="244"/>
      <c r="M146" s="244"/>
      <c r="N146" s="255"/>
      <c r="O146" s="569"/>
      <c r="P146" s="244"/>
      <c r="Q146" s="244"/>
      <c r="R146" s="244"/>
      <c r="S146" s="244">
        <f>SUM(S139:S143)</f>
        <v>210000</v>
      </c>
      <c r="U146" s="244">
        <f>SUM(U140:U143)</f>
        <v>175000.63999999998</v>
      </c>
      <c r="V146" s="244"/>
      <c r="W146" s="244">
        <v>140000</v>
      </c>
    </row>
    <row r="152" spans="7:23">
      <c r="J152" s="416"/>
      <c r="K152" s="417"/>
      <c r="M152" s="233"/>
    </row>
    <row r="153" spans="7:23">
      <c r="G153" t="s">
        <v>324</v>
      </c>
      <c r="J153" s="418"/>
      <c r="L153" s="1285" t="s">
        <v>272</v>
      </c>
      <c r="M153" s="1286"/>
      <c r="N153" s="1284" t="s">
        <v>291</v>
      </c>
      <c r="O153" s="1285"/>
      <c r="P153" s="1284" t="s">
        <v>292</v>
      </c>
      <c r="Q153" s="1285"/>
      <c r="R153" s="1284" t="s">
        <v>321</v>
      </c>
      <c r="S153" s="1285"/>
      <c r="T153" s="1284" t="s">
        <v>605</v>
      </c>
      <c r="U153" s="1285"/>
      <c r="V153" s="1284" t="s">
        <v>606</v>
      </c>
      <c r="W153" s="1285"/>
    </row>
    <row r="154" spans="7:23">
      <c r="G154" t="s">
        <v>141</v>
      </c>
      <c r="H154" s="236" t="s">
        <v>147</v>
      </c>
      <c r="I154" s="236" t="s">
        <v>217</v>
      </c>
      <c r="J154" s="236" t="s">
        <v>219</v>
      </c>
      <c r="K154" s="238" t="s">
        <v>148</v>
      </c>
      <c r="L154" s="238" t="s">
        <v>163</v>
      </c>
      <c r="M154" s="239" t="s">
        <v>162</v>
      </c>
      <c r="N154" s="238" t="s">
        <v>169</v>
      </c>
      <c r="O154" s="239" t="s">
        <v>170</v>
      </c>
      <c r="P154" s="238" t="s">
        <v>2</v>
      </c>
      <c r="Q154" s="239" t="s">
        <v>257</v>
      </c>
      <c r="R154" s="238" t="s">
        <v>293</v>
      </c>
      <c r="S154" s="239" t="s">
        <v>294</v>
      </c>
      <c r="T154" t="s">
        <v>258</v>
      </c>
      <c r="U154" t="s">
        <v>259</v>
      </c>
      <c r="V154" t="s">
        <v>283</v>
      </c>
    </row>
    <row r="155" spans="7:23">
      <c r="G155" s="164" t="s">
        <v>143</v>
      </c>
      <c r="H155" s="236" t="s">
        <v>151</v>
      </c>
      <c r="I155" s="237"/>
      <c r="J155" s="428">
        <f>Table571617181921[[#This Row],[Total Quantity]]-Table571617181921[[#This Row],[Column1]]</f>
        <v>0</v>
      </c>
      <c r="K155" s="238">
        <v>465</v>
      </c>
      <c r="M155" s="230">
        <f>Table571617181921[[#This Row],[Quantity]]*Table571617181921[[#This Row],[Rate]]</f>
        <v>0</v>
      </c>
      <c r="N155" s="238"/>
      <c r="O155" s="230">
        <f>Table571617181921[[#This Row],[Quantity2]]*Table571617181921[[#This Row],[Rate]]</f>
        <v>0</v>
      </c>
      <c r="P155" s="238"/>
      <c r="Q155" s="230"/>
      <c r="R155" s="238"/>
      <c r="S155" s="230"/>
      <c r="U155" s="231">
        <f>Table571617181921[[#This Row],[Column3]]*Table571617181921[[#This Row],[Rate]]</f>
        <v>0</v>
      </c>
    </row>
    <row r="156" spans="7:23">
      <c r="G156" s="164" t="s">
        <v>144</v>
      </c>
      <c r="H156" s="236" t="s">
        <v>152</v>
      </c>
      <c r="I156" s="237"/>
      <c r="J156" s="428">
        <f>Table571617181921[[#This Row],[Total Quantity]]-Table571617181921[[#This Row],[Column1]]</f>
        <v>0</v>
      </c>
      <c r="K156" s="238">
        <v>390</v>
      </c>
      <c r="M156" s="230">
        <f>Table571617181921[[#This Row],[Quantity]]*Table571617181921[[#This Row],[Rate]]</f>
        <v>0</v>
      </c>
      <c r="N156" s="238"/>
      <c r="O156" s="230">
        <f>Table571617181921[[#This Row],[Quantity2]]*Table571617181921[[#This Row],[Rate]]</f>
        <v>0</v>
      </c>
      <c r="P156" s="238"/>
      <c r="Q156" s="230"/>
      <c r="R156" s="238"/>
      <c r="S156" s="230"/>
      <c r="U156" s="231">
        <f>Table571617181921[[#This Row],[Column3]]*Table571617181921[[#This Row],[Rate]]</f>
        <v>0</v>
      </c>
    </row>
    <row r="157" spans="7:23">
      <c r="G157" s="164" t="s">
        <v>142</v>
      </c>
      <c r="H157" s="236" t="s">
        <v>153</v>
      </c>
      <c r="I157" s="237"/>
      <c r="J157" s="428">
        <f>Table571617181921[[#This Row],[Total Quantity]]-Table571617181921[[#This Row],[Column1]]</f>
        <v>0</v>
      </c>
      <c r="K157" s="238">
        <v>200</v>
      </c>
      <c r="M157" s="232">
        <f>Table571617181921[[#This Row],[Quantity]]*Table571617181921[[#This Row],[Rate]]</f>
        <v>0</v>
      </c>
      <c r="N157" s="238"/>
      <c r="O157" s="232">
        <f>Table571617181921[[#This Row],[Quantity2]]*Table571617181921[[#This Row],[Rate]]</f>
        <v>0</v>
      </c>
      <c r="P157" s="238"/>
      <c r="Q157" s="232"/>
      <c r="R157" s="238"/>
      <c r="S157" s="232"/>
      <c r="U157" s="231">
        <f>Table571617181921[[#This Row],[Column3]]*Table571617181921[[#This Row],[Rate]]</f>
        <v>0</v>
      </c>
    </row>
    <row r="158" spans="7:23">
      <c r="G158" s="164" t="s">
        <v>145</v>
      </c>
      <c r="H158" s="236" t="s">
        <v>154</v>
      </c>
      <c r="I158" s="237"/>
      <c r="J158" s="428">
        <f>Table571617181921[[#This Row],[Total Quantity]]-Table571617181921[[#This Row],[Column1]]</f>
        <v>0</v>
      </c>
      <c r="K158" s="238">
        <v>90</v>
      </c>
      <c r="M158" s="231">
        <f>Table571617181921[[#This Row],[Quantity]]*Table571617181921[[#This Row],[Rate]]</f>
        <v>0</v>
      </c>
      <c r="N158" s="255"/>
      <c r="O158" s="569"/>
      <c r="P158" s="240"/>
      <c r="Q158" s="231"/>
      <c r="R158" s="240"/>
      <c r="S158" s="231">
        <f>Table571617181921[[#This Row],[Quantity2]]*Table571617181921[[#This Row],[Rate]]</f>
        <v>0</v>
      </c>
      <c r="U158" s="231">
        <f>Table571617181921[[#This Row],[Column3]]*Table571617181921[[#This Row],[Rate]]</f>
        <v>0</v>
      </c>
    </row>
    <row r="159" spans="7:23">
      <c r="G159" s="164" t="s">
        <v>146</v>
      </c>
      <c r="H159" s="236" t="s">
        <v>155</v>
      </c>
      <c r="I159" s="236">
        <v>420</v>
      </c>
      <c r="J159" s="561">
        <f>Table571617181921[[#This Row],[Total Quantity]]-Table571617181921[[#This Row],[Quantity222]]</f>
        <v>294</v>
      </c>
      <c r="K159" s="238">
        <v>275</v>
      </c>
      <c r="M159" s="231"/>
      <c r="N159" s="255"/>
      <c r="O159" s="569"/>
      <c r="P159" s="240"/>
      <c r="Q159" s="231"/>
      <c r="R159" s="240">
        <v>126</v>
      </c>
      <c r="S159" s="231">
        <f>Table571617181921[[#This Row],[Quantity222]]*Table571617181921[[#This Row],[Rate]]</f>
        <v>34650</v>
      </c>
      <c r="T159" s="230">
        <v>105</v>
      </c>
      <c r="U159" s="230">
        <f>Table571617181921[[#This Row],[Column3]]*Table571617181921[[#This Row],[Rate]]</f>
        <v>28875</v>
      </c>
    </row>
    <row r="160" spans="7:23">
      <c r="G160" s="164" t="s">
        <v>144</v>
      </c>
      <c r="H160" s="236" t="s">
        <v>156</v>
      </c>
      <c r="I160" s="236">
        <v>1283</v>
      </c>
      <c r="J160" s="561">
        <f>Table571617181921[[#This Row],[Total Quantity]]-Table571617181921[[#This Row],[Quantity222]]</f>
        <v>898</v>
      </c>
      <c r="K160" s="238">
        <v>180</v>
      </c>
      <c r="M160" s="231"/>
      <c r="N160" s="255"/>
      <c r="O160" s="569"/>
      <c r="P160" s="240"/>
      <c r="Q160" s="231"/>
      <c r="R160" s="240">
        <v>385</v>
      </c>
      <c r="S160" s="231">
        <f>Table571617181921[[#This Row],[Quantity222]]*Table571617181921[[#This Row],[Rate]]</f>
        <v>69300</v>
      </c>
      <c r="T160" s="230">
        <v>320.83</v>
      </c>
      <c r="U160" s="230">
        <f>Table571617181921[[#This Row],[Column3]]*Table571617181921[[#This Row],[Rate]]</f>
        <v>57749.399999999994</v>
      </c>
    </row>
    <row r="161" spans="7:23">
      <c r="G161" s="164" t="s">
        <v>142</v>
      </c>
      <c r="H161" s="236" t="s">
        <v>157</v>
      </c>
      <c r="I161" s="236">
        <v>6372</v>
      </c>
      <c r="J161" s="561">
        <f>Table571617181921[[#This Row],[Total Quantity]]-Table571617181921[[#This Row],[Quantity222]]</f>
        <v>4460.2758620689656</v>
      </c>
      <c r="K161" s="238">
        <v>145</v>
      </c>
      <c r="L161" s="240"/>
      <c r="M161" s="231"/>
      <c r="N161" s="255"/>
      <c r="O161" s="569"/>
      <c r="P161" s="240"/>
      <c r="Q161" s="231"/>
      <c r="R161" s="240">
        <v>1911.7241379310344</v>
      </c>
      <c r="S161" s="231">
        <f>Table571617181921[[#This Row],[Quantity222]]*Table571617181921[[#This Row],[Rate]]</f>
        <v>277200</v>
      </c>
      <c r="T161" s="230">
        <v>1593.1</v>
      </c>
      <c r="U161" s="230">
        <f>Table571617181921[[#This Row],[Column3]]*Table571617181921[[#This Row],[Rate]]</f>
        <v>230999.5</v>
      </c>
    </row>
    <row r="162" spans="7:23">
      <c r="G162" s="164" t="s">
        <v>145</v>
      </c>
      <c r="H162" s="237" t="s">
        <v>158</v>
      </c>
      <c r="I162" s="236">
        <v>12677</v>
      </c>
      <c r="J162" s="561">
        <f>Table571617181921[[#This Row],[Total Quantity]]-Table571617181921[[#This Row],[Quantity222]]</f>
        <v>8873.9512195121952</v>
      </c>
      <c r="K162" s="238">
        <v>82</v>
      </c>
      <c r="L162" s="239"/>
      <c r="M162" s="231"/>
      <c r="N162" s="255"/>
      <c r="O162" s="569"/>
      <c r="P162" s="240"/>
      <c r="Q162" s="231"/>
      <c r="R162" s="240">
        <v>3803.0487804878048</v>
      </c>
      <c r="S162" s="231">
        <f>Table571617181921[[#This Row],[Quantity222]]*Table571617181921[[#This Row],[Rate]]</f>
        <v>311850</v>
      </c>
      <c r="T162" s="230">
        <v>3169.21</v>
      </c>
      <c r="U162" s="230">
        <f>Table571617181921[[#This Row],[Column3]]*Table571617181921[[#This Row],[Rate]]</f>
        <v>259875.22</v>
      </c>
    </row>
    <row r="163" spans="7:23">
      <c r="G163" t="s">
        <v>149</v>
      </c>
      <c r="H163" s="237" t="s">
        <v>159</v>
      </c>
      <c r="I163" s="237"/>
      <c r="J163" s="562"/>
      <c r="K163" s="238">
        <v>275</v>
      </c>
      <c r="M163" s="234"/>
      <c r="N163" s="255"/>
      <c r="O163" s="569"/>
      <c r="P163" s="238"/>
      <c r="Q163" s="231"/>
      <c r="R163" s="238"/>
      <c r="S163" s="231">
        <f>Table571617181921[[#This Row],[Column1]]*Table571617181921[[#This Row],[Rate]]</f>
        <v>0</v>
      </c>
      <c r="T163" s="230"/>
      <c r="U163" s="230"/>
    </row>
    <row r="164" spans="7:23">
      <c r="G164" t="s">
        <v>150</v>
      </c>
      <c r="H164" s="237" t="s">
        <v>160</v>
      </c>
      <c r="I164" s="237"/>
      <c r="J164" s="237"/>
      <c r="K164" s="238">
        <v>180</v>
      </c>
      <c r="M164" s="234"/>
      <c r="N164" s="255"/>
      <c r="O164" s="569"/>
      <c r="P164" s="238"/>
      <c r="Q164" s="234"/>
      <c r="R164" s="238"/>
      <c r="S164" s="234">
        <f>Table571617181921[[#This Row],[Quantity2]]*Table571617181921[[#This Row],[Rate]]</f>
        <v>0</v>
      </c>
      <c r="U164" s="231"/>
    </row>
    <row r="165" spans="7:23">
      <c r="G165" s="241"/>
      <c r="H165" s="242"/>
      <c r="I165" s="242"/>
      <c r="J165" s="242"/>
      <c r="K165" s="243" t="s">
        <v>25</v>
      </c>
      <c r="L165" s="244"/>
      <c r="M165" s="244"/>
      <c r="N165" s="255"/>
      <c r="O165" s="569"/>
      <c r="P165" s="244"/>
      <c r="Q165" s="244"/>
      <c r="R165" s="244"/>
      <c r="S165" s="244">
        <f>SUM(S158:S162)</f>
        <v>693000</v>
      </c>
      <c r="U165" s="231" t="e">
        <f>Table571617181921[[#This Row],[Column3]]*Table571617181921[[#This Row],[Rate]]</f>
        <v>#VALUE!</v>
      </c>
    </row>
    <row r="166" spans="7:23">
      <c r="I166" s="236"/>
      <c r="J166" s="236"/>
      <c r="K166" s="236"/>
      <c r="L166" s="236"/>
      <c r="M166" s="1247"/>
      <c r="N166" s="948"/>
      <c r="O166" s="1247"/>
      <c r="P166" s="948"/>
      <c r="Q166" s="1247"/>
      <c r="U166" s="231">
        <f>SUBTOTAL(109,U159:U164)</f>
        <v>577499.12</v>
      </c>
    </row>
    <row r="170" spans="7:23">
      <c r="J170" s="416"/>
      <c r="K170" s="417"/>
      <c r="M170" s="233"/>
    </row>
    <row r="171" spans="7:23">
      <c r="G171" t="s">
        <v>350</v>
      </c>
      <c r="J171" s="418"/>
      <c r="L171" s="1285" t="s">
        <v>272</v>
      </c>
      <c r="M171" s="1286"/>
      <c r="N171" s="1284" t="s">
        <v>291</v>
      </c>
      <c r="O171" s="1285"/>
      <c r="P171" s="1284" t="s">
        <v>292</v>
      </c>
      <c r="Q171" s="1285"/>
      <c r="R171" s="1284" t="s">
        <v>321</v>
      </c>
      <c r="S171" s="1285"/>
      <c r="T171" s="1284" t="s">
        <v>376</v>
      </c>
      <c r="U171" s="1285"/>
      <c r="V171" s="1284" t="s">
        <v>403</v>
      </c>
      <c r="W171" s="1285"/>
    </row>
    <row r="172" spans="7:23">
      <c r="G172" t="s">
        <v>141</v>
      </c>
      <c r="H172" s="236" t="s">
        <v>147</v>
      </c>
      <c r="I172" s="236" t="s">
        <v>217</v>
      </c>
      <c r="J172" s="236" t="s">
        <v>219</v>
      </c>
      <c r="K172" s="238" t="s">
        <v>148</v>
      </c>
      <c r="L172" s="238" t="s">
        <v>163</v>
      </c>
      <c r="M172" s="239" t="s">
        <v>162</v>
      </c>
      <c r="N172" s="238" t="s">
        <v>169</v>
      </c>
      <c r="O172" s="239" t="s">
        <v>170</v>
      </c>
      <c r="P172" s="238" t="s">
        <v>2</v>
      </c>
      <c r="Q172" s="239" t="s">
        <v>257</v>
      </c>
      <c r="R172" s="238" t="s">
        <v>293</v>
      </c>
      <c r="S172" s="239" t="s">
        <v>294</v>
      </c>
      <c r="T172" t="s">
        <v>258</v>
      </c>
      <c r="U172" t="s">
        <v>259</v>
      </c>
      <c r="V172" t="s">
        <v>404</v>
      </c>
      <c r="W172" s="239" t="s">
        <v>402</v>
      </c>
    </row>
    <row r="173" spans="7:23">
      <c r="G173" s="164" t="s">
        <v>143</v>
      </c>
      <c r="H173" s="236" t="s">
        <v>151</v>
      </c>
      <c r="I173" s="237"/>
      <c r="J173" s="428">
        <f>Table57161718192123[[#This Row],[Total Quantity]]-Table57161718192123[[#This Row],[Column1]]</f>
        <v>0</v>
      </c>
      <c r="K173" s="238">
        <v>465</v>
      </c>
      <c r="M173" s="230">
        <f>Table57161718192123[[#This Row],[Quantity]]*Table57161718192123[[#This Row],[Rate]]</f>
        <v>0</v>
      </c>
      <c r="N173" s="238"/>
      <c r="O173" s="230">
        <f>Table57161718192123[[#This Row],[Quantity2]]*Table57161718192123[[#This Row],[Rate]]</f>
        <v>0</v>
      </c>
      <c r="P173" s="238"/>
      <c r="Q173" s="230"/>
      <c r="R173" s="238"/>
      <c r="S173" s="230"/>
      <c r="W173">
        <f>Table57161718192123[[#This Row],[Quantity223]]*Table57161718192123[[#This Row],[Rate]]</f>
        <v>0</v>
      </c>
    </row>
    <row r="174" spans="7:23">
      <c r="G174" s="164" t="s">
        <v>144</v>
      </c>
      <c r="H174" s="236" t="s">
        <v>152</v>
      </c>
      <c r="I174" s="237"/>
      <c r="J174" s="428">
        <f>Table57161718192123[[#This Row],[Total Quantity]]-Table57161718192123[[#This Row],[Column1]]</f>
        <v>0</v>
      </c>
      <c r="K174" s="238">
        <v>390</v>
      </c>
      <c r="M174" s="230">
        <f>Table57161718192123[[#This Row],[Quantity]]*Table57161718192123[[#This Row],[Rate]]</f>
        <v>0</v>
      </c>
      <c r="N174" s="238"/>
      <c r="O174" s="230">
        <f>Table57161718192123[[#This Row],[Quantity2]]*Table57161718192123[[#This Row],[Rate]]</f>
        <v>0</v>
      </c>
      <c r="P174" s="238"/>
      <c r="Q174" s="230"/>
      <c r="R174" s="238"/>
      <c r="S174" s="230"/>
      <c r="W174">
        <f>Table57161718192123[[#This Row],[Quantity223]]*Table57161718192123[[#This Row],[Rate]]</f>
        <v>0</v>
      </c>
    </row>
    <row r="175" spans="7:23">
      <c r="G175" s="164" t="s">
        <v>142</v>
      </c>
      <c r="H175" s="236" t="s">
        <v>153</v>
      </c>
      <c r="I175" s="237"/>
      <c r="J175" s="428">
        <f>Table57161718192123[[#This Row],[Total Quantity]]-Table57161718192123[[#This Row],[Column1]]</f>
        <v>0</v>
      </c>
      <c r="K175" s="238">
        <v>200</v>
      </c>
      <c r="M175" s="232">
        <f>Table57161718192123[[#This Row],[Quantity]]*Table57161718192123[[#This Row],[Rate]]</f>
        <v>0</v>
      </c>
      <c r="N175" s="238"/>
      <c r="O175" s="232">
        <f>Table57161718192123[[#This Row],[Quantity2]]*Table57161718192123[[#This Row],[Rate]]</f>
        <v>0</v>
      </c>
      <c r="P175" s="238"/>
      <c r="Q175" s="232"/>
      <c r="R175" s="238"/>
      <c r="S175" s="232"/>
      <c r="W175">
        <f>Table57161718192123[[#This Row],[Quantity223]]*Table57161718192123[[#This Row],[Rate]]</f>
        <v>0</v>
      </c>
    </row>
    <row r="176" spans="7:23">
      <c r="G176" s="164" t="s">
        <v>145</v>
      </c>
      <c r="H176" s="236" t="s">
        <v>154</v>
      </c>
      <c r="I176" s="237"/>
      <c r="J176" s="428">
        <f>Table57161718192123[[#This Row],[Total Quantity]]-Table57161718192123[[#This Row],[Column1]]</f>
        <v>0</v>
      </c>
      <c r="K176" s="238">
        <v>90</v>
      </c>
      <c r="M176" s="231">
        <f>Table57161718192123[[#This Row],[Quantity]]*Table57161718192123[[#This Row],[Rate]]</f>
        <v>0</v>
      </c>
      <c r="N176" s="255"/>
      <c r="O176" s="569"/>
      <c r="P176" s="240"/>
      <c r="Q176" s="231"/>
      <c r="R176" s="240"/>
      <c r="S176" s="231">
        <f>Table57161718192123[[#This Row],[Quantity2]]*Table57161718192123[[#This Row],[Rate]]</f>
        <v>0</v>
      </c>
      <c r="W176">
        <f>Table57161718192123[[#This Row],[Quantity223]]*Table57161718192123[[#This Row],[Rate]]</f>
        <v>0</v>
      </c>
    </row>
    <row r="177" spans="7:23">
      <c r="G177" s="164" t="s">
        <v>146</v>
      </c>
      <c r="H177" s="236" t="s">
        <v>155</v>
      </c>
      <c r="I177" s="236">
        <v>350</v>
      </c>
      <c r="J177" s="561">
        <f>Table57161718192123[[#This Row],[Total Quantity]]-Table57161718192123[[#This Row],[Quantity222]]</f>
        <v>175</v>
      </c>
      <c r="K177" s="238">
        <v>275</v>
      </c>
      <c r="M177" s="231"/>
      <c r="N177" s="255"/>
      <c r="O177" s="569"/>
      <c r="P177" s="240"/>
      <c r="Q177" s="231"/>
      <c r="R177" s="240">
        <v>175</v>
      </c>
      <c r="S177" s="231">
        <f>Table57161718192123[[#This Row],[Quantity222]]*Table57161718192123[[#This Row],[Rate]]</f>
        <v>48125</v>
      </c>
      <c r="T177" s="230"/>
      <c r="U177" s="230"/>
      <c r="V177" s="240">
        <v>175</v>
      </c>
      <c r="W177">
        <f>Table57161718192123[[#This Row],[Quantity223]]*Table57161718192123[[#This Row],[Rate]]</f>
        <v>48125</v>
      </c>
    </row>
    <row r="178" spans="7:23">
      <c r="G178" s="164" t="s">
        <v>144</v>
      </c>
      <c r="H178" s="236" t="s">
        <v>156</v>
      </c>
      <c r="I178" s="236">
        <v>410</v>
      </c>
      <c r="J178" s="561">
        <f>Table57161718192123[[#This Row],[Total Quantity]]-Table57161718192123[[#This Row],[Quantity222]]</f>
        <v>205.13888888888889</v>
      </c>
      <c r="K178" s="238">
        <v>180</v>
      </c>
      <c r="M178" s="231"/>
      <c r="N178" s="255"/>
      <c r="O178" s="569"/>
      <c r="P178" s="240"/>
      <c r="Q178" s="231"/>
      <c r="R178" s="240">
        <v>204.86111111111111</v>
      </c>
      <c r="S178" s="231">
        <f>Table57161718192123[[#This Row],[Quantity222]]*Table57161718192123[[#This Row],[Rate]]</f>
        <v>36875</v>
      </c>
      <c r="T178" s="230">
        <v>36875</v>
      </c>
      <c r="U178" s="230"/>
      <c r="V178" s="240">
        <v>204.86111111111111</v>
      </c>
      <c r="W178">
        <f>Table57161718192123[[#This Row],[Quantity223]]*Table57161718192123[[#This Row],[Rate]]</f>
        <v>36875</v>
      </c>
    </row>
    <row r="179" spans="7:23">
      <c r="G179" s="164" t="s">
        <v>142</v>
      </c>
      <c r="H179" s="236" t="s">
        <v>157</v>
      </c>
      <c r="I179" s="236"/>
      <c r="J179" s="561"/>
      <c r="K179" s="238">
        <v>145</v>
      </c>
      <c r="L179" s="240"/>
      <c r="M179" s="231"/>
      <c r="N179" s="255"/>
      <c r="O179" s="569"/>
      <c r="P179" s="240"/>
      <c r="Q179" s="231"/>
      <c r="R179" s="240"/>
      <c r="S179" s="231"/>
      <c r="T179" s="230"/>
      <c r="U179" s="230"/>
      <c r="W179">
        <f>Table57161718192123[[#This Row],[Quantity223]]*Table57161718192123[[#This Row],[Rate]]</f>
        <v>0</v>
      </c>
    </row>
    <row r="180" spans="7:23">
      <c r="G180" s="164" t="s">
        <v>145</v>
      </c>
      <c r="H180" s="237" t="s">
        <v>158</v>
      </c>
      <c r="I180" s="236"/>
      <c r="J180" s="561"/>
      <c r="K180" s="238">
        <v>82</v>
      </c>
      <c r="L180" s="239"/>
      <c r="M180" s="231"/>
      <c r="N180" s="255"/>
      <c r="O180" s="569"/>
      <c r="P180" s="240"/>
      <c r="Q180" s="231"/>
      <c r="R180" s="240"/>
      <c r="S180" s="231"/>
      <c r="T180" s="230"/>
      <c r="U180" s="230"/>
      <c r="W180">
        <f>Table57161718192123[[#This Row],[Quantity223]]*Table57161718192123[[#This Row],[Rate]]</f>
        <v>0</v>
      </c>
    </row>
    <row r="181" spans="7:23">
      <c r="G181" t="s">
        <v>149</v>
      </c>
      <c r="H181" s="237" t="s">
        <v>159</v>
      </c>
      <c r="I181" s="237"/>
      <c r="J181" s="562"/>
      <c r="K181" s="238">
        <v>275</v>
      </c>
      <c r="M181" s="234"/>
      <c r="N181" s="255"/>
      <c r="O181" s="569"/>
      <c r="P181" s="238"/>
      <c r="Q181" s="231"/>
      <c r="R181" s="238"/>
      <c r="S181" s="231">
        <f>Table57161718192123[[#This Row],[Column1]]*Table57161718192123[[#This Row],[Rate]]</f>
        <v>0</v>
      </c>
      <c r="T181" s="230"/>
      <c r="U181" s="230"/>
      <c r="W181">
        <f>Table57161718192123[[#This Row],[Quantity223]]*Table57161718192123[[#This Row],[Rate]]</f>
        <v>0</v>
      </c>
    </row>
    <row r="182" spans="7:23">
      <c r="G182" t="s">
        <v>150</v>
      </c>
      <c r="H182" s="237" t="s">
        <v>160</v>
      </c>
      <c r="I182" s="237"/>
      <c r="J182" s="237"/>
      <c r="K182" s="238">
        <v>180</v>
      </c>
      <c r="M182" s="234"/>
      <c r="N182" s="255"/>
      <c r="O182" s="569"/>
      <c r="P182" s="238"/>
      <c r="Q182" s="234"/>
      <c r="R182" s="238"/>
      <c r="S182" s="234">
        <f>Table57161718192123[[#This Row],[Quantity2]]*Table57161718192123[[#This Row],[Rate]]</f>
        <v>0</v>
      </c>
      <c r="W182">
        <f>Table57161718192123[[#This Row],[Quantity223]]*Table57161718192123[[#This Row],[Rate]]</f>
        <v>0</v>
      </c>
    </row>
    <row r="183" spans="7:23">
      <c r="G183" s="241"/>
      <c r="H183" s="242"/>
      <c r="I183" s="242"/>
      <c r="J183" s="242"/>
      <c r="K183" s="243" t="s">
        <v>25</v>
      </c>
      <c r="L183" s="244"/>
      <c r="M183" s="244"/>
      <c r="N183" s="255"/>
      <c r="O183" s="569"/>
      <c r="P183" s="244"/>
      <c r="Q183" s="244"/>
      <c r="R183" s="244"/>
      <c r="S183" s="244">
        <f>SUM(S176:S180)</f>
        <v>85000</v>
      </c>
      <c r="W183" s="244">
        <f>SUM(W176:W180)</f>
        <v>85000</v>
      </c>
    </row>
    <row r="190" spans="7:23">
      <c r="G190" t="s">
        <v>400</v>
      </c>
      <c r="L190" s="1285" t="s">
        <v>401</v>
      </c>
      <c r="M190" s="1286"/>
      <c r="N190" s="1285" t="s">
        <v>399</v>
      </c>
      <c r="O190" s="1286"/>
    </row>
    <row r="191" spans="7:23">
      <c r="G191" s="405" t="s">
        <v>141</v>
      </c>
      <c r="H191" s="915" t="s">
        <v>147</v>
      </c>
      <c r="I191" s="915" t="s">
        <v>217</v>
      </c>
      <c r="J191" s="915" t="s">
        <v>219</v>
      </c>
      <c r="K191" s="918" t="s">
        <v>148</v>
      </c>
      <c r="L191" s="918" t="s">
        <v>163</v>
      </c>
      <c r="M191" s="917" t="s">
        <v>162</v>
      </c>
      <c r="N191" s="918" t="s">
        <v>169</v>
      </c>
      <c r="O191" s="917" t="s">
        <v>170</v>
      </c>
      <c r="P191" s="918" t="s">
        <v>2</v>
      </c>
      <c r="Q191" s="917" t="s">
        <v>257</v>
      </c>
      <c r="R191" s="918" t="s">
        <v>293</v>
      </c>
      <c r="S191" s="917" t="s">
        <v>294</v>
      </c>
    </row>
    <row r="192" spans="7:23">
      <c r="G192" s="406" t="s">
        <v>143</v>
      </c>
      <c r="H192" s="429" t="s">
        <v>151</v>
      </c>
      <c r="I192" s="429"/>
      <c r="J192" s="935"/>
      <c r="K192" s="925">
        <v>465</v>
      </c>
      <c r="L192" s="925"/>
      <c r="M192" s="926"/>
      <c r="N192" s="926"/>
      <c r="O192" s="926"/>
      <c r="P192" s="925"/>
      <c r="Q192" s="926"/>
      <c r="R192" s="925"/>
      <c r="S192" s="926"/>
    </row>
    <row r="193" spans="7:19">
      <c r="G193" s="408" t="s">
        <v>144</v>
      </c>
      <c r="H193" s="430" t="s">
        <v>152</v>
      </c>
      <c r="I193" s="430"/>
      <c r="J193" s="430"/>
      <c r="K193" s="927">
        <v>390</v>
      </c>
      <c r="L193" s="927"/>
      <c r="M193" s="927"/>
      <c r="N193" s="927"/>
      <c r="O193" s="927"/>
      <c r="P193" s="927"/>
      <c r="Q193" s="922"/>
      <c r="R193" s="927"/>
      <c r="S193" s="922"/>
    </row>
    <row r="194" spans="7:19">
      <c r="G194" s="406" t="s">
        <v>142</v>
      </c>
      <c r="H194" s="429" t="s">
        <v>153</v>
      </c>
      <c r="I194" s="429"/>
      <c r="J194" s="935"/>
      <c r="K194" s="925">
        <v>200</v>
      </c>
      <c r="L194" s="925"/>
      <c r="M194" s="925"/>
      <c r="N194" s="925"/>
      <c r="O194" s="925"/>
      <c r="P194" s="925"/>
      <c r="Q194" s="928"/>
      <c r="R194" s="925"/>
      <c r="S194" s="928"/>
    </row>
    <row r="195" spans="7:19">
      <c r="G195" s="408" t="s">
        <v>145</v>
      </c>
      <c r="H195" s="430" t="s">
        <v>154</v>
      </c>
      <c r="I195" s="430"/>
      <c r="J195" s="430"/>
      <c r="K195" s="927">
        <v>90</v>
      </c>
      <c r="L195" s="927"/>
      <c r="M195" s="927"/>
      <c r="N195" s="927"/>
      <c r="O195" s="927"/>
      <c r="P195" s="927"/>
      <c r="Q195" s="927"/>
      <c r="R195" s="927"/>
      <c r="S195" s="927"/>
    </row>
    <row r="196" spans="7:19">
      <c r="G196" s="406" t="s">
        <v>146</v>
      </c>
      <c r="H196" s="429" t="s">
        <v>155</v>
      </c>
      <c r="I196" s="919"/>
      <c r="J196" s="935"/>
      <c r="K196" s="925">
        <v>275</v>
      </c>
      <c r="L196" s="925"/>
      <c r="M196" s="925"/>
      <c r="N196" s="925"/>
      <c r="O196" s="422"/>
      <c r="P196" s="925"/>
      <c r="Q196" s="925"/>
      <c r="R196" s="925"/>
      <c r="S196" s="925"/>
    </row>
    <row r="197" spans="7:19">
      <c r="G197" s="408" t="s">
        <v>144</v>
      </c>
      <c r="H197" s="430" t="s">
        <v>156</v>
      </c>
      <c r="I197" s="430">
        <v>2400</v>
      </c>
      <c r="J197" s="431"/>
      <c r="K197" s="927">
        <v>180</v>
      </c>
      <c r="L197" s="927">
        <v>600</v>
      </c>
      <c r="M197" s="927">
        <f>L197*K197</f>
        <v>108000</v>
      </c>
      <c r="N197" s="927">
        <v>600</v>
      </c>
      <c r="O197" s="423">
        <f>K197*N197</f>
        <v>108000</v>
      </c>
      <c r="P197" s="927"/>
      <c r="Q197" s="927"/>
      <c r="R197" s="927"/>
      <c r="S197" s="927"/>
    </row>
    <row r="198" spans="7:19">
      <c r="G198" s="406" t="s">
        <v>142</v>
      </c>
      <c r="H198" s="429" t="s">
        <v>157</v>
      </c>
      <c r="I198" s="429">
        <v>1892</v>
      </c>
      <c r="J198" s="935"/>
      <c r="K198" s="925">
        <v>145</v>
      </c>
      <c r="L198" s="919">
        <v>473</v>
      </c>
      <c r="M198" s="927">
        <f t="shared" ref="M198:M201" si="6">L198*K198</f>
        <v>68585</v>
      </c>
      <c r="N198" s="919">
        <v>473</v>
      </c>
      <c r="O198" s="423">
        <f t="shared" ref="O198:O201" si="7">K198*N198</f>
        <v>68585</v>
      </c>
      <c r="P198" s="932"/>
      <c r="Q198" s="931"/>
      <c r="R198" s="932"/>
      <c r="S198" s="931"/>
    </row>
    <row r="199" spans="7:19">
      <c r="G199" s="408" t="s">
        <v>145</v>
      </c>
      <c r="H199" s="431" t="s">
        <v>158</v>
      </c>
      <c r="I199" s="431"/>
      <c r="J199" s="431"/>
      <c r="K199" s="927">
        <v>82</v>
      </c>
      <c r="L199" s="732"/>
      <c r="M199" s="927">
        <f t="shared" si="6"/>
        <v>0</v>
      </c>
      <c r="N199" s="732"/>
      <c r="O199" s="423">
        <f t="shared" si="7"/>
        <v>0</v>
      </c>
      <c r="P199" s="930"/>
      <c r="Q199" s="929"/>
      <c r="R199" s="930"/>
      <c r="S199" s="929"/>
    </row>
    <row r="200" spans="7:19">
      <c r="G200" s="413" t="s">
        <v>149</v>
      </c>
      <c r="H200" s="432" t="s">
        <v>159</v>
      </c>
      <c r="I200" s="432">
        <v>2400</v>
      </c>
      <c r="J200" s="432"/>
      <c r="K200" s="925">
        <v>275</v>
      </c>
      <c r="L200" s="925">
        <v>600</v>
      </c>
      <c r="M200" s="927">
        <f t="shared" si="6"/>
        <v>165000</v>
      </c>
      <c r="N200" s="925">
        <v>600</v>
      </c>
      <c r="O200" s="423">
        <f t="shared" si="7"/>
        <v>165000</v>
      </c>
      <c r="P200" s="925"/>
      <c r="Q200" s="931"/>
      <c r="R200" s="925"/>
      <c r="S200" s="931"/>
    </row>
    <row r="201" spans="7:19">
      <c r="G201" s="414" t="s">
        <v>150</v>
      </c>
      <c r="H201" s="431" t="s">
        <v>160</v>
      </c>
      <c r="I201" s="431">
        <v>2400</v>
      </c>
      <c r="J201" s="431"/>
      <c r="K201" s="927">
        <v>180</v>
      </c>
      <c r="L201" s="927">
        <v>600</v>
      </c>
      <c r="M201" s="927">
        <f t="shared" si="6"/>
        <v>108000</v>
      </c>
      <c r="N201" s="927">
        <v>600</v>
      </c>
      <c r="O201" s="423">
        <f t="shared" si="7"/>
        <v>108000</v>
      </c>
      <c r="P201" s="927"/>
      <c r="Q201" s="933"/>
      <c r="R201" s="927"/>
      <c r="S201" s="933"/>
    </row>
    <row r="202" spans="7:19">
      <c r="G202" s="923"/>
      <c r="H202" s="924"/>
      <c r="I202" s="924"/>
      <c r="J202" s="924"/>
      <c r="K202" s="934" t="s">
        <v>25</v>
      </c>
      <c r="L202" s="921"/>
      <c r="M202" s="921">
        <f>SUM(M197:M201)</f>
        <v>449585</v>
      </c>
      <c r="N202" s="920"/>
      <c r="O202" s="921">
        <f>SUM(O197:O201)</f>
        <v>449585</v>
      </c>
      <c r="P202" s="921"/>
      <c r="Q202" s="921"/>
      <c r="R202" s="921"/>
      <c r="S202" s="921">
        <f>SUM(S195:S199)</f>
        <v>0</v>
      </c>
    </row>
    <row r="205" spans="7:19">
      <c r="G205" t="s">
        <v>406</v>
      </c>
      <c r="L205" s="1284" t="s">
        <v>403</v>
      </c>
      <c r="M205" s="1285"/>
      <c r="N205" s="1284" t="s">
        <v>531</v>
      </c>
      <c r="O205" s="1285"/>
      <c r="P205" s="1284"/>
      <c r="Q205" s="1285"/>
    </row>
    <row r="206" spans="7:19">
      <c r="G206" s="405" t="s">
        <v>141</v>
      </c>
      <c r="H206" s="916" t="s">
        <v>147</v>
      </c>
      <c r="I206" s="916" t="s">
        <v>217</v>
      </c>
      <c r="J206" s="916" t="s">
        <v>219</v>
      </c>
      <c r="K206" s="918" t="s">
        <v>148</v>
      </c>
      <c r="L206" s="918" t="s">
        <v>163</v>
      </c>
      <c r="M206" s="917" t="s">
        <v>162</v>
      </c>
      <c r="N206" s="918" t="s">
        <v>163</v>
      </c>
      <c r="O206" s="917" t="s">
        <v>162</v>
      </c>
      <c r="P206" s="918" t="s">
        <v>163</v>
      </c>
      <c r="Q206" s="917" t="s">
        <v>162</v>
      </c>
    </row>
    <row r="207" spans="7:19">
      <c r="G207" s="406" t="s">
        <v>143</v>
      </c>
      <c r="H207" s="429" t="s">
        <v>151</v>
      </c>
      <c r="I207" s="429"/>
      <c r="J207" s="935"/>
      <c r="K207" s="925">
        <v>465</v>
      </c>
      <c r="L207" s="935"/>
      <c r="M207" s="935"/>
      <c r="N207" s="935"/>
      <c r="O207" s="935"/>
      <c r="P207" s="935"/>
      <c r="Q207" s="935"/>
    </row>
    <row r="208" spans="7:19">
      <c r="G208" s="408" t="s">
        <v>144</v>
      </c>
      <c r="H208" s="430" t="s">
        <v>152</v>
      </c>
      <c r="I208" s="430"/>
      <c r="J208" s="430"/>
      <c r="K208" s="927">
        <v>390</v>
      </c>
      <c r="L208" s="430"/>
      <c r="M208" s="430"/>
      <c r="N208" s="430"/>
      <c r="O208" s="430"/>
      <c r="P208" s="430"/>
      <c r="Q208" s="430"/>
    </row>
    <row r="209" spans="7:17">
      <c r="G209" s="406" t="s">
        <v>142</v>
      </c>
      <c r="H209" s="429" t="s">
        <v>153</v>
      </c>
      <c r="I209" s="429"/>
      <c r="J209" s="935"/>
      <c r="K209" s="925">
        <v>200</v>
      </c>
      <c r="L209" s="935"/>
      <c r="M209" s="935"/>
      <c r="N209" s="935"/>
      <c r="O209" s="935"/>
      <c r="P209" s="935"/>
      <c r="Q209" s="935"/>
    </row>
    <row r="210" spans="7:17">
      <c r="G210" s="408" t="s">
        <v>145</v>
      </c>
      <c r="H210" s="430" t="s">
        <v>154</v>
      </c>
      <c r="I210" s="430"/>
      <c r="J210" s="430"/>
      <c r="K210" s="927">
        <v>90</v>
      </c>
      <c r="L210" s="430"/>
      <c r="M210" s="430"/>
      <c r="N210" s="430"/>
      <c r="O210" s="430"/>
      <c r="P210" s="430"/>
      <c r="Q210" s="430"/>
    </row>
    <row r="211" spans="7:17">
      <c r="G211" s="406" t="s">
        <v>146</v>
      </c>
      <c r="H211" s="429" t="s">
        <v>155</v>
      </c>
      <c r="I211" s="919"/>
      <c r="J211" s="935"/>
      <c r="K211" s="925">
        <v>275</v>
      </c>
      <c r="L211" s="935"/>
      <c r="M211" s="935"/>
      <c r="N211" s="935"/>
      <c r="O211" s="935"/>
      <c r="P211" s="935"/>
      <c r="Q211" s="935"/>
    </row>
    <row r="212" spans="7:17">
      <c r="G212" s="408" t="s">
        <v>144</v>
      </c>
      <c r="H212" s="430" t="s">
        <v>156</v>
      </c>
      <c r="I212" s="430">
        <v>492</v>
      </c>
      <c r="J212" s="431"/>
      <c r="K212" s="927">
        <v>180</v>
      </c>
      <c r="L212" s="927">
        <v>393.33</v>
      </c>
      <c r="M212" s="927">
        <f>L212*K212</f>
        <v>70799.399999999994</v>
      </c>
      <c r="N212" s="430">
        <v>49.92</v>
      </c>
      <c r="O212" s="430">
        <f>N212*K212</f>
        <v>8985.6</v>
      </c>
      <c r="P212" s="430"/>
      <c r="Q212" s="430"/>
    </row>
    <row r="213" spans="7:17">
      <c r="G213" s="406" t="s">
        <v>142</v>
      </c>
      <c r="H213" s="429" t="s">
        <v>157</v>
      </c>
      <c r="I213" s="429">
        <v>1628</v>
      </c>
      <c r="J213" s="935"/>
      <c r="K213" s="925">
        <v>145</v>
      </c>
      <c r="L213" s="925">
        <v>1302.07</v>
      </c>
      <c r="M213" s="927">
        <f t="shared" ref="M213:M214" si="8">L213*K213</f>
        <v>188800.15</v>
      </c>
      <c r="N213" s="935">
        <v>162.76</v>
      </c>
      <c r="O213" s="996">
        <f>N213*K213</f>
        <v>23600.199999999997</v>
      </c>
      <c r="P213" s="430"/>
      <c r="Q213" s="430"/>
    </row>
    <row r="214" spans="7:17">
      <c r="G214" s="408" t="s">
        <v>145</v>
      </c>
      <c r="H214" s="431" t="s">
        <v>158</v>
      </c>
      <c r="I214" s="431">
        <v>3238</v>
      </c>
      <c r="J214" s="431"/>
      <c r="K214" s="927">
        <v>82</v>
      </c>
      <c r="L214" s="927">
        <v>2590.2399999999998</v>
      </c>
      <c r="M214" s="927">
        <f t="shared" si="8"/>
        <v>212399.68</v>
      </c>
      <c r="N214" s="430">
        <v>323.77999999999997</v>
      </c>
      <c r="O214" s="996">
        <f>N214*K214</f>
        <v>26549.96</v>
      </c>
      <c r="P214" s="430"/>
      <c r="Q214" s="430"/>
    </row>
    <row r="215" spans="7:17">
      <c r="G215" s="413" t="s">
        <v>149</v>
      </c>
      <c r="H215" s="432" t="s">
        <v>159</v>
      </c>
      <c r="I215" s="432"/>
      <c r="J215" s="432"/>
      <c r="K215" s="925">
        <v>275</v>
      </c>
      <c r="L215" s="432"/>
      <c r="M215" s="432"/>
      <c r="N215" s="935"/>
      <c r="O215" s="935"/>
      <c r="P215" s="430"/>
      <c r="Q215" s="430"/>
    </row>
    <row r="216" spans="7:17">
      <c r="G216" s="414" t="s">
        <v>150</v>
      </c>
      <c r="H216" s="431" t="s">
        <v>160</v>
      </c>
      <c r="I216" s="431"/>
      <c r="J216" s="431"/>
      <c r="K216" s="927">
        <v>180</v>
      </c>
      <c r="L216" s="431"/>
      <c r="M216" s="431"/>
      <c r="N216" s="430"/>
      <c r="O216" s="430"/>
      <c r="P216" s="430"/>
      <c r="Q216" s="430"/>
    </row>
    <row r="217" spans="7:17">
      <c r="G217" s="923"/>
      <c r="H217" s="924"/>
      <c r="I217" s="924"/>
      <c r="J217" s="924"/>
      <c r="K217" s="934" t="s">
        <v>25</v>
      </c>
      <c r="L217" s="924"/>
      <c r="M217" s="921">
        <f>SUM(M212:M216)</f>
        <v>471999.23</v>
      </c>
      <c r="N217" s="935"/>
      <c r="O217" s="921">
        <v>59000</v>
      </c>
      <c r="P217" s="430"/>
      <c r="Q217" s="430"/>
    </row>
    <row r="220" spans="7:17">
      <c r="G220" t="s">
        <v>396</v>
      </c>
      <c r="L220" s="1284" t="s">
        <v>407</v>
      </c>
      <c r="M220" s="1285"/>
    </row>
    <row r="221" spans="7:17">
      <c r="G221" s="405" t="s">
        <v>141</v>
      </c>
      <c r="H221" s="916" t="s">
        <v>147</v>
      </c>
      <c r="I221" s="916" t="s">
        <v>217</v>
      </c>
      <c r="J221" s="916" t="s">
        <v>219</v>
      </c>
      <c r="K221" s="918" t="s">
        <v>148</v>
      </c>
      <c r="L221" s="918" t="s">
        <v>163</v>
      </c>
      <c r="M221" s="917" t="s">
        <v>162</v>
      </c>
      <c r="N221" s="918" t="s">
        <v>163</v>
      </c>
      <c r="O221" s="917" t="s">
        <v>162</v>
      </c>
    </row>
    <row r="222" spans="7:17">
      <c r="G222" s="406" t="s">
        <v>143</v>
      </c>
      <c r="H222" s="429" t="s">
        <v>151</v>
      </c>
      <c r="I222" s="429"/>
      <c r="J222" s="935"/>
      <c r="K222" s="925">
        <v>465</v>
      </c>
      <c r="L222" s="935"/>
      <c r="M222" s="935"/>
      <c r="N222" s="935"/>
      <c r="O222" s="935"/>
    </row>
    <row r="223" spans="7:17">
      <c r="G223" s="408" t="s">
        <v>144</v>
      </c>
      <c r="H223" s="430" t="s">
        <v>152</v>
      </c>
      <c r="I223" s="430"/>
      <c r="J223" s="430"/>
      <c r="K223" s="927">
        <v>390</v>
      </c>
      <c r="L223" s="430"/>
      <c r="M223" s="430"/>
      <c r="N223" s="430"/>
      <c r="O223" s="430"/>
    </row>
    <row r="224" spans="7:17">
      <c r="G224" s="406" t="s">
        <v>142</v>
      </c>
      <c r="H224" s="429" t="s">
        <v>153</v>
      </c>
      <c r="I224" s="429"/>
      <c r="J224" s="935"/>
      <c r="K224" s="925">
        <v>200</v>
      </c>
      <c r="L224" s="935"/>
      <c r="M224" s="935"/>
      <c r="N224" s="935"/>
      <c r="O224" s="935"/>
    </row>
    <row r="225" spans="7:17">
      <c r="G225" s="408" t="s">
        <v>145</v>
      </c>
      <c r="H225" s="430" t="s">
        <v>154</v>
      </c>
      <c r="I225" s="430"/>
      <c r="J225" s="430"/>
      <c r="K225" s="927">
        <v>90</v>
      </c>
      <c r="L225" s="430"/>
      <c r="M225" s="430"/>
      <c r="N225" s="430"/>
      <c r="O225" s="430"/>
    </row>
    <row r="226" spans="7:17">
      <c r="G226" s="406" t="s">
        <v>146</v>
      </c>
      <c r="H226" s="429" t="s">
        <v>155</v>
      </c>
      <c r="I226" s="919"/>
      <c r="J226" s="935"/>
      <c r="K226" s="925">
        <v>275</v>
      </c>
      <c r="L226" s="935"/>
      <c r="M226" s="935"/>
      <c r="N226" s="935"/>
      <c r="O226" s="935"/>
    </row>
    <row r="227" spans="7:17">
      <c r="G227" s="408" t="s">
        <v>144</v>
      </c>
      <c r="H227" s="430" t="s">
        <v>156</v>
      </c>
      <c r="I227" s="430">
        <v>92</v>
      </c>
      <c r="J227" s="431"/>
      <c r="K227" s="927">
        <v>180</v>
      </c>
      <c r="L227" s="430">
        <v>36.83</v>
      </c>
      <c r="M227" s="430">
        <f>L227*K227</f>
        <v>6629.4</v>
      </c>
      <c r="N227" s="430"/>
      <c r="O227" s="430"/>
    </row>
    <row r="228" spans="7:17">
      <c r="G228" s="406" t="s">
        <v>142</v>
      </c>
      <c r="H228" s="429" t="s">
        <v>157</v>
      </c>
      <c r="I228" s="429">
        <v>305</v>
      </c>
      <c r="J228" s="935"/>
      <c r="K228" s="925">
        <v>145</v>
      </c>
      <c r="L228" s="935">
        <v>121.93</v>
      </c>
      <c r="M228" s="430">
        <f t="shared" ref="M228:M229" si="9">L228*K228</f>
        <v>17679.850000000002</v>
      </c>
      <c r="N228" s="935"/>
      <c r="O228" s="935"/>
    </row>
    <row r="229" spans="7:17">
      <c r="G229" s="408" t="s">
        <v>145</v>
      </c>
      <c r="H229" s="431" t="s">
        <v>158</v>
      </c>
      <c r="I229" s="431">
        <v>606</v>
      </c>
      <c r="J229" s="431"/>
      <c r="K229" s="927">
        <v>82</v>
      </c>
      <c r="L229" s="430">
        <v>242.56</v>
      </c>
      <c r="M229" s="430">
        <f t="shared" si="9"/>
        <v>19889.920000000002</v>
      </c>
      <c r="N229" s="430"/>
      <c r="O229" s="430"/>
    </row>
    <row r="230" spans="7:17">
      <c r="G230" s="413" t="s">
        <v>149</v>
      </c>
      <c r="H230" s="432" t="s">
        <v>159</v>
      </c>
      <c r="I230" s="432"/>
      <c r="J230" s="432"/>
      <c r="K230" s="925">
        <v>275</v>
      </c>
      <c r="L230" s="935"/>
      <c r="M230" s="430"/>
      <c r="N230" s="935"/>
      <c r="O230" s="935"/>
    </row>
    <row r="231" spans="7:17">
      <c r="G231" s="414" t="s">
        <v>150</v>
      </c>
      <c r="H231" s="431" t="s">
        <v>160</v>
      </c>
      <c r="I231" s="431"/>
      <c r="J231" s="431"/>
      <c r="K231" s="927">
        <v>180</v>
      </c>
      <c r="L231" s="430"/>
      <c r="M231" s="430"/>
      <c r="N231" s="430"/>
      <c r="O231" s="430"/>
    </row>
    <row r="232" spans="7:17">
      <c r="G232" s="923"/>
      <c r="H232" s="924"/>
      <c r="I232" s="924"/>
      <c r="J232" s="924"/>
      <c r="K232" s="934" t="s">
        <v>25</v>
      </c>
      <c r="L232" s="935"/>
      <c r="M232" s="921">
        <f>SUM(M227:M231)</f>
        <v>44199.17</v>
      </c>
      <c r="N232" s="935"/>
      <c r="O232" s="935"/>
    </row>
    <row r="235" spans="7:17">
      <c r="G235" t="s">
        <v>391</v>
      </c>
      <c r="L235" s="1284" t="s">
        <v>407</v>
      </c>
      <c r="M235" s="1285"/>
      <c r="N235" s="1284" t="s">
        <v>647</v>
      </c>
      <c r="O235" s="1285"/>
      <c r="P235" s="1284" t="s">
        <v>648</v>
      </c>
      <c r="Q235" s="1285"/>
    </row>
    <row r="236" spans="7:17">
      <c r="G236" s="405" t="s">
        <v>141</v>
      </c>
      <c r="H236" s="916" t="s">
        <v>147</v>
      </c>
      <c r="I236" s="916" t="s">
        <v>217</v>
      </c>
      <c r="J236" s="916" t="s">
        <v>219</v>
      </c>
      <c r="K236" s="918" t="s">
        <v>148</v>
      </c>
      <c r="L236" s="918" t="s">
        <v>163</v>
      </c>
      <c r="M236" s="917" t="s">
        <v>162</v>
      </c>
      <c r="N236" s="918" t="s">
        <v>163</v>
      </c>
      <c r="O236" s="917" t="s">
        <v>162</v>
      </c>
      <c r="P236" s="918" t="s">
        <v>163</v>
      </c>
      <c r="Q236" s="917" t="s">
        <v>162</v>
      </c>
    </row>
    <row r="237" spans="7:17">
      <c r="G237" s="406" t="s">
        <v>143</v>
      </c>
      <c r="H237" s="429" t="s">
        <v>151</v>
      </c>
      <c r="I237" s="429"/>
      <c r="J237" s="935"/>
      <c r="K237" s="925">
        <v>465</v>
      </c>
      <c r="L237" s="935"/>
      <c r="M237" s="935"/>
      <c r="N237" s="935"/>
      <c r="O237" s="935"/>
      <c r="P237" s="935"/>
      <c r="Q237" s="935"/>
    </row>
    <row r="238" spans="7:17">
      <c r="G238" s="408" t="s">
        <v>144</v>
      </c>
      <c r="H238" s="430" t="s">
        <v>152</v>
      </c>
      <c r="I238" s="430"/>
      <c r="J238" s="430"/>
      <c r="K238" s="927">
        <v>390</v>
      </c>
      <c r="L238" s="430"/>
      <c r="M238" s="430"/>
      <c r="N238" s="430"/>
      <c r="O238" s="430"/>
      <c r="P238" s="430"/>
      <c r="Q238" s="430"/>
    </row>
    <row r="239" spans="7:17">
      <c r="G239" s="406" t="s">
        <v>142</v>
      </c>
      <c r="H239" s="429" t="s">
        <v>153</v>
      </c>
      <c r="I239" s="429"/>
      <c r="J239" s="935"/>
      <c r="K239" s="925">
        <v>200</v>
      </c>
      <c r="L239" s="935"/>
      <c r="M239" s="935"/>
      <c r="N239" s="935"/>
      <c r="O239" s="935"/>
      <c r="P239" s="935"/>
      <c r="Q239" s="935"/>
    </row>
    <row r="240" spans="7:17">
      <c r="G240" s="408" t="s">
        <v>145</v>
      </c>
      <c r="H240" s="430" t="s">
        <v>154</v>
      </c>
      <c r="I240" s="430"/>
      <c r="J240" s="430"/>
      <c r="K240" s="927">
        <v>90</v>
      </c>
      <c r="L240" s="430"/>
      <c r="M240" s="430"/>
      <c r="N240" s="430"/>
      <c r="O240" s="430"/>
      <c r="P240" s="935"/>
      <c r="Q240" s="935"/>
    </row>
    <row r="241" spans="7:19">
      <c r="G241" s="406" t="s">
        <v>146</v>
      </c>
      <c r="H241" s="429" t="s">
        <v>155</v>
      </c>
      <c r="I241" s="919"/>
      <c r="J241" s="935"/>
      <c r="K241" s="925">
        <v>275</v>
      </c>
      <c r="L241" s="935"/>
      <c r="M241" s="935"/>
      <c r="N241" s="935"/>
      <c r="O241" s="935"/>
      <c r="P241" s="430"/>
      <c r="Q241" s="430"/>
    </row>
    <row r="242" spans="7:19">
      <c r="G242" s="408" t="s">
        <v>144</v>
      </c>
      <c r="H242" s="430" t="s">
        <v>156</v>
      </c>
      <c r="I242" s="430">
        <v>1325</v>
      </c>
      <c r="J242" s="431"/>
      <c r="K242" s="927">
        <v>180</v>
      </c>
      <c r="L242" s="430">
        <v>662.5</v>
      </c>
      <c r="M242" s="430">
        <f>L242*K242</f>
        <v>119250</v>
      </c>
      <c r="N242" s="430">
        <v>463.75</v>
      </c>
      <c r="O242" s="430">
        <f>N242*K242</f>
        <v>83475</v>
      </c>
      <c r="P242" s="935"/>
      <c r="Q242" s="935"/>
    </row>
    <row r="243" spans="7:19">
      <c r="G243" s="406" t="s">
        <v>142</v>
      </c>
      <c r="H243" s="429" t="s">
        <v>157</v>
      </c>
      <c r="I243" s="429">
        <v>4386</v>
      </c>
      <c r="J243" s="935"/>
      <c r="K243" s="925">
        <v>145</v>
      </c>
      <c r="L243" s="935">
        <v>2193.1</v>
      </c>
      <c r="M243" s="430">
        <f t="shared" ref="M243:M244" si="10">L243*K243</f>
        <v>317999.5</v>
      </c>
      <c r="N243" s="935">
        <v>1535.17</v>
      </c>
      <c r="O243" s="430">
        <f t="shared" ref="O243:O244" si="11">N243*K243</f>
        <v>222599.65000000002</v>
      </c>
      <c r="P243" s="935"/>
      <c r="Q243" s="935"/>
    </row>
    <row r="244" spans="7:19">
      <c r="G244" s="408" t="s">
        <v>145</v>
      </c>
      <c r="H244" s="431" t="s">
        <v>158</v>
      </c>
      <c r="I244" s="431">
        <v>8726</v>
      </c>
      <c r="J244" s="431"/>
      <c r="K244" s="927">
        <v>82</v>
      </c>
      <c r="L244" s="430">
        <v>4362.8</v>
      </c>
      <c r="M244" s="430">
        <f t="shared" si="10"/>
        <v>357749.60000000003</v>
      </c>
      <c r="N244" s="430">
        <v>3053.96</v>
      </c>
      <c r="O244" s="430">
        <f t="shared" si="11"/>
        <v>250424.72</v>
      </c>
      <c r="P244" s="430"/>
      <c r="Q244" s="430"/>
    </row>
    <row r="245" spans="7:19">
      <c r="G245" s="413" t="s">
        <v>149</v>
      </c>
      <c r="H245" s="432" t="s">
        <v>159</v>
      </c>
      <c r="I245" s="432"/>
      <c r="J245" s="432"/>
      <c r="K245" s="925">
        <v>275</v>
      </c>
      <c r="L245" s="935"/>
      <c r="M245" s="935"/>
      <c r="N245" s="935"/>
      <c r="O245" s="935"/>
      <c r="P245" s="935"/>
      <c r="Q245" s="935"/>
    </row>
    <row r="246" spans="7:19">
      <c r="G246" s="414" t="s">
        <v>150</v>
      </c>
      <c r="H246" s="431" t="s">
        <v>160</v>
      </c>
      <c r="I246" s="431"/>
      <c r="J246" s="431"/>
      <c r="K246" s="927">
        <v>180</v>
      </c>
      <c r="L246" s="430"/>
      <c r="M246" s="430"/>
      <c r="N246" s="430"/>
      <c r="O246" s="430"/>
      <c r="P246" s="935"/>
      <c r="Q246" s="935"/>
    </row>
    <row r="247" spans="7:19">
      <c r="G247" s="923"/>
      <c r="H247" s="924"/>
      <c r="I247" s="924"/>
      <c r="J247" s="924"/>
      <c r="K247" s="934" t="s">
        <v>25</v>
      </c>
      <c r="L247" s="935"/>
      <c r="M247" s="921">
        <f>SUM(M242:M246)</f>
        <v>794999.10000000009</v>
      </c>
      <c r="N247" s="935"/>
      <c r="O247" s="1245">
        <f>SUM(O242:O246)</f>
        <v>556499.37</v>
      </c>
      <c r="P247" s="430"/>
      <c r="Q247" s="430"/>
    </row>
    <row r="250" spans="7:19">
      <c r="G250" t="s">
        <v>529</v>
      </c>
      <c r="L250" s="1284" t="s">
        <v>530</v>
      </c>
      <c r="M250" s="1285"/>
      <c r="N250" s="1284" t="s">
        <v>603</v>
      </c>
      <c r="O250" s="1285"/>
      <c r="P250" s="1284" t="s">
        <v>604</v>
      </c>
      <c r="Q250" s="1285"/>
      <c r="R250" s="1284" t="s">
        <v>605</v>
      </c>
      <c r="S250" s="1285"/>
    </row>
    <row r="251" spans="7:19">
      <c r="G251" s="405" t="s">
        <v>141</v>
      </c>
      <c r="H251" s="995" t="s">
        <v>147</v>
      </c>
      <c r="I251" s="995" t="s">
        <v>217</v>
      </c>
      <c r="J251" s="995" t="s">
        <v>219</v>
      </c>
      <c r="K251" s="918" t="s">
        <v>148</v>
      </c>
      <c r="L251" s="918" t="s">
        <v>163</v>
      </c>
      <c r="M251" s="917" t="s">
        <v>162</v>
      </c>
      <c r="N251" s="918" t="s">
        <v>163</v>
      </c>
      <c r="O251" s="917" t="s">
        <v>162</v>
      </c>
      <c r="P251" s="918" t="s">
        <v>163</v>
      </c>
      <c r="Q251" s="917" t="s">
        <v>162</v>
      </c>
      <c r="R251" s="918" t="s">
        <v>163</v>
      </c>
      <c r="S251" s="917" t="s">
        <v>162</v>
      </c>
    </row>
    <row r="252" spans="7:19">
      <c r="G252" s="406" t="s">
        <v>143</v>
      </c>
      <c r="H252" s="429" t="s">
        <v>151</v>
      </c>
      <c r="I252" s="429"/>
      <c r="J252" s="935"/>
      <c r="K252" s="925">
        <v>465</v>
      </c>
      <c r="L252" s="935"/>
      <c r="M252" s="935"/>
      <c r="N252" s="935"/>
      <c r="O252" s="935"/>
      <c r="P252" s="935"/>
      <c r="Q252" s="935"/>
      <c r="R252" s="935"/>
      <c r="S252" s="935"/>
    </row>
    <row r="253" spans="7:19">
      <c r="G253" s="408" t="s">
        <v>144</v>
      </c>
      <c r="H253" s="430" t="s">
        <v>152</v>
      </c>
      <c r="I253" s="430"/>
      <c r="J253" s="430"/>
      <c r="K253" s="927">
        <v>390</v>
      </c>
      <c r="L253" s="430"/>
      <c r="M253" s="430"/>
      <c r="N253" s="430"/>
      <c r="O253" s="430"/>
      <c r="P253" s="430"/>
      <c r="Q253" s="430"/>
      <c r="R253" s="430"/>
      <c r="S253" s="430"/>
    </row>
    <row r="254" spans="7:19">
      <c r="G254" s="406" t="s">
        <v>142</v>
      </c>
      <c r="H254" s="429" t="s">
        <v>153</v>
      </c>
      <c r="I254" s="429"/>
      <c r="J254" s="935"/>
      <c r="K254" s="925">
        <v>200</v>
      </c>
      <c r="L254" s="935"/>
      <c r="M254" s="935"/>
      <c r="N254" s="935"/>
      <c r="O254" s="935"/>
      <c r="P254" s="935"/>
      <c r="Q254" s="935"/>
      <c r="R254" s="935"/>
      <c r="S254" s="935"/>
    </row>
    <row r="255" spans="7:19">
      <c r="G255" s="408" t="s">
        <v>145</v>
      </c>
      <c r="H255" s="430" t="s">
        <v>154</v>
      </c>
      <c r="I255" s="430"/>
      <c r="J255" s="430"/>
      <c r="K255" s="927">
        <v>90</v>
      </c>
      <c r="L255" s="430"/>
      <c r="M255" s="430"/>
      <c r="N255" s="430"/>
      <c r="O255" s="430"/>
      <c r="P255" s="430"/>
      <c r="Q255" s="430"/>
      <c r="R255" s="430"/>
      <c r="S255" s="430"/>
    </row>
    <row r="256" spans="7:19">
      <c r="G256" s="406" t="s">
        <v>146</v>
      </c>
      <c r="H256" s="429" t="s">
        <v>155</v>
      </c>
      <c r="I256" s="919"/>
      <c r="J256" s="935"/>
      <c r="K256" s="925">
        <v>275</v>
      </c>
      <c r="L256" s="935"/>
      <c r="M256" s="935"/>
      <c r="N256" s="935"/>
      <c r="O256" s="935"/>
      <c r="P256" s="935"/>
      <c r="Q256" s="935"/>
      <c r="R256" s="935"/>
      <c r="S256" s="935"/>
    </row>
    <row r="257" spans="7:19">
      <c r="G257" s="408" t="s">
        <v>144</v>
      </c>
      <c r="H257" s="430" t="s">
        <v>156</v>
      </c>
      <c r="I257" s="430">
        <v>417</v>
      </c>
      <c r="J257" s="431"/>
      <c r="K257" s="927">
        <v>180</v>
      </c>
      <c r="L257" s="429">
        <v>83.33</v>
      </c>
      <c r="M257" s="430">
        <f>L257*K257</f>
        <v>14999.4</v>
      </c>
      <c r="N257" s="430">
        <v>187.5</v>
      </c>
      <c r="O257" s="430">
        <f>N257*K257</f>
        <v>33750</v>
      </c>
      <c r="P257" s="429">
        <v>83.33</v>
      </c>
      <c r="Q257" s="430">
        <f>P257*K257</f>
        <v>14999.4</v>
      </c>
      <c r="R257" s="430">
        <v>62.5</v>
      </c>
      <c r="S257" s="430">
        <f>R257*K257</f>
        <v>11250</v>
      </c>
    </row>
    <row r="258" spans="7:19">
      <c r="G258" s="406" t="s">
        <v>142</v>
      </c>
      <c r="H258" s="429" t="s">
        <v>157</v>
      </c>
      <c r="I258" s="429">
        <v>1379</v>
      </c>
      <c r="J258" s="935"/>
      <c r="K258" s="925">
        <v>145</v>
      </c>
      <c r="L258" s="935">
        <v>275.86</v>
      </c>
      <c r="M258" s="430">
        <f t="shared" ref="M258:M259" si="12">L258*K258</f>
        <v>39999.700000000004</v>
      </c>
      <c r="N258" s="935">
        <v>620.69000000000005</v>
      </c>
      <c r="O258" s="430">
        <f t="shared" ref="O258:O259" si="13">N258*K258</f>
        <v>90000.05</v>
      </c>
      <c r="P258" s="935">
        <v>275.86</v>
      </c>
      <c r="Q258" s="430">
        <f t="shared" ref="Q258:Q259" si="14">P258*K258</f>
        <v>39999.700000000004</v>
      </c>
      <c r="R258" s="935">
        <v>206.9</v>
      </c>
      <c r="S258" s="430">
        <f t="shared" ref="S258:S261" si="15">R258*K258</f>
        <v>30000.5</v>
      </c>
    </row>
    <row r="259" spans="7:19">
      <c r="G259" s="408" t="s">
        <v>145</v>
      </c>
      <c r="H259" s="431" t="s">
        <v>158</v>
      </c>
      <c r="I259" s="429">
        <v>2744</v>
      </c>
      <c r="J259" s="431"/>
      <c r="K259" s="927">
        <v>82</v>
      </c>
      <c r="L259" s="430">
        <v>548.78</v>
      </c>
      <c r="M259" s="430">
        <f t="shared" si="12"/>
        <v>44999.96</v>
      </c>
      <c r="N259" s="430">
        <v>1234.76</v>
      </c>
      <c r="O259" s="430">
        <f t="shared" si="13"/>
        <v>101250.31999999999</v>
      </c>
      <c r="P259" s="430">
        <v>548.78</v>
      </c>
      <c r="Q259" s="430">
        <f t="shared" si="14"/>
        <v>44999.96</v>
      </c>
      <c r="R259" s="430">
        <v>411.59</v>
      </c>
      <c r="S259" s="430">
        <f t="shared" si="15"/>
        <v>33750.379999999997</v>
      </c>
    </row>
    <row r="260" spans="7:19">
      <c r="G260" s="413" t="s">
        <v>149</v>
      </c>
      <c r="H260" s="432" t="s">
        <v>159</v>
      </c>
      <c r="I260" s="432"/>
      <c r="J260" s="432"/>
      <c r="K260" s="925">
        <v>275</v>
      </c>
      <c r="L260" s="935"/>
      <c r="M260" s="935"/>
      <c r="N260" s="935"/>
      <c r="O260" s="935"/>
      <c r="P260" s="935"/>
      <c r="Q260" s="935"/>
      <c r="R260" s="935"/>
      <c r="S260" s="430">
        <f t="shared" si="15"/>
        <v>0</v>
      </c>
    </row>
    <row r="261" spans="7:19">
      <c r="G261" s="414" t="s">
        <v>150</v>
      </c>
      <c r="H261" s="431" t="s">
        <v>160</v>
      </c>
      <c r="I261" s="431"/>
      <c r="J261" s="431"/>
      <c r="K261" s="927">
        <v>180</v>
      </c>
      <c r="L261" s="430"/>
      <c r="M261" s="430"/>
      <c r="N261" s="430"/>
      <c r="O261" s="430"/>
      <c r="P261" s="430"/>
      <c r="Q261" s="430"/>
      <c r="R261" s="430"/>
      <c r="S261" s="430">
        <f t="shared" si="15"/>
        <v>0</v>
      </c>
    </row>
    <row r="262" spans="7:19">
      <c r="G262" s="923"/>
      <c r="H262" s="924"/>
      <c r="I262" s="924"/>
      <c r="J262" s="924"/>
      <c r="K262" s="934" t="s">
        <v>25</v>
      </c>
      <c r="L262" s="935"/>
      <c r="M262" s="921">
        <v>100000</v>
      </c>
      <c r="N262" s="935"/>
      <c r="O262" s="1245">
        <f>SUM(O257:O261)</f>
        <v>225000.37</v>
      </c>
      <c r="P262" s="935"/>
      <c r="Q262" s="1245">
        <f>SUM(Q257:Q261)</f>
        <v>99999.06</v>
      </c>
      <c r="R262" s="935"/>
      <c r="S262" s="1245">
        <f>SUM(S257:S261)</f>
        <v>75000.88</v>
      </c>
    </row>
    <row r="264" spans="7:19">
      <c r="M264" s="429"/>
    </row>
    <row r="265" spans="7:19">
      <c r="G265" t="s">
        <v>172</v>
      </c>
      <c r="J265" s="429"/>
      <c r="L265" s="1284" t="s">
        <v>291</v>
      </c>
      <c r="M265" s="1285"/>
      <c r="N265" s="1284" t="s">
        <v>338</v>
      </c>
      <c r="O265" s="1285"/>
    </row>
    <row r="266" spans="7:19">
      <c r="G266" s="1242" t="s">
        <v>141</v>
      </c>
      <c r="H266" s="1242" t="s">
        <v>147</v>
      </c>
      <c r="I266" s="1242" t="s">
        <v>217</v>
      </c>
      <c r="J266" s="1242" t="s">
        <v>219</v>
      </c>
      <c r="K266" s="918" t="s">
        <v>148</v>
      </c>
      <c r="L266" s="918" t="s">
        <v>163</v>
      </c>
      <c r="M266" s="917" t="s">
        <v>162</v>
      </c>
      <c r="N266" s="918" t="s">
        <v>163</v>
      </c>
      <c r="O266" s="917" t="s">
        <v>162</v>
      </c>
    </row>
    <row r="267" spans="7:19">
      <c r="G267" s="408" t="s">
        <v>143</v>
      </c>
      <c r="H267" s="238" t="s">
        <v>151</v>
      </c>
      <c r="I267" s="239"/>
      <c r="K267" s="925">
        <v>465</v>
      </c>
      <c r="L267" s="925"/>
      <c r="M267" s="925"/>
      <c r="N267" s="925"/>
      <c r="O267" s="925"/>
    </row>
    <row r="268" spans="7:19">
      <c r="G268" s="406" t="s">
        <v>144</v>
      </c>
      <c r="H268" s="925" t="s">
        <v>152</v>
      </c>
      <c r="I268" s="925"/>
      <c r="J268" s="925"/>
      <c r="K268" s="925">
        <v>390</v>
      </c>
      <c r="L268" s="925"/>
      <c r="M268" s="925"/>
      <c r="N268" s="925"/>
      <c r="O268" s="927"/>
    </row>
    <row r="269" spans="7:19">
      <c r="G269" s="408" t="s">
        <v>142</v>
      </c>
      <c r="H269" s="927" t="s">
        <v>153</v>
      </c>
      <c r="I269" s="927"/>
      <c r="J269" s="927"/>
      <c r="K269" s="927">
        <v>200</v>
      </c>
      <c r="L269" s="927"/>
      <c r="M269" s="927"/>
      <c r="N269" s="927"/>
      <c r="O269" s="925"/>
    </row>
    <row r="270" spans="7:19">
      <c r="G270" s="406" t="s">
        <v>145</v>
      </c>
      <c r="H270" s="925" t="s">
        <v>154</v>
      </c>
      <c r="I270" s="925"/>
      <c r="J270" s="925"/>
      <c r="K270" s="925">
        <v>90</v>
      </c>
      <c r="L270" s="925"/>
      <c r="M270" s="925"/>
      <c r="N270" s="925"/>
      <c r="O270" s="927"/>
    </row>
    <row r="271" spans="7:19">
      <c r="G271" s="408" t="s">
        <v>146</v>
      </c>
      <c r="H271" s="925" t="s">
        <v>155</v>
      </c>
      <c r="I271" s="925">
        <v>2706</v>
      </c>
      <c r="J271" s="925"/>
      <c r="K271" s="925">
        <v>275</v>
      </c>
      <c r="L271" s="925">
        <v>1353</v>
      </c>
      <c r="M271" s="925">
        <f>L271*K271</f>
        <v>372075</v>
      </c>
      <c r="N271" s="925">
        <v>1353</v>
      </c>
      <c r="O271" s="925">
        <f>N271*K271</f>
        <v>372075</v>
      </c>
    </row>
    <row r="272" spans="7:19">
      <c r="G272" s="406" t="s">
        <v>144</v>
      </c>
      <c r="H272" s="927" t="s">
        <v>156</v>
      </c>
      <c r="I272" s="927"/>
      <c r="J272" s="927"/>
      <c r="K272" s="927">
        <v>180</v>
      </c>
      <c r="L272" s="927"/>
      <c r="M272" s="927"/>
      <c r="N272" s="927"/>
      <c r="O272" s="927"/>
    </row>
    <row r="273" spans="7:15">
      <c r="G273" s="408" t="s">
        <v>142</v>
      </c>
      <c r="H273" s="925" t="s">
        <v>157</v>
      </c>
      <c r="I273" s="925"/>
      <c r="J273" s="925"/>
      <c r="K273" s="925">
        <v>145</v>
      </c>
      <c r="L273" s="925"/>
      <c r="M273" s="925"/>
      <c r="N273" s="925"/>
      <c r="O273" s="925"/>
    </row>
    <row r="274" spans="7:15">
      <c r="G274" s="413" t="s">
        <v>145</v>
      </c>
      <c r="H274" s="925" t="s">
        <v>158</v>
      </c>
      <c r="I274" s="925"/>
      <c r="J274" s="925"/>
      <c r="K274" s="925">
        <v>82</v>
      </c>
      <c r="L274" s="925"/>
      <c r="M274" s="925"/>
      <c r="N274" s="925"/>
      <c r="O274" s="927"/>
    </row>
    <row r="275" spans="7:15">
      <c r="G275" s="414" t="s">
        <v>149</v>
      </c>
      <c r="H275" s="927" t="s">
        <v>159</v>
      </c>
      <c r="I275" s="927"/>
      <c r="J275" s="927"/>
      <c r="K275" s="927">
        <v>275</v>
      </c>
      <c r="L275" s="927"/>
      <c r="M275" s="927"/>
      <c r="N275" s="927"/>
      <c r="O275" s="925"/>
    </row>
    <row r="276" spans="7:15">
      <c r="G276" s="923" t="s">
        <v>150</v>
      </c>
      <c r="H276" s="238" t="s">
        <v>160</v>
      </c>
      <c r="I276" s="925"/>
      <c r="J276" s="925"/>
      <c r="K276" s="925">
        <v>180</v>
      </c>
      <c r="L276" s="925"/>
      <c r="M276" s="925"/>
      <c r="N276" s="925"/>
      <c r="O276" s="927"/>
    </row>
    <row r="277" spans="7:15">
      <c r="G277" s="923"/>
      <c r="H277" s="924"/>
      <c r="I277" s="924"/>
      <c r="J277" s="924"/>
      <c r="K277" s="934" t="s">
        <v>25</v>
      </c>
      <c r="L277" s="935"/>
    </row>
    <row r="279" spans="7:15">
      <c r="G279" t="s">
        <v>650</v>
      </c>
      <c r="N279" s="1284" t="s">
        <v>667</v>
      </c>
      <c r="O279" s="1285"/>
    </row>
    <row r="280" spans="7:15">
      <c r="G280" s="1242" t="s">
        <v>141</v>
      </c>
      <c r="H280" s="1242" t="s">
        <v>147</v>
      </c>
      <c r="I280" s="1242" t="s">
        <v>217</v>
      </c>
      <c r="J280" s="1242" t="s">
        <v>219</v>
      </c>
      <c r="K280" s="918" t="s">
        <v>148</v>
      </c>
      <c r="L280" s="918" t="s">
        <v>163</v>
      </c>
      <c r="M280" s="917" t="s">
        <v>162</v>
      </c>
      <c r="N280" s="918" t="s">
        <v>163</v>
      </c>
      <c r="O280" s="917" t="s">
        <v>162</v>
      </c>
    </row>
    <row r="281" spans="7:15">
      <c r="G281" s="408" t="s">
        <v>143</v>
      </c>
      <c r="H281" s="238" t="s">
        <v>151</v>
      </c>
      <c r="I281"/>
      <c r="K281" s="238">
        <v>465</v>
      </c>
      <c r="M281" s="238"/>
      <c r="N281" s="238"/>
      <c r="O281" s="238"/>
    </row>
    <row r="282" spans="7:15">
      <c r="G282" s="406" t="s">
        <v>144</v>
      </c>
      <c r="H282" s="925" t="s">
        <v>152</v>
      </c>
      <c r="I282" s="925"/>
      <c r="J282" s="925"/>
      <c r="K282" s="925">
        <v>390</v>
      </c>
      <c r="L282" s="925"/>
      <c r="M282" s="925"/>
      <c r="N282" s="925"/>
      <c r="O282" s="925"/>
    </row>
    <row r="283" spans="7:15">
      <c r="G283" s="408" t="s">
        <v>142</v>
      </c>
      <c r="H283" s="927" t="s">
        <v>153</v>
      </c>
      <c r="I283" s="927"/>
      <c r="J283" s="927"/>
      <c r="K283" s="927">
        <v>200</v>
      </c>
      <c r="L283" s="927"/>
      <c r="M283" s="927"/>
      <c r="N283" s="927"/>
      <c r="O283" s="927"/>
    </row>
    <row r="284" spans="7:15">
      <c r="G284" s="406" t="s">
        <v>145</v>
      </c>
      <c r="H284" s="925" t="s">
        <v>154</v>
      </c>
      <c r="K284" s="238">
        <v>90</v>
      </c>
      <c r="M284" s="238"/>
      <c r="N284" s="238"/>
      <c r="O284" s="238"/>
    </row>
    <row r="285" spans="7:15">
      <c r="G285" s="408" t="s">
        <v>146</v>
      </c>
      <c r="H285" s="925" t="s">
        <v>155</v>
      </c>
      <c r="I285" s="925"/>
      <c r="J285" s="925"/>
      <c r="K285" s="925">
        <v>275</v>
      </c>
      <c r="L285" s="925"/>
      <c r="M285" s="925"/>
      <c r="N285" s="925"/>
      <c r="O285" s="925"/>
    </row>
    <row r="286" spans="7:15">
      <c r="G286" s="406" t="s">
        <v>144</v>
      </c>
      <c r="H286" s="927" t="s">
        <v>156</v>
      </c>
      <c r="I286" s="927">
        <v>142</v>
      </c>
      <c r="J286" s="927"/>
      <c r="K286" s="927">
        <v>180</v>
      </c>
      <c r="L286" s="927">
        <v>99.17</v>
      </c>
      <c r="M286" s="927">
        <f>L286*K286</f>
        <v>17850.599999999999</v>
      </c>
      <c r="N286" s="927">
        <v>42.5</v>
      </c>
      <c r="O286" s="927">
        <f>N286*K286</f>
        <v>7650</v>
      </c>
    </row>
    <row r="287" spans="7:15">
      <c r="G287" s="408" t="s">
        <v>142</v>
      </c>
      <c r="H287" s="925" t="s">
        <v>157</v>
      </c>
      <c r="I287" s="238">
        <v>496</v>
      </c>
      <c r="K287" s="238">
        <v>145</v>
      </c>
      <c r="L287" s="238">
        <v>328.28</v>
      </c>
      <c r="M287" s="238">
        <f t="shared" ref="M287:M288" si="16">L287*K287</f>
        <v>47600.6</v>
      </c>
      <c r="N287" s="238">
        <v>140.69</v>
      </c>
      <c r="O287" s="927">
        <f t="shared" ref="O287:O288" si="17">N287*K287</f>
        <v>20400.05</v>
      </c>
    </row>
    <row r="288" spans="7:15">
      <c r="G288" s="413" t="s">
        <v>145</v>
      </c>
      <c r="H288" s="925" t="s">
        <v>158</v>
      </c>
      <c r="I288" s="925">
        <v>933</v>
      </c>
      <c r="J288" s="925"/>
      <c r="K288" s="925">
        <v>82</v>
      </c>
      <c r="L288" s="925">
        <v>653.04999999999995</v>
      </c>
      <c r="M288" s="925">
        <f t="shared" si="16"/>
        <v>53550.1</v>
      </c>
      <c r="N288" s="925">
        <v>279.88</v>
      </c>
      <c r="O288" s="927">
        <f t="shared" si="17"/>
        <v>22950.16</v>
      </c>
    </row>
    <row r="289" spans="7:15">
      <c r="G289" s="414" t="s">
        <v>149</v>
      </c>
      <c r="H289" s="927" t="s">
        <v>159</v>
      </c>
      <c r="I289" s="927"/>
      <c r="J289" s="927"/>
      <c r="K289" s="927">
        <v>275</v>
      </c>
      <c r="L289" s="927"/>
      <c r="M289" s="927"/>
      <c r="N289" s="927"/>
      <c r="O289" s="927"/>
    </row>
    <row r="290" spans="7:15">
      <c r="G290" s="923" t="s">
        <v>150</v>
      </c>
      <c r="H290" s="238" t="s">
        <v>160</v>
      </c>
      <c r="K290" s="925">
        <v>180</v>
      </c>
    </row>
    <row r="291" spans="7:15">
      <c r="G291" s="923"/>
      <c r="H291" s="924"/>
      <c r="I291" s="924"/>
      <c r="J291" s="924"/>
      <c r="K291" s="934" t="s">
        <v>25</v>
      </c>
      <c r="L291" s="935"/>
      <c r="M291" s="1246">
        <f>SUM(M286:M290)</f>
        <v>119001.29999999999</v>
      </c>
      <c r="O291" s="1246">
        <f>SUM(O286:O290)</f>
        <v>51000.21</v>
      </c>
    </row>
  </sheetData>
  <mergeCells count="62">
    <mergeCell ref="L235:M235"/>
    <mergeCell ref="L265:M265"/>
    <mergeCell ref="N265:O265"/>
    <mergeCell ref="P250:Q250"/>
    <mergeCell ref="L250:M250"/>
    <mergeCell ref="T89:U89"/>
    <mergeCell ref="V89:W89"/>
    <mergeCell ref="X89:Y89"/>
    <mergeCell ref="L153:M153"/>
    <mergeCell ref="N153:O153"/>
    <mergeCell ref="P153:Q153"/>
    <mergeCell ref="P134:Q134"/>
    <mergeCell ref="N134:O134"/>
    <mergeCell ref="L134:M134"/>
    <mergeCell ref="L205:M205"/>
    <mergeCell ref="N205:O205"/>
    <mergeCell ref="R112:S112"/>
    <mergeCell ref="L112:M112"/>
    <mergeCell ref="N112:O112"/>
    <mergeCell ref="L171:M171"/>
    <mergeCell ref="N171:O171"/>
    <mergeCell ref="P171:Q171"/>
    <mergeCell ref="R171:S171"/>
    <mergeCell ref="N190:O190"/>
    <mergeCell ref="L220:M220"/>
    <mergeCell ref="N35:O35"/>
    <mergeCell ref="L20:M20"/>
    <mergeCell ref="P35:Q35"/>
    <mergeCell ref="R89:S89"/>
    <mergeCell ref="N89:O89"/>
    <mergeCell ref="P89:Q89"/>
    <mergeCell ref="L70:M70"/>
    <mergeCell ref="N70:O70"/>
    <mergeCell ref="N52:O52"/>
    <mergeCell ref="P52:Q52"/>
    <mergeCell ref="L89:M89"/>
    <mergeCell ref="P112:Q112"/>
    <mergeCell ref="R153:S153"/>
    <mergeCell ref="R134:S134"/>
    <mergeCell ref="L190:M190"/>
    <mergeCell ref="V20:W20"/>
    <mergeCell ref="T20:U20"/>
    <mergeCell ref="P70:Q70"/>
    <mergeCell ref="P5:Q5"/>
    <mergeCell ref="R5:S5"/>
    <mergeCell ref="L5:M5"/>
    <mergeCell ref="N5:O5"/>
    <mergeCell ref="N20:O20"/>
    <mergeCell ref="R20:S20"/>
    <mergeCell ref="P20:Q20"/>
    <mergeCell ref="N279:O279"/>
    <mergeCell ref="V153:W153"/>
    <mergeCell ref="V134:W134"/>
    <mergeCell ref="P205:Q205"/>
    <mergeCell ref="T134:U134"/>
    <mergeCell ref="T171:U171"/>
    <mergeCell ref="V171:W171"/>
    <mergeCell ref="N235:O235"/>
    <mergeCell ref="P235:Q235"/>
    <mergeCell ref="T153:U153"/>
    <mergeCell ref="N250:O250"/>
    <mergeCell ref="R250:S250"/>
  </mergeCells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0:M64"/>
  <sheetViews>
    <sheetView topLeftCell="A13" workbookViewId="0">
      <selection activeCell="I60" sqref="I60"/>
    </sheetView>
  </sheetViews>
  <sheetFormatPr defaultRowHeight="14.4"/>
  <cols>
    <col min="1" max="1" width="35" customWidth="1"/>
    <col min="3" max="3" width="23.44140625" customWidth="1"/>
    <col min="4" max="4" width="17.5546875" customWidth="1"/>
    <col min="5" max="5" width="13.6640625" bestFit="1" customWidth="1"/>
    <col min="6" max="8" width="13.6640625" customWidth="1"/>
    <col min="9" max="9" width="48.88671875" customWidth="1"/>
    <col min="12" max="12" width="21.109375" customWidth="1"/>
    <col min="13" max="13" width="13.5546875" customWidth="1"/>
  </cols>
  <sheetData>
    <row r="20" spans="1:13">
      <c r="A20" s="405" t="s">
        <v>141</v>
      </c>
      <c r="B20" s="1249" t="s">
        <v>147</v>
      </c>
      <c r="C20" s="1249" t="s">
        <v>662</v>
      </c>
      <c r="D20" s="1249" t="s">
        <v>661</v>
      </c>
      <c r="E20" s="1249" t="s">
        <v>663</v>
      </c>
    </row>
    <row r="21" spans="1:13">
      <c r="A21" s="406" t="s">
        <v>143</v>
      </c>
      <c r="B21" s="429" t="s">
        <v>151</v>
      </c>
      <c r="C21" s="1255">
        <v>13900.940075798062</v>
      </c>
      <c r="D21" s="919">
        <v>504.35</v>
      </c>
      <c r="E21">
        <f>D21*C21</f>
        <v>7010939.1272287527</v>
      </c>
    </row>
    <row r="22" spans="1:13">
      <c r="A22" s="408" t="s">
        <v>144</v>
      </c>
      <c r="B22" s="430" t="s">
        <v>152</v>
      </c>
      <c r="C22" s="1256">
        <v>13100.14556088369</v>
      </c>
      <c r="D22" s="919">
        <v>391.3</v>
      </c>
      <c r="E22">
        <f t="shared" ref="E22:E26" si="0">D22*C22</f>
        <v>5126086.9579737876</v>
      </c>
    </row>
    <row r="23" spans="1:13">
      <c r="A23" s="406" t="s">
        <v>142</v>
      </c>
      <c r="B23" s="429" t="s">
        <v>153</v>
      </c>
      <c r="C23" s="1255">
        <v>16309.802300494883</v>
      </c>
      <c r="D23" s="919">
        <v>286.95999999999998</v>
      </c>
      <c r="E23">
        <f t="shared" si="0"/>
        <v>4680260.8681500116</v>
      </c>
      <c r="I23" s="164" t="s">
        <v>644</v>
      </c>
    </row>
    <row r="24" spans="1:13">
      <c r="A24" s="408" t="s">
        <v>145</v>
      </c>
      <c r="B24" s="430" t="s">
        <v>154</v>
      </c>
      <c r="C24" s="1256">
        <v>17999.31498339766</v>
      </c>
      <c r="D24" s="919">
        <v>173.91</v>
      </c>
      <c r="E24">
        <f t="shared" si="0"/>
        <v>3130260.8687626868</v>
      </c>
      <c r="I24" s="405" t="s">
        <v>141</v>
      </c>
      <c r="J24" s="1249" t="s">
        <v>147</v>
      </c>
      <c r="K24" s="1251" t="s">
        <v>661</v>
      </c>
      <c r="L24" s="1251" t="s">
        <v>662</v>
      </c>
      <c r="M24" s="1251" t="s">
        <v>665</v>
      </c>
    </row>
    <row r="25" spans="1:13">
      <c r="A25" s="413" t="s">
        <v>353</v>
      </c>
      <c r="B25" s="432" t="s">
        <v>351</v>
      </c>
      <c r="C25" s="1255">
        <v>5000.0367644704247</v>
      </c>
      <c r="D25" s="919">
        <v>591.29999999999995</v>
      </c>
      <c r="E25">
        <f t="shared" si="0"/>
        <v>2956521.7388313618</v>
      </c>
      <c r="I25" s="406" t="s">
        <v>143</v>
      </c>
      <c r="J25" s="429" t="s">
        <v>151</v>
      </c>
      <c r="K25" s="919">
        <v>504.35</v>
      </c>
      <c r="L25" s="1258">
        <f>M25/K25</f>
        <v>9285.3990284524625</v>
      </c>
      <c r="M25" s="433">
        <v>4683091</v>
      </c>
    </row>
    <row r="26" spans="1:13">
      <c r="A26" s="414" t="s">
        <v>354</v>
      </c>
      <c r="B26" s="431" t="s">
        <v>352</v>
      </c>
      <c r="C26" s="1256">
        <v>7650.0850020872813</v>
      </c>
      <c r="D26" s="919">
        <v>313.04000000000002</v>
      </c>
      <c r="E26">
        <f t="shared" si="0"/>
        <v>2394782.6090534027</v>
      </c>
      <c r="I26" s="408" t="s">
        <v>144</v>
      </c>
      <c r="J26" s="430" t="s">
        <v>152</v>
      </c>
      <c r="K26" s="919">
        <v>391.3</v>
      </c>
      <c r="L26" s="1258">
        <f t="shared" ref="L26:L30" si="1">M26/K26</f>
        <v>8750.4932277025291</v>
      </c>
      <c r="M26" s="433">
        <v>3424068</v>
      </c>
    </row>
    <row r="27" spans="1:13">
      <c r="E27" s="1246">
        <f>SUM(E21:E26)</f>
        <v>25298852.170000002</v>
      </c>
      <c r="F27" s="1246"/>
      <c r="G27" s="1246"/>
      <c r="H27" s="1246"/>
      <c r="I27" s="406" t="s">
        <v>142</v>
      </c>
      <c r="J27" s="429" t="s">
        <v>153</v>
      </c>
      <c r="K27" s="919">
        <v>286.95999999999998</v>
      </c>
      <c r="L27" s="1258">
        <f t="shared" si="1"/>
        <v>10894.445218845833</v>
      </c>
      <c r="M27" s="433">
        <v>3126270</v>
      </c>
    </row>
    <row r="28" spans="1:13">
      <c r="I28" s="408" t="s">
        <v>145</v>
      </c>
      <c r="J28" s="430" t="s">
        <v>154</v>
      </c>
      <c r="K28" s="919">
        <v>173.91</v>
      </c>
      <c r="L28" s="1258">
        <f t="shared" si="1"/>
        <v>12022.988902305791</v>
      </c>
      <c r="M28" s="433">
        <v>2090918</v>
      </c>
    </row>
    <row r="29" spans="1:13">
      <c r="I29" s="413" t="s">
        <v>353</v>
      </c>
      <c r="J29" s="432" t="s">
        <v>351</v>
      </c>
      <c r="K29" s="919">
        <v>591.29999999999995</v>
      </c>
      <c r="L29" s="1258">
        <f t="shared" si="1"/>
        <v>3339.8697784542537</v>
      </c>
      <c r="M29" s="433">
        <v>1974865</v>
      </c>
    </row>
    <row r="30" spans="1:13">
      <c r="I30" s="414" t="s">
        <v>354</v>
      </c>
      <c r="J30" s="431" t="s">
        <v>352</v>
      </c>
      <c r="K30" s="919">
        <v>313.04000000000002</v>
      </c>
      <c r="L30" s="1258">
        <f t="shared" si="1"/>
        <v>5110.0210835675953</v>
      </c>
      <c r="M30" s="433">
        <v>1599641</v>
      </c>
    </row>
    <row r="31" spans="1:13">
      <c r="I31" s="413" t="s">
        <v>356</v>
      </c>
      <c r="J31" s="432"/>
      <c r="M31" s="951">
        <f>SUM(M25:M30)</f>
        <v>16898853</v>
      </c>
    </row>
    <row r="33" spans="9:13">
      <c r="I33" s="164" t="s">
        <v>645</v>
      </c>
    </row>
    <row r="34" spans="9:13">
      <c r="I34" s="405" t="s">
        <v>141</v>
      </c>
      <c r="J34" s="1251" t="s">
        <v>147</v>
      </c>
      <c r="K34" s="1251" t="s">
        <v>661</v>
      </c>
      <c r="L34" s="1251" t="s">
        <v>662</v>
      </c>
      <c r="M34" s="1251" t="s">
        <v>665</v>
      </c>
    </row>
    <row r="35" spans="9:13">
      <c r="I35" s="406" t="s">
        <v>143</v>
      </c>
      <c r="J35" s="429" t="s">
        <v>151</v>
      </c>
      <c r="K35" s="919">
        <v>504.35</v>
      </c>
      <c r="L35" s="1258">
        <f>M35/K35</f>
        <v>3406.7096262516106</v>
      </c>
      <c r="M35" s="433">
        <v>1718174</v>
      </c>
    </row>
    <row r="36" spans="9:13">
      <c r="I36" s="408" t="s">
        <v>144</v>
      </c>
      <c r="J36" s="430" t="s">
        <v>152</v>
      </c>
      <c r="K36" s="919">
        <v>391.3</v>
      </c>
      <c r="L36" s="1258">
        <f t="shared" ref="L36:L40" si="2">M36/K36</f>
        <v>3210.4574495272168</v>
      </c>
      <c r="M36" s="433">
        <v>1256252</v>
      </c>
    </row>
    <row r="37" spans="9:13">
      <c r="I37" s="406" t="s">
        <v>142</v>
      </c>
      <c r="J37" s="429" t="s">
        <v>153</v>
      </c>
      <c r="K37" s="919">
        <v>286.95999999999998</v>
      </c>
      <c r="L37" s="1258">
        <f t="shared" si="2"/>
        <v>3997.0483691106779</v>
      </c>
      <c r="M37" s="433">
        <v>1146993</v>
      </c>
    </row>
    <row r="38" spans="9:13">
      <c r="I38" s="408" t="s">
        <v>145</v>
      </c>
      <c r="J38" s="430" t="s">
        <v>154</v>
      </c>
      <c r="K38" s="919">
        <v>173.91</v>
      </c>
      <c r="L38" s="1258">
        <f t="shared" si="2"/>
        <v>4411.0976942096486</v>
      </c>
      <c r="M38" s="433">
        <v>767134</v>
      </c>
    </row>
    <row r="39" spans="9:13">
      <c r="I39" s="413" t="s">
        <v>353</v>
      </c>
      <c r="J39" s="432" t="s">
        <v>351</v>
      </c>
      <c r="K39" s="919">
        <v>591.29999999999995</v>
      </c>
      <c r="L39" s="1258">
        <f t="shared" si="2"/>
        <v>1225.3610688313886</v>
      </c>
      <c r="M39" s="433">
        <v>724556</v>
      </c>
    </row>
    <row r="40" spans="9:13">
      <c r="I40" s="414" t="s">
        <v>354</v>
      </c>
      <c r="J40" s="431" t="s">
        <v>352</v>
      </c>
      <c r="K40" s="919">
        <v>313.04000000000002</v>
      </c>
      <c r="L40" s="1258">
        <f t="shared" si="2"/>
        <v>1874.8083312036799</v>
      </c>
      <c r="M40" s="433">
        <v>586890</v>
      </c>
    </row>
    <row r="41" spans="9:13">
      <c r="I41" s="413" t="s">
        <v>356</v>
      </c>
      <c r="J41" s="432"/>
      <c r="M41" s="1257">
        <f>SUM(M35:M40)</f>
        <v>6199999</v>
      </c>
    </row>
    <row r="43" spans="9:13">
      <c r="I43" s="164" t="s">
        <v>646</v>
      </c>
    </row>
    <row r="44" spans="9:13">
      <c r="I44" s="405" t="s">
        <v>141</v>
      </c>
      <c r="J44" s="1251" t="s">
        <v>147</v>
      </c>
      <c r="K44" s="1251" t="s">
        <v>661</v>
      </c>
      <c r="L44" s="1251" t="s">
        <v>662</v>
      </c>
      <c r="M44" s="1251" t="s">
        <v>665</v>
      </c>
    </row>
    <row r="45" spans="9:13">
      <c r="I45" s="406" t="s">
        <v>143</v>
      </c>
      <c r="J45" s="429" t="s">
        <v>151</v>
      </c>
      <c r="K45" s="919">
        <v>504.35</v>
      </c>
      <c r="L45" s="1258">
        <f>M45/K45</f>
        <v>659.36353722613262</v>
      </c>
      <c r="M45" s="433">
        <v>332550</v>
      </c>
    </row>
    <row r="46" spans="9:13">
      <c r="I46" s="408" t="s">
        <v>144</v>
      </c>
      <c r="J46" s="430" t="s">
        <v>152</v>
      </c>
      <c r="K46" s="919">
        <v>391.3</v>
      </c>
      <c r="L46" s="1258">
        <f t="shared" ref="L46:L50" si="3">M46/K46</f>
        <v>621.38001533350371</v>
      </c>
      <c r="M46" s="433">
        <v>243146</v>
      </c>
    </row>
    <row r="47" spans="9:13">
      <c r="I47" s="406" t="s">
        <v>142</v>
      </c>
      <c r="J47" s="429" t="s">
        <v>153</v>
      </c>
      <c r="K47" s="919">
        <v>286.95999999999998</v>
      </c>
      <c r="L47" s="1258">
        <f t="shared" si="3"/>
        <v>773.62350153331477</v>
      </c>
      <c r="M47" s="433">
        <v>221999</v>
      </c>
    </row>
    <row r="48" spans="9:13">
      <c r="I48" s="408" t="s">
        <v>145</v>
      </c>
      <c r="J48" s="430" t="s">
        <v>154</v>
      </c>
      <c r="K48" s="919">
        <v>173.91</v>
      </c>
      <c r="L48" s="1258">
        <f t="shared" si="3"/>
        <v>853.76344086021504</v>
      </c>
      <c r="M48" s="433">
        <v>148478</v>
      </c>
    </row>
    <row r="49" spans="9:13">
      <c r="I49" s="413" t="s">
        <v>353</v>
      </c>
      <c r="J49" s="432" t="s">
        <v>351</v>
      </c>
      <c r="K49" s="919">
        <v>591.29999999999995</v>
      </c>
      <c r="L49" s="1258">
        <f t="shared" si="3"/>
        <v>237.16725858278372</v>
      </c>
      <c r="M49" s="433">
        <v>140237</v>
      </c>
    </row>
    <row r="50" spans="9:13">
      <c r="I50" s="414" t="s">
        <v>354</v>
      </c>
      <c r="J50" s="431" t="s">
        <v>352</v>
      </c>
      <c r="K50" s="919">
        <v>313.04000000000002</v>
      </c>
      <c r="L50" s="1258">
        <f t="shared" si="3"/>
        <v>362.86736519294658</v>
      </c>
      <c r="M50" s="433">
        <v>113592</v>
      </c>
    </row>
    <row r="51" spans="9:13">
      <c r="I51" s="413" t="s">
        <v>356</v>
      </c>
      <c r="J51" s="432"/>
      <c r="M51" s="1257">
        <f>SUM(M45:M50)</f>
        <v>1200002</v>
      </c>
    </row>
    <row r="54" spans="9:13">
      <c r="I54" s="164" t="s">
        <v>643</v>
      </c>
    </row>
    <row r="55" spans="9:13">
      <c r="I55" s="405" t="s">
        <v>141</v>
      </c>
      <c r="J55" s="1251" t="s">
        <v>147</v>
      </c>
      <c r="K55" s="1251" t="s">
        <v>661</v>
      </c>
      <c r="L55" s="1251" t="s">
        <v>662</v>
      </c>
      <c r="M55" s="1251" t="s">
        <v>665</v>
      </c>
    </row>
    <row r="56" spans="9:13">
      <c r="I56" s="406" t="s">
        <v>143</v>
      </c>
      <c r="J56" s="429" t="s">
        <v>151</v>
      </c>
      <c r="K56" s="919">
        <v>504.35</v>
      </c>
      <c r="L56" s="1258">
        <f>M56/K56</f>
        <v>549.46961435511048</v>
      </c>
      <c r="M56" s="433">
        <v>277125</v>
      </c>
    </row>
    <row r="57" spans="9:13">
      <c r="I57" s="408" t="s">
        <v>144</v>
      </c>
      <c r="J57" s="430" t="s">
        <v>152</v>
      </c>
      <c r="K57" s="919">
        <v>391.3</v>
      </c>
      <c r="L57" s="1258">
        <f t="shared" ref="L57:L61" si="4">M57/K57</f>
        <v>517.81497572195246</v>
      </c>
      <c r="M57" s="433">
        <v>202621</v>
      </c>
    </row>
    <row r="58" spans="9:13">
      <c r="I58" s="406" t="s">
        <v>142</v>
      </c>
      <c r="J58" s="429" t="s">
        <v>153</v>
      </c>
      <c r="K58" s="919">
        <v>286.95999999999998</v>
      </c>
      <c r="L58" s="1258">
        <f t="shared" si="4"/>
        <v>644.6856704767215</v>
      </c>
      <c r="M58" s="433">
        <v>184999</v>
      </c>
    </row>
    <row r="59" spans="9:13">
      <c r="I59" s="408" t="s">
        <v>145</v>
      </c>
      <c r="J59" s="430" t="s">
        <v>154</v>
      </c>
      <c r="K59" s="919">
        <v>173.91</v>
      </c>
      <c r="L59" s="1258">
        <f t="shared" si="4"/>
        <v>711.4657006497614</v>
      </c>
      <c r="M59" s="433">
        <v>123731</v>
      </c>
    </row>
    <row r="60" spans="9:13">
      <c r="I60" s="413" t="s">
        <v>353</v>
      </c>
      <c r="J60" s="432" t="s">
        <v>351</v>
      </c>
      <c r="K60" s="919">
        <v>591.29999999999995</v>
      </c>
      <c r="L60" s="1258">
        <f t="shared" si="4"/>
        <v>197.63910028750212</v>
      </c>
      <c r="M60" s="433">
        <v>116864</v>
      </c>
    </row>
    <row r="61" spans="9:13">
      <c r="I61" s="414" t="s">
        <v>354</v>
      </c>
      <c r="J61" s="431" t="s">
        <v>352</v>
      </c>
      <c r="K61" s="919">
        <v>313.04000000000002</v>
      </c>
      <c r="L61" s="1258">
        <f t="shared" si="4"/>
        <v>302.38947099412212</v>
      </c>
      <c r="M61" s="433">
        <v>94660</v>
      </c>
    </row>
    <row r="62" spans="9:13">
      <c r="I62" s="413" t="s">
        <v>356</v>
      </c>
      <c r="J62" s="432"/>
      <c r="M62" s="1257">
        <f>SUM(M56:M61)</f>
        <v>1000000</v>
      </c>
    </row>
    <row r="64" spans="9:13">
      <c r="M64" s="69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4:Y22"/>
  <sheetViews>
    <sheetView topLeftCell="G1" zoomScale="85" zoomScaleNormal="85" workbookViewId="0">
      <selection activeCell="G6" sqref="G6:H13"/>
    </sheetView>
  </sheetViews>
  <sheetFormatPr defaultRowHeight="14.4"/>
  <cols>
    <col min="1" max="1" width="38.6640625" customWidth="1"/>
    <col min="3" max="3" width="15.109375" customWidth="1"/>
    <col min="4" max="4" width="14.6640625" customWidth="1"/>
    <col min="7" max="7" width="43.6640625" customWidth="1"/>
    <col min="8" max="8" width="12.6640625" customWidth="1"/>
    <col min="9" max="9" width="17.6640625" customWidth="1"/>
    <col min="10" max="10" width="20.88671875" customWidth="1"/>
    <col min="12" max="12" width="14.109375" bestFit="1" customWidth="1"/>
    <col min="13" max="13" width="17" customWidth="1"/>
    <col min="15" max="15" width="13.6640625" customWidth="1"/>
    <col min="16" max="16" width="11" bestFit="1" customWidth="1"/>
    <col min="17" max="17" width="19.6640625" customWidth="1"/>
    <col min="18" max="18" width="12.6640625" customWidth="1"/>
    <col min="19" max="19" width="13" customWidth="1"/>
    <col min="20" max="20" width="13.33203125" customWidth="1"/>
    <col min="21" max="21" width="11.33203125" customWidth="1"/>
    <col min="23" max="23" width="11.33203125" customWidth="1"/>
  </cols>
  <sheetData>
    <row r="4" spans="1:25">
      <c r="H4" s="236"/>
      <c r="I4" s="238"/>
      <c r="J4" s="238"/>
    </row>
    <row r="5" spans="1:25">
      <c r="G5" t="s">
        <v>395</v>
      </c>
      <c r="H5" s="236"/>
      <c r="I5" s="238"/>
      <c r="J5" s="418" t="s">
        <v>383</v>
      </c>
      <c r="L5" s="1285" t="s">
        <v>161</v>
      </c>
      <c r="M5" s="1285"/>
      <c r="N5" s="1285" t="s">
        <v>171</v>
      </c>
      <c r="O5" s="1285"/>
      <c r="P5" s="1285" t="s">
        <v>222</v>
      </c>
      <c r="Q5" s="1285"/>
      <c r="R5" s="1285" t="s">
        <v>225</v>
      </c>
      <c r="S5" s="1285"/>
      <c r="T5" s="1285" t="s">
        <v>271</v>
      </c>
      <c r="U5" s="1285"/>
      <c r="V5" s="1285" t="s">
        <v>272</v>
      </c>
      <c r="W5" s="1285"/>
      <c r="X5" s="1285" t="s">
        <v>291</v>
      </c>
      <c r="Y5" s="1285"/>
    </row>
    <row r="6" spans="1:25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9" t="s">
        <v>162</v>
      </c>
      <c r="M6" s="238" t="s">
        <v>169</v>
      </c>
      <c r="N6" s="239" t="s">
        <v>170</v>
      </c>
      <c r="O6" s="238" t="s">
        <v>270</v>
      </c>
      <c r="P6" s="239" t="s">
        <v>269</v>
      </c>
      <c r="Q6" s="238" t="s">
        <v>414</v>
      </c>
      <c r="R6" s="239" t="s">
        <v>528</v>
      </c>
      <c r="S6" s="238" t="s">
        <v>533</v>
      </c>
      <c r="T6" s="239" t="s">
        <v>656</v>
      </c>
      <c r="U6" s="238" t="s">
        <v>657</v>
      </c>
      <c r="V6" s="239" t="s">
        <v>629</v>
      </c>
      <c r="W6" s="238" t="s">
        <v>658</v>
      </c>
      <c r="X6" s="239" t="s">
        <v>659</v>
      </c>
      <c r="Y6" s="238" t="s">
        <v>660</v>
      </c>
    </row>
    <row r="7" spans="1:25" ht="15" customHeight="1">
      <c r="A7" s="406" t="s">
        <v>143</v>
      </c>
      <c r="B7" s="429" t="s">
        <v>151</v>
      </c>
      <c r="C7" s="422">
        <v>6000</v>
      </c>
      <c r="D7" s="407"/>
      <c r="G7" s="164" t="s">
        <v>143</v>
      </c>
      <c r="H7" s="236" t="s">
        <v>151</v>
      </c>
      <c r="I7" s="422"/>
      <c r="J7" s="425" t="e">
        <f>Table52529[[#This Row],[Total Quantity]]-#REF!-Table52529[[#This Row],[Quantity2]]</f>
        <v>#REF!</v>
      </c>
      <c r="K7" s="238">
        <v>478</v>
      </c>
      <c r="L7" s="230">
        <v>110</v>
      </c>
      <c r="M7" s="238">
        <f>Table52529[[#This Row],[Amount]]*Table52529[[#This Row],[Rate]]</f>
        <v>52580</v>
      </c>
      <c r="N7" s="230">
        <v>110</v>
      </c>
      <c r="O7" s="238">
        <f>Table52529[[#This Row],[Amount3]]*Table52529[[#This Row],[Rate]]</f>
        <v>52580</v>
      </c>
      <c r="P7" s="230">
        <v>97.5</v>
      </c>
      <c r="Q7" s="239">
        <f>Table52529[[#This Row],[Quantity25]]*Table52529[[#This Row],[Rate]]</f>
        <v>46605</v>
      </c>
      <c r="R7">
        <v>747.88</v>
      </c>
      <c r="S7">
        <f>Table52529[[#This Row],[Quantity26]]*Table52529[[#This Row],[Rate]]</f>
        <v>357486.64</v>
      </c>
      <c r="T7">
        <v>650.38</v>
      </c>
      <c r="U7">
        <f>T7*Table52529[[#This Row],[Rate]]</f>
        <v>310881.64</v>
      </c>
      <c r="V7">
        <v>554.63</v>
      </c>
      <c r="W7">
        <f>V7*Table52529[[#This Row],[Rate]]</f>
        <v>265113.14</v>
      </c>
      <c r="X7">
        <v>587.63</v>
      </c>
      <c r="Y7">
        <f>X7*Table52529[[#This Row],[Rate]]</f>
        <v>280887.14</v>
      </c>
    </row>
    <row r="8" spans="1:25">
      <c r="A8" s="408" t="s">
        <v>144</v>
      </c>
      <c r="B8" s="430" t="s">
        <v>152</v>
      </c>
      <c r="C8" s="423">
        <v>378</v>
      </c>
      <c r="D8" s="409"/>
      <c r="G8" s="164" t="s">
        <v>144</v>
      </c>
      <c r="H8" s="236" t="s">
        <v>152</v>
      </c>
      <c r="I8" s="423"/>
      <c r="J8" s="426" t="e">
        <f>Table52529[[#This Row],[Total Quantity]]-#REF!-Table52529[[#This Row],[Quantity2]]</f>
        <v>#REF!</v>
      </c>
      <c r="K8" s="238">
        <v>378</v>
      </c>
      <c r="L8" s="230">
        <v>600</v>
      </c>
      <c r="M8" s="238">
        <f>Table52529[[#This Row],[Amount]]*Table52529[[#This Row],[Rate]]</f>
        <v>226800</v>
      </c>
      <c r="N8" s="230">
        <v>600</v>
      </c>
      <c r="O8" s="238">
        <f>Table52529[[#This Row],[Amount3]]*Table52529[[#This Row],[Rate]]</f>
        <v>226800</v>
      </c>
      <c r="P8" s="961">
        <v>172.5</v>
      </c>
      <c r="Q8" s="239">
        <f>Table52529[[#This Row],[Quantity25]]*Table52529[[#This Row],[Rate]]</f>
        <v>65205</v>
      </c>
      <c r="R8">
        <v>1690</v>
      </c>
      <c r="S8">
        <f>Table52529[[#This Row],[Quantity26]]*Table52529[[#This Row],[Rate]]</f>
        <v>638820</v>
      </c>
      <c r="T8">
        <v>1517.5</v>
      </c>
      <c r="U8">
        <f>T8*Table52529[[#This Row],[Rate]]</f>
        <v>573615</v>
      </c>
      <c r="V8">
        <v>3060</v>
      </c>
      <c r="W8">
        <f>V8*Table52529[[#This Row],[Rate]]</f>
        <v>1156680</v>
      </c>
      <c r="X8">
        <v>3240</v>
      </c>
      <c r="Y8">
        <f>X8*Table52529[[#This Row],[Rate]]</f>
        <v>1224720</v>
      </c>
    </row>
    <row r="9" spans="1:25">
      <c r="A9" s="406" t="s">
        <v>142</v>
      </c>
      <c r="B9" s="429" t="s">
        <v>153</v>
      </c>
      <c r="C9" s="422">
        <v>302</v>
      </c>
      <c r="D9" s="410"/>
      <c r="G9" s="164" t="s">
        <v>142</v>
      </c>
      <c r="H9" s="236" t="s">
        <v>153</v>
      </c>
      <c r="I9" s="424"/>
      <c r="J9" s="427" t="e">
        <f>Table52529[[#This Row],[Total Quantity]]-#REF!-Table52529[[#This Row],[Quantity2]]</f>
        <v>#REF!</v>
      </c>
      <c r="K9" s="238">
        <v>302</v>
      </c>
      <c r="L9" s="230">
        <v>850</v>
      </c>
      <c r="M9" s="238">
        <f>Table52529[[#This Row],[Amount]]*Table52529[[#This Row],[Rate]]</f>
        <v>256700</v>
      </c>
      <c r="N9" s="230">
        <v>850</v>
      </c>
      <c r="O9" s="238">
        <f>Table52529[[#This Row],[Amount3]]*Table52529[[#This Row],[Rate]]</f>
        <v>256700</v>
      </c>
      <c r="P9" s="962">
        <v>210</v>
      </c>
      <c r="Q9" s="239">
        <f>Table52529[[#This Row],[Quantity25]]*Table52529[[#This Row],[Rate]]</f>
        <v>63420</v>
      </c>
      <c r="R9">
        <v>2165</v>
      </c>
      <c r="S9">
        <f>Table52529[[#This Row],[Quantity26]]*Table52529[[#This Row],[Rate]]</f>
        <v>653830</v>
      </c>
      <c r="T9">
        <v>1955</v>
      </c>
      <c r="U9">
        <f>T9*Table52529[[#This Row],[Rate]]</f>
        <v>590410</v>
      </c>
      <c r="V9">
        <v>4335</v>
      </c>
      <c r="W9">
        <f>V9*Table52529[[#This Row],[Rate]]</f>
        <v>1309170</v>
      </c>
      <c r="X9">
        <v>4591.5</v>
      </c>
      <c r="Y9">
        <f>X9*Table52529[[#This Row],[Rate]]</f>
        <v>1386633</v>
      </c>
    </row>
    <row r="10" spans="1:25">
      <c r="A10" s="408" t="s">
        <v>145</v>
      </c>
      <c r="B10" s="430" t="s">
        <v>154</v>
      </c>
      <c r="C10" s="423">
        <v>220</v>
      </c>
      <c r="D10" s="411"/>
      <c r="G10" s="164" t="s">
        <v>145</v>
      </c>
      <c r="H10" s="236" t="s">
        <v>154</v>
      </c>
      <c r="I10" s="424"/>
      <c r="J10" s="427" t="e">
        <f>Table52529[[#This Row],[Total Quantity]]-#REF!-Table52529[[#This Row],[Quantity2]]</f>
        <v>#REF!</v>
      </c>
      <c r="K10" s="238">
        <v>220</v>
      </c>
      <c r="L10" s="230">
        <v>700</v>
      </c>
      <c r="M10" s="240">
        <f>Table52529[[#This Row],[Amount]]*Table52529[[#This Row],[Rate]]</f>
        <v>154000</v>
      </c>
      <c r="N10" s="230">
        <v>700</v>
      </c>
      <c r="O10" s="239">
        <f>Table52529[[#This Row],[Amount3]]*Table52529[[#This Row],[Rate]]</f>
        <v>154000</v>
      </c>
      <c r="P10" s="962">
        <v>210</v>
      </c>
      <c r="Q10" s="239">
        <f>Table52529[[#This Row],[Quantity25]]*Table52529[[#This Row],[Rate]]</f>
        <v>46200</v>
      </c>
      <c r="R10">
        <v>2030</v>
      </c>
      <c r="S10">
        <f>Table52529[[#This Row],[Quantity26]]*Table52529[[#This Row],[Rate]]</f>
        <v>446600</v>
      </c>
      <c r="T10">
        <v>1820</v>
      </c>
      <c r="U10">
        <f>T10*Table52529[[#This Row],[Rate]]</f>
        <v>400400</v>
      </c>
      <c r="V10">
        <v>3570</v>
      </c>
      <c r="W10">
        <f>V10*Table52529[[#This Row],[Rate]]</f>
        <v>785400</v>
      </c>
      <c r="X10">
        <v>3795</v>
      </c>
      <c r="Y10">
        <f>X10*Table52529[[#This Row],[Rate]]</f>
        <v>834900</v>
      </c>
    </row>
    <row r="11" spans="1:25">
      <c r="A11" s="413" t="s">
        <v>353</v>
      </c>
      <c r="B11" s="432" t="s">
        <v>351</v>
      </c>
      <c r="C11" s="422">
        <v>478</v>
      </c>
      <c r="D11" s="412">
        <f>C11-Table52529[[#This Row],[Total Quantity]]-I22-I37-I54-I72-I91-I114-I136-I155-I173</f>
        <v>478</v>
      </c>
      <c r="G11" s="413" t="s">
        <v>353</v>
      </c>
      <c r="H11" s="432" t="s">
        <v>351</v>
      </c>
      <c r="I11" s="424">
        <v>0</v>
      </c>
      <c r="J11" s="427" t="e">
        <f>Table52529[[#This Row],[Total Quantity]]-#REF!-Table52529[[#This Row],[Quantity2]]</f>
        <v>#REF!</v>
      </c>
      <c r="K11" s="238">
        <v>478</v>
      </c>
      <c r="L11" s="230">
        <v>500</v>
      </c>
      <c r="M11" s="240">
        <f>Table52529[[#This Row],[Amount]]*Table52529[[#This Row],[Rate]]</f>
        <v>239000</v>
      </c>
      <c r="N11" s="230">
        <v>500</v>
      </c>
      <c r="O11" s="239">
        <f>Table52529[[#This Row],[Amount3]]*Table52529[[#This Row],[Rate]]</f>
        <v>239000</v>
      </c>
      <c r="P11" s="231">
        <v>112.5</v>
      </c>
      <c r="Q11" s="239">
        <f>Table52529[[#This Row],[Quantity25]]*Table52529[[#This Row],[Rate]]</f>
        <v>53775</v>
      </c>
      <c r="R11">
        <v>1200</v>
      </c>
      <c r="S11">
        <f>Table52529[[#This Row],[Quantity26]]*Table52529[[#This Row],[Rate]]</f>
        <v>573600</v>
      </c>
      <c r="T11">
        <v>1087.5</v>
      </c>
      <c r="U11">
        <f>T11*Table52529[[#This Row],[Rate]]</f>
        <v>519825</v>
      </c>
      <c r="V11">
        <v>2550</v>
      </c>
      <c r="W11">
        <f>V11*Table52529[[#This Row],[Rate]]</f>
        <v>1218900</v>
      </c>
      <c r="X11">
        <v>2700</v>
      </c>
      <c r="Y11">
        <f>X11*Table52529[[#This Row],[Rate]]</f>
        <v>1290600</v>
      </c>
    </row>
    <row r="12" spans="1:25">
      <c r="A12" s="414" t="s">
        <v>354</v>
      </c>
      <c r="B12" s="431" t="s">
        <v>352</v>
      </c>
      <c r="C12" s="732">
        <v>172</v>
      </c>
      <c r="D12" s="732">
        <f>C12-Table52529[[#This Row],[Total Quantity]]-I23-I38-I55-I73-I92-I115-I137-I156-I174</f>
        <v>172</v>
      </c>
      <c r="G12" s="733" t="s">
        <v>354</v>
      </c>
      <c r="H12" s="734" t="s">
        <v>352</v>
      </c>
      <c r="I12" s="424">
        <v>0</v>
      </c>
      <c r="J12" s="427" t="e">
        <f>Table52529[[#This Row],[Total Quantity]]-#REF!-Table52529[[#This Row],[Quantity2]]</f>
        <v>#REF!</v>
      </c>
      <c r="K12" s="238">
        <v>172</v>
      </c>
      <c r="L12" s="230">
        <v>181.79651162790697</v>
      </c>
      <c r="M12" s="240">
        <f>Table52529[[#This Row],[Amount]]*Table52529[[#This Row],[Rate]]</f>
        <v>31269</v>
      </c>
      <c r="N12" s="230">
        <v>181.79651162790697</v>
      </c>
      <c r="O12" s="239">
        <f>Table52529[[#This Row],[Amount3]]*Table52529[[#This Row],[Rate]]</f>
        <v>31269</v>
      </c>
      <c r="P12" s="231">
        <v>74.86</v>
      </c>
      <c r="Q12" s="239">
        <f>Table52529[[#This Row],[Quantity25]]*Table52529[[#This Row],[Rate]]</f>
        <v>12875.92</v>
      </c>
      <c r="R12">
        <v>665.81</v>
      </c>
      <c r="S12">
        <f>Table52529[[#This Row],[Quantity26]]*Table52529[[#This Row],[Rate]]</f>
        <v>114519.31999999999</v>
      </c>
      <c r="T12">
        <v>590.95000000000005</v>
      </c>
      <c r="U12">
        <f>T12*Table52529[[#This Row],[Rate]]</f>
        <v>101643.40000000001</v>
      </c>
      <c r="V12">
        <v>944.88</v>
      </c>
      <c r="W12">
        <f>V12*Table52529[[#This Row],[Rate]]</f>
        <v>162519.35999999999</v>
      </c>
      <c r="X12">
        <v>977.6</v>
      </c>
      <c r="Y12">
        <f>X12*Table52529[[#This Row],[Rate]]</f>
        <v>168147.20000000001</v>
      </c>
    </row>
    <row r="13" spans="1:25">
      <c r="G13" s="738" t="s">
        <v>356</v>
      </c>
      <c r="H13" s="739"/>
      <c r="I13" s="735"/>
      <c r="J13" s="736" t="e">
        <f>Table52529[[#This Row],[Total Quantity]]-#REF!-Table52529[[#This Row],[Quantity2]]</f>
        <v>#REF!</v>
      </c>
      <c r="K13" s="238"/>
      <c r="L13" s="260"/>
      <c r="M13" s="262">
        <f>SUM(M7:M12)</f>
        <v>960349</v>
      </c>
      <c r="N13" s="866"/>
      <c r="O13" s="262">
        <f>SUM(O7:O12)</f>
        <v>960349</v>
      </c>
      <c r="P13" s="231"/>
      <c r="Q13" s="954">
        <v>288080.84999999998</v>
      </c>
      <c r="S13" s="697">
        <v>2784853.1</v>
      </c>
      <c r="U13" s="241">
        <f>SUM(U7:U12)</f>
        <v>2496775.04</v>
      </c>
      <c r="W13" s="241">
        <f>SUM(W7:W12)</f>
        <v>4897782.5000000009</v>
      </c>
      <c r="Y13" s="241">
        <f>SUM(Y7:Y12)</f>
        <v>5185887.3400000008</v>
      </c>
    </row>
    <row r="14" spans="1:25">
      <c r="H14" s="236"/>
      <c r="I14" s="947"/>
      <c r="J14" s="949"/>
      <c r="K14" s="236"/>
      <c r="L14" s="950"/>
      <c r="M14" s="948"/>
      <c r="N14" s="950"/>
      <c r="Q14" s="217"/>
    </row>
    <row r="22" spans="17:17">
      <c r="Q22" s="231">
        <f>M13+O13+Q13</f>
        <v>2208778.85</v>
      </c>
    </row>
  </sheetData>
  <mergeCells count="7">
    <mergeCell ref="V5:W5"/>
    <mergeCell ref="X5:Y5"/>
    <mergeCell ref="L5:M5"/>
    <mergeCell ref="N5:O5"/>
    <mergeCell ref="P5:Q5"/>
    <mergeCell ref="R5:S5"/>
    <mergeCell ref="T5:U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4"/>
  <sheetViews>
    <sheetView topLeftCell="A8" zoomScale="70" zoomScaleNormal="70" workbookViewId="0">
      <selection activeCell="D53" sqref="D53"/>
    </sheetView>
  </sheetViews>
  <sheetFormatPr defaultRowHeight="14.4"/>
  <cols>
    <col min="2" max="2" width="15.44140625" customWidth="1"/>
    <col min="3" max="3" width="14.88671875" customWidth="1"/>
    <col min="7" max="7" width="52.6640625" customWidth="1"/>
    <col min="9" max="9" width="20.33203125" customWidth="1"/>
    <col min="10" max="10" width="19" customWidth="1"/>
    <col min="11" max="11" width="12" customWidth="1"/>
    <col min="12" max="12" width="11.44140625" bestFit="1" customWidth="1"/>
    <col min="13" max="13" width="15.44140625" bestFit="1" customWidth="1"/>
    <col min="14" max="14" width="17.6640625" customWidth="1"/>
    <col min="15" max="15" width="23.6640625" customWidth="1"/>
    <col min="16" max="16" width="16.6640625" customWidth="1"/>
    <col min="17" max="17" width="25.88671875" customWidth="1"/>
    <col min="19" max="19" width="17.5546875" customWidth="1"/>
  </cols>
  <sheetData>
    <row r="1" spans="1:19" ht="22.5" customHeight="1">
      <c r="A1" s="421"/>
      <c r="B1" s="421" t="s">
        <v>220</v>
      </c>
      <c r="C1" s="421" t="s">
        <v>219</v>
      </c>
    </row>
    <row r="2" spans="1:19" ht="15.9" customHeight="1">
      <c r="A2" s="429" t="s">
        <v>151</v>
      </c>
      <c r="B2" s="429">
        <v>30000</v>
      </c>
      <c r="C2" s="429"/>
    </row>
    <row r="3" spans="1:19" ht="15.9" customHeight="1">
      <c r="A3" s="430" t="s">
        <v>152</v>
      </c>
      <c r="B3" s="430">
        <v>45000</v>
      </c>
      <c r="C3" s="430"/>
    </row>
    <row r="4" spans="1:19" ht="15.9" customHeight="1">
      <c r="A4" s="429" t="s">
        <v>153</v>
      </c>
      <c r="B4" s="429">
        <v>40000</v>
      </c>
      <c r="C4" s="429"/>
    </row>
    <row r="5" spans="1:19" ht="15.9" customHeight="1">
      <c r="A5" s="430" t="s">
        <v>154</v>
      </c>
      <c r="B5" s="430">
        <v>440000</v>
      </c>
      <c r="C5" s="430"/>
    </row>
    <row r="6" spans="1:19" ht="15.9" customHeight="1">
      <c r="A6" s="429" t="s">
        <v>351</v>
      </c>
      <c r="B6" s="429">
        <v>16000</v>
      </c>
      <c r="C6" s="429"/>
    </row>
    <row r="7" spans="1:19">
      <c r="A7" s="429" t="s">
        <v>422</v>
      </c>
      <c r="B7" s="429">
        <v>14000</v>
      </c>
      <c r="C7" s="429"/>
    </row>
    <row r="11" spans="1:19">
      <c r="G11" t="s">
        <v>385</v>
      </c>
      <c r="L11" s="1284" t="s">
        <v>423</v>
      </c>
      <c r="M11" s="1285"/>
      <c r="N11" s="1284" t="s">
        <v>534</v>
      </c>
      <c r="O11" s="1285"/>
      <c r="P11" s="1284" t="s">
        <v>651</v>
      </c>
      <c r="Q11" s="1285"/>
      <c r="R11" s="1284" t="s">
        <v>415</v>
      </c>
      <c r="S11" s="1285"/>
    </row>
    <row r="12" spans="1:19">
      <c r="G12" s="405" t="s">
        <v>141</v>
      </c>
      <c r="H12" s="946" t="s">
        <v>147</v>
      </c>
      <c r="I12" s="946" t="s">
        <v>217</v>
      </c>
      <c r="J12" s="946" t="s">
        <v>219</v>
      </c>
      <c r="K12" s="918" t="s">
        <v>148</v>
      </c>
      <c r="L12" s="918" t="s">
        <v>163</v>
      </c>
      <c r="M12" s="917" t="s">
        <v>162</v>
      </c>
      <c r="N12" s="918" t="s">
        <v>163</v>
      </c>
      <c r="O12" s="917" t="s">
        <v>162</v>
      </c>
      <c r="P12" s="918" t="s">
        <v>163</v>
      </c>
      <c r="Q12" s="917" t="s">
        <v>162</v>
      </c>
      <c r="R12" s="918" t="s">
        <v>163</v>
      </c>
      <c r="S12" s="917" t="s">
        <v>162</v>
      </c>
    </row>
    <row r="13" spans="1:19">
      <c r="G13" s="406" t="s">
        <v>143</v>
      </c>
      <c r="H13" s="429" t="s">
        <v>151</v>
      </c>
      <c r="I13" s="919">
        <v>2000</v>
      </c>
      <c r="J13" s="919"/>
      <c r="K13" s="925">
        <v>463</v>
      </c>
      <c r="L13" s="925">
        <v>600</v>
      </c>
      <c r="M13" s="926">
        <f>L13*K13</f>
        <v>277800</v>
      </c>
      <c r="N13" s="925">
        <v>500</v>
      </c>
      <c r="O13" s="926">
        <f>N13*K13</f>
        <v>231500</v>
      </c>
      <c r="P13" s="1253">
        <v>500</v>
      </c>
      <c r="Q13">
        <f>P13*K13</f>
        <v>231500</v>
      </c>
      <c r="R13">
        <v>400</v>
      </c>
      <c r="S13">
        <f>K13*R13</f>
        <v>185200</v>
      </c>
    </row>
    <row r="14" spans="1:19">
      <c r="G14" s="408" t="s">
        <v>144</v>
      </c>
      <c r="H14" s="430" t="s">
        <v>152</v>
      </c>
      <c r="I14" s="732">
        <v>2000</v>
      </c>
      <c r="J14" s="732"/>
      <c r="K14" s="925">
        <v>349</v>
      </c>
      <c r="L14" s="927">
        <v>600</v>
      </c>
      <c r="M14" s="926">
        <f t="shared" ref="M14:M17" si="0">L14*K14</f>
        <v>209400</v>
      </c>
      <c r="N14" s="927">
        <v>500</v>
      </c>
      <c r="O14" s="926">
        <f t="shared" ref="O14:O16" si="1">N14*K14</f>
        <v>174500</v>
      </c>
      <c r="P14">
        <v>500</v>
      </c>
      <c r="Q14">
        <f t="shared" ref="Q14:Q16" si="2">P14*K14</f>
        <v>174500</v>
      </c>
      <c r="R14">
        <v>400</v>
      </c>
      <c r="S14">
        <f t="shared" ref="S14:S16" si="3">K14*R14</f>
        <v>139600</v>
      </c>
    </row>
    <row r="15" spans="1:19">
      <c r="G15" s="406" t="s">
        <v>142</v>
      </c>
      <c r="H15" s="429" t="s">
        <v>153</v>
      </c>
      <c r="I15" s="919">
        <v>2000</v>
      </c>
      <c r="J15" s="919"/>
      <c r="K15" s="925">
        <v>302</v>
      </c>
      <c r="L15" s="925">
        <v>600</v>
      </c>
      <c r="M15" s="926">
        <f t="shared" si="0"/>
        <v>181200</v>
      </c>
      <c r="N15" s="925">
        <v>500</v>
      </c>
      <c r="O15" s="926">
        <f t="shared" si="1"/>
        <v>151000</v>
      </c>
      <c r="P15" s="1253">
        <v>500</v>
      </c>
      <c r="Q15">
        <f t="shared" si="2"/>
        <v>151000</v>
      </c>
      <c r="R15">
        <v>400</v>
      </c>
      <c r="S15">
        <f t="shared" si="3"/>
        <v>120800</v>
      </c>
    </row>
    <row r="16" spans="1:19">
      <c r="G16" s="408" t="s">
        <v>145</v>
      </c>
      <c r="H16" s="430" t="s">
        <v>154</v>
      </c>
      <c r="I16" s="732">
        <v>1553</v>
      </c>
      <c r="J16" s="732"/>
      <c r="K16" s="925">
        <v>169</v>
      </c>
      <c r="L16" s="732">
        <v>466</v>
      </c>
      <c r="M16" s="926">
        <f t="shared" si="0"/>
        <v>78754</v>
      </c>
      <c r="N16" s="732">
        <v>388</v>
      </c>
      <c r="O16" s="926">
        <f t="shared" si="1"/>
        <v>65572</v>
      </c>
      <c r="P16">
        <v>388</v>
      </c>
      <c r="Q16">
        <f t="shared" si="2"/>
        <v>65572</v>
      </c>
      <c r="R16">
        <v>311</v>
      </c>
      <c r="S16">
        <f t="shared" si="3"/>
        <v>52559</v>
      </c>
    </row>
    <row r="17" spans="7:19">
      <c r="G17" s="413" t="s">
        <v>353</v>
      </c>
      <c r="H17" s="432" t="s">
        <v>351</v>
      </c>
      <c r="I17" s="919">
        <v>0</v>
      </c>
      <c r="J17" s="919"/>
      <c r="K17" s="925"/>
      <c r="L17" s="919"/>
      <c r="M17" s="926">
        <f t="shared" si="0"/>
        <v>0</v>
      </c>
      <c r="N17" s="919"/>
      <c r="O17" s="926"/>
    </row>
    <row r="18" spans="7:19">
      <c r="G18" s="414" t="s">
        <v>354</v>
      </c>
      <c r="H18" s="431" t="s">
        <v>352</v>
      </c>
      <c r="I18" s="732">
        <v>0</v>
      </c>
      <c r="J18" s="732"/>
      <c r="K18" s="925"/>
      <c r="L18" s="732"/>
      <c r="M18" s="922"/>
      <c r="N18" s="732"/>
      <c r="O18" s="922"/>
    </row>
    <row r="19" spans="7:19">
      <c r="G19" s="413" t="s">
        <v>356</v>
      </c>
      <c r="H19" s="432"/>
      <c r="I19" s="735"/>
      <c r="J19" s="919"/>
      <c r="K19" s="925"/>
      <c r="L19" s="952"/>
      <c r="M19" s="926">
        <f>SUM(M13:M16)</f>
        <v>747154</v>
      </c>
      <c r="N19" s="952"/>
      <c r="O19" s="926">
        <f>SUM(O13:O16)</f>
        <v>622572</v>
      </c>
      <c r="Q19" s="241">
        <f>SUM(Q13:Q18)</f>
        <v>622572</v>
      </c>
      <c r="S19" s="954">
        <f>SUM(S13:S18)</f>
        <v>498159</v>
      </c>
    </row>
    <row r="23" spans="7:19">
      <c r="G23" t="s">
        <v>419</v>
      </c>
      <c r="L23" s="1284" t="s">
        <v>423</v>
      </c>
      <c r="M23" s="1285"/>
      <c r="N23" s="1284" t="s">
        <v>651</v>
      </c>
      <c r="O23" s="1285"/>
      <c r="P23" s="1284" t="s">
        <v>652</v>
      </c>
      <c r="Q23" s="1285"/>
      <c r="R23" s="1284" t="s">
        <v>654</v>
      </c>
      <c r="S23" s="1285"/>
    </row>
    <row r="24" spans="7:19">
      <c r="G24" s="405" t="s">
        <v>141</v>
      </c>
      <c r="H24" s="946" t="s">
        <v>147</v>
      </c>
      <c r="I24" s="946" t="s">
        <v>217</v>
      </c>
      <c r="J24" s="946" t="s">
        <v>219</v>
      </c>
      <c r="K24" s="918" t="s">
        <v>148</v>
      </c>
      <c r="L24" s="918" t="s">
        <v>163</v>
      </c>
      <c r="M24" s="917" t="s">
        <v>162</v>
      </c>
      <c r="N24" s="918" t="s">
        <v>163</v>
      </c>
      <c r="O24" s="917" t="s">
        <v>162</v>
      </c>
      <c r="P24" s="918" t="s">
        <v>163</v>
      </c>
      <c r="Q24" s="917" t="s">
        <v>162</v>
      </c>
      <c r="R24" s="918" t="s">
        <v>163</v>
      </c>
      <c r="S24" s="917" t="s">
        <v>162</v>
      </c>
    </row>
    <row r="25" spans="7:19">
      <c r="G25" s="406" t="s">
        <v>143</v>
      </c>
      <c r="H25" s="429" t="s">
        <v>151</v>
      </c>
      <c r="I25" s="919">
        <v>8000</v>
      </c>
      <c r="J25" s="919"/>
      <c r="K25" s="925">
        <v>463</v>
      </c>
      <c r="L25" s="925">
        <v>2600</v>
      </c>
      <c r="M25" s="926">
        <f>L25*K25</f>
        <v>1203800</v>
      </c>
      <c r="N25">
        <v>1000</v>
      </c>
      <c r="O25">
        <f>N25*K25</f>
        <v>463000</v>
      </c>
      <c r="P25">
        <v>800</v>
      </c>
      <c r="Q25">
        <f>P25*K25</f>
        <v>370400</v>
      </c>
      <c r="R25">
        <v>1800</v>
      </c>
      <c r="S25">
        <f>R25*K25</f>
        <v>833400</v>
      </c>
    </row>
    <row r="26" spans="7:19">
      <c r="G26" s="408" t="s">
        <v>144</v>
      </c>
      <c r="H26" s="430" t="s">
        <v>152</v>
      </c>
      <c r="I26" s="919">
        <v>20000</v>
      </c>
      <c r="J26" s="732"/>
      <c r="K26" s="925">
        <v>349</v>
      </c>
      <c r="L26" s="925">
        <v>6500</v>
      </c>
      <c r="M26" s="926">
        <f t="shared" ref="M26:M30" si="4">L26*K26</f>
        <v>2268500</v>
      </c>
      <c r="N26">
        <v>2500</v>
      </c>
      <c r="O26">
        <f t="shared" ref="O26:O30" si="5">N26*K26</f>
        <v>872500</v>
      </c>
      <c r="P26">
        <v>2000</v>
      </c>
      <c r="Q26">
        <f t="shared" ref="Q26:Q30" si="6">P26*K26</f>
        <v>698000</v>
      </c>
      <c r="R26">
        <v>4500</v>
      </c>
      <c r="S26">
        <f t="shared" ref="S26:S30" si="7">R26*K26</f>
        <v>1570500</v>
      </c>
    </row>
    <row r="27" spans="7:19">
      <c r="G27" s="406" t="s">
        <v>142</v>
      </c>
      <c r="H27" s="429" t="s">
        <v>153</v>
      </c>
      <c r="I27" s="919">
        <v>17557</v>
      </c>
      <c r="J27" s="919"/>
      <c r="K27" s="925">
        <v>302</v>
      </c>
      <c r="L27" s="925">
        <v>5707</v>
      </c>
      <c r="M27" s="926">
        <f t="shared" si="4"/>
        <v>1723514</v>
      </c>
      <c r="N27">
        <v>2195</v>
      </c>
      <c r="O27">
        <f t="shared" si="5"/>
        <v>662890</v>
      </c>
      <c r="P27">
        <v>1756</v>
      </c>
      <c r="Q27">
        <f t="shared" si="6"/>
        <v>530312</v>
      </c>
      <c r="R27">
        <v>3949.5</v>
      </c>
      <c r="S27">
        <f t="shared" si="7"/>
        <v>1192749</v>
      </c>
    </row>
    <row r="28" spans="7:19">
      <c r="G28" s="408" t="s">
        <v>145</v>
      </c>
      <c r="H28" s="430" t="s">
        <v>154</v>
      </c>
      <c r="I28" s="919">
        <v>20000</v>
      </c>
      <c r="J28" s="732"/>
      <c r="K28" s="925">
        <v>169</v>
      </c>
      <c r="L28" s="925">
        <v>6500</v>
      </c>
      <c r="M28" s="926">
        <f t="shared" si="4"/>
        <v>1098500</v>
      </c>
      <c r="N28">
        <v>2500</v>
      </c>
      <c r="O28">
        <f t="shared" si="5"/>
        <v>422500</v>
      </c>
      <c r="P28">
        <v>2000</v>
      </c>
      <c r="Q28">
        <f t="shared" si="6"/>
        <v>338000</v>
      </c>
      <c r="R28">
        <v>4500</v>
      </c>
      <c r="S28">
        <f t="shared" si="7"/>
        <v>760500</v>
      </c>
    </row>
    <row r="29" spans="7:19">
      <c r="G29" s="413" t="s">
        <v>353</v>
      </c>
      <c r="H29" s="432" t="s">
        <v>351</v>
      </c>
      <c r="I29" s="919">
        <v>8000</v>
      </c>
      <c r="J29" s="919"/>
      <c r="K29" s="925">
        <v>463</v>
      </c>
      <c r="L29" s="919">
        <v>2600</v>
      </c>
      <c r="M29" s="926">
        <f t="shared" si="4"/>
        <v>1203800</v>
      </c>
      <c r="N29" s="944">
        <v>1000</v>
      </c>
      <c r="O29">
        <f t="shared" si="5"/>
        <v>463000</v>
      </c>
      <c r="P29">
        <v>800</v>
      </c>
      <c r="Q29">
        <f t="shared" si="6"/>
        <v>370400</v>
      </c>
      <c r="R29">
        <v>1800</v>
      </c>
      <c r="S29">
        <f t="shared" si="7"/>
        <v>833400</v>
      </c>
    </row>
    <row r="30" spans="7:19">
      <c r="G30" s="414" t="s">
        <v>354</v>
      </c>
      <c r="H30" s="431" t="s">
        <v>352</v>
      </c>
      <c r="I30" s="919">
        <v>7997</v>
      </c>
      <c r="J30" s="732"/>
      <c r="K30" s="925">
        <v>179</v>
      </c>
      <c r="L30" s="732">
        <v>2599</v>
      </c>
      <c r="M30" s="922">
        <f t="shared" si="4"/>
        <v>465221</v>
      </c>
      <c r="N30">
        <v>999.5</v>
      </c>
      <c r="O30">
        <f t="shared" si="5"/>
        <v>178910.5</v>
      </c>
      <c r="P30">
        <v>799.5</v>
      </c>
      <c r="Q30">
        <f t="shared" si="6"/>
        <v>143110.5</v>
      </c>
      <c r="R30">
        <v>1799.5</v>
      </c>
      <c r="S30">
        <f t="shared" si="7"/>
        <v>322110.5</v>
      </c>
    </row>
    <row r="31" spans="7:19">
      <c r="G31" s="413" t="s">
        <v>356</v>
      </c>
      <c r="H31" s="432"/>
      <c r="I31" s="735"/>
      <c r="J31" s="919"/>
      <c r="K31" s="925"/>
      <c r="L31" s="952"/>
      <c r="M31" s="926">
        <f>SUM(M25:M30)</f>
        <v>7963335</v>
      </c>
      <c r="O31" s="241">
        <f>SUM(O25:O30)</f>
        <v>3062800.5</v>
      </c>
      <c r="Q31" s="241">
        <f>SUM(Q25:Q30)</f>
        <v>2450222.5</v>
      </c>
      <c r="S31" s="241">
        <f>SUM(S25:S30)</f>
        <v>5512659.5</v>
      </c>
    </row>
    <row r="36" spans="7:13">
      <c r="G36" t="s">
        <v>653</v>
      </c>
      <c r="L36" s="1284" t="s">
        <v>415</v>
      </c>
      <c r="M36" s="1285"/>
    </row>
    <row r="37" spans="7:13">
      <c r="G37" s="405" t="s">
        <v>141</v>
      </c>
      <c r="H37" s="1249" t="s">
        <v>147</v>
      </c>
      <c r="I37" s="1249" t="s">
        <v>217</v>
      </c>
      <c r="J37" s="1249" t="s">
        <v>219</v>
      </c>
      <c r="K37" s="918" t="s">
        <v>148</v>
      </c>
      <c r="L37" s="918" t="s">
        <v>163</v>
      </c>
      <c r="M37" s="917" t="s">
        <v>162</v>
      </c>
    </row>
    <row r="38" spans="7:13">
      <c r="G38" s="406" t="s">
        <v>143</v>
      </c>
      <c r="H38" s="429" t="s">
        <v>151</v>
      </c>
      <c r="I38">
        <v>923</v>
      </c>
      <c r="K38" s="925">
        <v>463</v>
      </c>
      <c r="L38">
        <v>126.5</v>
      </c>
      <c r="M38">
        <f>L38*K38</f>
        <v>58569.5</v>
      </c>
    </row>
    <row r="39" spans="7:13">
      <c r="G39" s="408" t="s">
        <v>144</v>
      </c>
      <c r="H39" s="430" t="s">
        <v>152</v>
      </c>
      <c r="I39">
        <v>832</v>
      </c>
      <c r="K39" s="925">
        <v>349</v>
      </c>
      <c r="L39">
        <v>135.5</v>
      </c>
      <c r="M39">
        <f t="shared" ref="M39:M43" si="8">L39*K39</f>
        <v>47289.5</v>
      </c>
    </row>
    <row r="40" spans="7:13">
      <c r="G40" s="406" t="s">
        <v>142</v>
      </c>
      <c r="H40" s="429" t="s">
        <v>153</v>
      </c>
      <c r="I40">
        <v>530</v>
      </c>
      <c r="K40" s="925">
        <v>302</v>
      </c>
      <c r="L40">
        <v>75</v>
      </c>
      <c r="M40">
        <f t="shared" si="8"/>
        <v>22650</v>
      </c>
    </row>
    <row r="41" spans="7:13">
      <c r="G41" s="408" t="s">
        <v>145</v>
      </c>
      <c r="H41" s="430" t="s">
        <v>154</v>
      </c>
      <c r="I41">
        <v>375</v>
      </c>
      <c r="K41" s="925">
        <v>169</v>
      </c>
      <c r="L41">
        <v>50</v>
      </c>
      <c r="M41">
        <f t="shared" si="8"/>
        <v>8450</v>
      </c>
    </row>
    <row r="42" spans="7:13">
      <c r="G42" s="413" t="s">
        <v>353</v>
      </c>
      <c r="H42" s="432" t="s">
        <v>351</v>
      </c>
      <c r="I42">
        <v>290</v>
      </c>
      <c r="K42" s="925">
        <v>463</v>
      </c>
      <c r="L42">
        <v>50</v>
      </c>
      <c r="M42">
        <f t="shared" si="8"/>
        <v>23150</v>
      </c>
    </row>
    <row r="43" spans="7:13">
      <c r="G43" s="414" t="s">
        <v>354</v>
      </c>
      <c r="H43" s="431" t="s">
        <v>352</v>
      </c>
      <c r="I43">
        <v>273</v>
      </c>
      <c r="K43" s="925">
        <v>179</v>
      </c>
      <c r="L43">
        <v>48</v>
      </c>
      <c r="M43">
        <f t="shared" si="8"/>
        <v>8592</v>
      </c>
    </row>
    <row r="44" spans="7:13">
      <c r="M44" s="241">
        <f>SUM(M38:M43)</f>
        <v>168701</v>
      </c>
    </row>
  </sheetData>
  <mergeCells count="9">
    <mergeCell ref="R11:S11"/>
    <mergeCell ref="L36:M36"/>
    <mergeCell ref="R23:S23"/>
    <mergeCell ref="L11:M11"/>
    <mergeCell ref="L23:M23"/>
    <mergeCell ref="N11:O11"/>
    <mergeCell ref="N23:O23"/>
    <mergeCell ref="P11:Q11"/>
    <mergeCell ref="P23:Q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Y66"/>
  <sheetViews>
    <sheetView topLeftCell="A25" zoomScale="85" zoomScaleNormal="85" workbookViewId="0">
      <selection activeCell="P73" sqref="P73"/>
    </sheetView>
  </sheetViews>
  <sheetFormatPr defaultRowHeight="14.4"/>
  <cols>
    <col min="1" max="1" width="28.6640625" customWidth="1"/>
    <col min="3" max="3" width="13.44140625" bestFit="1" customWidth="1"/>
    <col min="4" max="4" width="18.5546875" bestFit="1" customWidth="1"/>
    <col min="7" max="7" width="34.33203125" customWidth="1"/>
    <col min="9" max="9" width="24.44140625" bestFit="1" customWidth="1"/>
    <col min="10" max="10" width="16" customWidth="1"/>
    <col min="12" max="12" width="9.5546875" bestFit="1" customWidth="1"/>
    <col min="13" max="13" width="13.44140625" customWidth="1"/>
    <col min="14" max="14" width="10.6640625" bestFit="1" customWidth="1"/>
    <col min="15" max="15" width="20.5546875" bestFit="1" customWidth="1"/>
    <col min="16" max="16" width="11.44140625" bestFit="1" customWidth="1"/>
    <col min="17" max="17" width="20" bestFit="1" customWidth="1"/>
    <col min="18" max="18" width="13.6640625" customWidth="1"/>
    <col min="19" max="19" width="21.44140625" bestFit="1" customWidth="1"/>
    <col min="20" max="20" width="9.33203125" bestFit="1" customWidth="1"/>
    <col min="21" max="21" width="16.6640625" bestFit="1" customWidth="1"/>
    <col min="22" max="22" width="17.33203125" customWidth="1"/>
    <col min="23" max="23" width="22.5546875" customWidth="1"/>
    <col min="25" max="25" width="15.44140625" customWidth="1"/>
  </cols>
  <sheetData>
    <row r="6" spans="1:19">
      <c r="H6" s="236"/>
      <c r="I6" s="238"/>
      <c r="J6" s="238"/>
      <c r="L6" s="238"/>
    </row>
    <row r="7" spans="1:19">
      <c r="G7" t="s">
        <v>355</v>
      </c>
      <c r="H7" s="236"/>
      <c r="I7" s="238"/>
      <c r="J7" s="418"/>
      <c r="L7" s="1285" t="s">
        <v>161</v>
      </c>
      <c r="M7" s="1286"/>
      <c r="N7" s="1284" t="s">
        <v>171</v>
      </c>
      <c r="O7" s="1285"/>
      <c r="P7" s="1285" t="s">
        <v>222</v>
      </c>
      <c r="Q7" s="1286"/>
      <c r="R7" s="1284" t="s">
        <v>225</v>
      </c>
      <c r="S7" s="1285"/>
    </row>
    <row r="8" spans="1:19">
      <c r="A8" s="405" t="s">
        <v>141</v>
      </c>
      <c r="B8" s="421"/>
      <c r="C8" s="421" t="s">
        <v>220</v>
      </c>
      <c r="D8" s="421" t="s">
        <v>219</v>
      </c>
      <c r="G8" t="s">
        <v>141</v>
      </c>
      <c r="H8" s="236" t="s">
        <v>147</v>
      </c>
      <c r="I8" s="236" t="s">
        <v>217</v>
      </c>
      <c r="J8" s="236" t="s">
        <v>219</v>
      </c>
      <c r="K8" s="238" t="s">
        <v>148</v>
      </c>
      <c r="L8" s="238" t="s">
        <v>163</v>
      </c>
      <c r="M8" s="239" t="s">
        <v>162</v>
      </c>
      <c r="N8" s="238" t="s">
        <v>169</v>
      </c>
      <c r="O8" s="239" t="s">
        <v>170</v>
      </c>
      <c r="P8" s="238" t="s">
        <v>266</v>
      </c>
      <c r="Q8" s="239" t="s">
        <v>268</v>
      </c>
      <c r="R8" s="238" t="s">
        <v>269</v>
      </c>
      <c r="S8" s="239" t="s">
        <v>270</v>
      </c>
    </row>
    <row r="9" spans="1:19" ht="28.8">
      <c r="A9" s="406" t="s">
        <v>143</v>
      </c>
      <c r="B9" s="429" t="s">
        <v>151</v>
      </c>
      <c r="C9" s="422"/>
      <c r="D9" s="407"/>
      <c r="G9" s="164" t="s">
        <v>143</v>
      </c>
      <c r="H9" s="236" t="s">
        <v>151</v>
      </c>
      <c r="I9" s="422">
        <v>810</v>
      </c>
      <c r="J9" s="425">
        <f>Table525[[#This Row],[Total Quantity]]-Table525[[#This Row],[Quantity]]-Table525[[#This Row],[Quantity2]]</f>
        <v>0</v>
      </c>
      <c r="K9" s="238">
        <v>405</v>
      </c>
      <c r="L9" s="238">
        <v>364.5</v>
      </c>
      <c r="M9" s="230">
        <f>Table525[[#This Row],[Rate]]*Table525[[#This Row],[Quantity]]</f>
        <v>147622.5</v>
      </c>
      <c r="N9" s="238">
        <v>445.5</v>
      </c>
      <c r="O9" s="230">
        <f>Table525[[#This Row],[Quantity2]]*Table525[[#This Row],[Rate]]</f>
        <v>180427.5</v>
      </c>
      <c r="P9" s="238"/>
      <c r="Q9" s="230"/>
      <c r="R9" s="238"/>
      <c r="S9" s="230"/>
    </row>
    <row r="10" spans="1:19" ht="28.8">
      <c r="A10" s="408" t="s">
        <v>144</v>
      </c>
      <c r="B10" s="430" t="s">
        <v>152</v>
      </c>
      <c r="C10" s="423"/>
      <c r="D10" s="409"/>
      <c r="G10" s="164" t="s">
        <v>144</v>
      </c>
      <c r="H10" s="236" t="s">
        <v>152</v>
      </c>
      <c r="I10" s="423">
        <v>1905</v>
      </c>
      <c r="J10" s="426">
        <f>Table525[[#This Row],[Total Quantity]]-Table525[[#This Row],[Quantity]]-Table525[[#This Row],[Quantity2]]</f>
        <v>0</v>
      </c>
      <c r="K10" s="238">
        <v>302</v>
      </c>
      <c r="L10" s="238">
        <v>857.25</v>
      </c>
      <c r="M10" s="230">
        <f>Table525[[#This Row],[Rate]]*Table525[[#This Row],[Quantity]]</f>
        <v>258889.5</v>
      </c>
      <c r="N10" s="238">
        <v>1047.75</v>
      </c>
      <c r="O10" s="230">
        <f>Table525[[#This Row],[Quantity2]]*Table525[[#This Row],[Rate]]</f>
        <v>316420.5</v>
      </c>
      <c r="P10" s="238"/>
      <c r="Q10" s="230"/>
      <c r="R10" s="238"/>
      <c r="S10" s="230"/>
    </row>
    <row r="11" spans="1:19">
      <c r="A11" s="406" t="s">
        <v>142</v>
      </c>
      <c r="B11" s="429" t="s">
        <v>153</v>
      </c>
      <c r="C11" s="422"/>
      <c r="D11" s="410"/>
      <c r="G11" s="164" t="s">
        <v>142</v>
      </c>
      <c r="H11" s="236" t="s">
        <v>153</v>
      </c>
      <c r="I11" s="424">
        <v>2233</v>
      </c>
      <c r="J11" s="427">
        <f>Table525[[#This Row],[Total Quantity]]-Table525[[#This Row],[Quantity]]-Table525[[#This Row],[Quantity2]]</f>
        <v>0</v>
      </c>
      <c r="K11" s="238">
        <v>259</v>
      </c>
      <c r="L11" s="238">
        <v>1004.85</v>
      </c>
      <c r="M11" s="230">
        <f>Table525[[#This Row],[Rate]]*Table525[[#This Row],[Quantity]]</f>
        <v>260256.15</v>
      </c>
      <c r="N11" s="238">
        <v>1228.1500000000001</v>
      </c>
      <c r="O11" s="230">
        <f>Table525[[#This Row],[Quantity2]]*Table525[[#This Row],[Rate]]</f>
        <v>318090.85000000003</v>
      </c>
      <c r="P11" s="238"/>
      <c r="Q11" s="232"/>
      <c r="R11" s="238"/>
      <c r="S11" s="232"/>
    </row>
    <row r="12" spans="1:19">
      <c r="A12" s="408" t="s">
        <v>145</v>
      </c>
      <c r="B12" s="430" t="s">
        <v>154</v>
      </c>
      <c r="C12" s="423"/>
      <c r="D12" s="411"/>
      <c r="G12" s="164" t="s">
        <v>145</v>
      </c>
      <c r="H12" s="236" t="s">
        <v>154</v>
      </c>
      <c r="I12" s="424">
        <v>1212</v>
      </c>
      <c r="J12" s="427">
        <f>Table525[[#This Row],[Total Quantity]]-Table525[[#This Row],[Quantity]]-Table525[[#This Row],[Quantity2]]</f>
        <v>0</v>
      </c>
      <c r="K12" s="238">
        <v>146</v>
      </c>
      <c r="L12" s="239">
        <v>545.4</v>
      </c>
      <c r="M12" s="230">
        <f>Table525[[#This Row],[Rate]]*Table525[[#This Row],[Quantity]]</f>
        <v>79628.399999999994</v>
      </c>
      <c r="N12" s="240">
        <v>666.6</v>
      </c>
      <c r="O12" s="230">
        <f>Table525[[#This Row],[Quantity2]]*Table525[[#This Row],[Rate]]</f>
        <v>97323.6</v>
      </c>
      <c r="P12" s="239"/>
      <c r="Q12" s="231"/>
      <c r="R12" s="240"/>
      <c r="S12" s="231"/>
    </row>
    <row r="13" spans="1:19">
      <c r="A13" s="413" t="s">
        <v>353</v>
      </c>
      <c r="B13" s="432" t="s">
        <v>351</v>
      </c>
      <c r="C13" s="422"/>
      <c r="D13" s="412" t="e">
        <f>C13-Table525[[#This Row],[Total Quantity]]-I23-I38-I56-#REF!-I85-I108-I130-I149-I167</f>
        <v>#REF!</v>
      </c>
      <c r="G13" s="413" t="s">
        <v>353</v>
      </c>
      <c r="H13" s="432" t="s">
        <v>351</v>
      </c>
      <c r="I13" s="424">
        <v>0</v>
      </c>
      <c r="J13" s="427">
        <f>Table525[[#This Row],[Total Quantity]]-Table525[[#This Row],[Quantity]]-Table525[[#This Row],[Quantity2]]</f>
        <v>0</v>
      </c>
      <c r="K13" s="238">
        <v>405</v>
      </c>
      <c r="L13" s="239"/>
      <c r="M13" s="230">
        <f>Table525[[#This Row],[Rate]]*Table525[[#This Row],[Quantity]]</f>
        <v>0</v>
      </c>
      <c r="N13" s="240"/>
      <c r="O13" s="231"/>
      <c r="P13" s="239"/>
      <c r="Q13" s="231"/>
      <c r="R13" s="240"/>
      <c r="S13" s="231"/>
    </row>
    <row r="14" spans="1:19">
      <c r="A14" s="414" t="s">
        <v>354</v>
      </c>
      <c r="B14" s="431" t="s">
        <v>352</v>
      </c>
      <c r="C14" s="732"/>
      <c r="D14" s="732" t="e">
        <f>C14-Table525[[#This Row],[Total Quantity]]-I24-I39-I57-I67-I86-I109-I131-I150-I168</f>
        <v>#VALUE!</v>
      </c>
      <c r="G14" s="733" t="s">
        <v>354</v>
      </c>
      <c r="H14" s="734" t="s">
        <v>352</v>
      </c>
      <c r="I14" s="424">
        <v>0</v>
      </c>
      <c r="J14" s="427">
        <f>Table525[[#This Row],[Total Quantity]]-Table525[[#This Row],[Quantity]]-Table525[[#This Row],[Quantity2]]</f>
        <v>0</v>
      </c>
      <c r="K14" s="238">
        <v>162</v>
      </c>
      <c r="L14" s="239"/>
      <c r="M14" s="230">
        <f>Table525[[#This Row],[Rate]]*Table525[[#This Row],[Quantity]]</f>
        <v>0</v>
      </c>
      <c r="N14" s="240"/>
      <c r="O14" s="231"/>
      <c r="P14" s="239"/>
      <c r="Q14" s="231"/>
      <c r="R14" s="240"/>
      <c r="S14" s="231"/>
    </row>
    <row r="15" spans="1:19">
      <c r="G15" s="738" t="s">
        <v>356</v>
      </c>
      <c r="H15" s="739"/>
      <c r="I15" s="735"/>
      <c r="J15" s="736">
        <f>Table525[[#This Row],[Total Quantity]]-Table525[[#This Row],[Quantity]]-Table525[[#This Row],[Quantity2]]</f>
        <v>0</v>
      </c>
      <c r="K15" s="238"/>
      <c r="L15" s="737"/>
      <c r="M15" s="260">
        <f>SUM(M9:M14)</f>
        <v>746396.55</v>
      </c>
      <c r="N15" s="255"/>
      <c r="O15" s="866">
        <f>SUM(O9:O14)</f>
        <v>912262.45000000007</v>
      </c>
      <c r="P15" s="239"/>
      <c r="Q15" s="231"/>
      <c r="R15" s="240"/>
      <c r="S15" s="234"/>
    </row>
    <row r="22" spans="7:21">
      <c r="H22" s="236"/>
      <c r="I22" s="238"/>
      <c r="J22" s="238"/>
      <c r="L22" s="238"/>
    </row>
    <row r="23" spans="7:21">
      <c r="G23" t="s">
        <v>357</v>
      </c>
      <c r="H23" s="236"/>
      <c r="I23" s="238"/>
      <c r="J23" s="418"/>
      <c r="L23" s="1285" t="s">
        <v>161</v>
      </c>
      <c r="M23" s="1286"/>
      <c r="N23" s="1284" t="s">
        <v>171</v>
      </c>
      <c r="O23" s="1285"/>
      <c r="P23" s="1285" t="s">
        <v>222</v>
      </c>
      <c r="Q23" s="1286"/>
      <c r="R23" s="1284" t="s">
        <v>272</v>
      </c>
      <c r="S23" s="1285"/>
      <c r="T23" s="1284" t="s">
        <v>292</v>
      </c>
      <c r="U23" s="1285"/>
    </row>
    <row r="24" spans="7:21">
      <c r="G24" t="s">
        <v>141</v>
      </c>
      <c r="H24" s="236" t="s">
        <v>147</v>
      </c>
      <c r="I24" s="236" t="s">
        <v>217</v>
      </c>
      <c r="J24" s="236" t="s">
        <v>219</v>
      </c>
      <c r="K24" s="238" t="s">
        <v>148</v>
      </c>
      <c r="L24" s="238" t="s">
        <v>163</v>
      </c>
      <c r="M24" s="239" t="s">
        <v>162</v>
      </c>
      <c r="N24" s="238" t="s">
        <v>169</v>
      </c>
      <c r="O24" s="239" t="s">
        <v>170</v>
      </c>
      <c r="P24" s="238" t="s">
        <v>266</v>
      </c>
      <c r="Q24" s="239" t="s">
        <v>268</v>
      </c>
      <c r="R24" s="238" t="s">
        <v>269</v>
      </c>
      <c r="S24" s="239" t="s">
        <v>270</v>
      </c>
      <c r="T24" t="s">
        <v>528</v>
      </c>
      <c r="U24" t="s">
        <v>358</v>
      </c>
    </row>
    <row r="25" spans="7:21">
      <c r="G25" s="164" t="s">
        <v>143</v>
      </c>
      <c r="H25" s="236" t="s">
        <v>151</v>
      </c>
      <c r="I25" s="422">
        <v>5359</v>
      </c>
      <c r="J25" s="425">
        <f>Table52526[[#This Row],[Total Quantity]]-Table52526[[#This Row],[Quantity]]-Table52526[[#This Row],[Quantity2]]-Table52526[[#This Row],[Quantity25]]-Table52526[[#This Row],[Quantity26]]</f>
        <v>6.9135802436903759E-4</v>
      </c>
      <c r="K25" s="238">
        <v>405</v>
      </c>
      <c r="L25" s="238">
        <v>2067.0428641975309</v>
      </c>
      <c r="M25" s="230">
        <f>Table52526[[#This Row],[Rate]]*Table52526[[#This Row],[Quantity]]</f>
        <v>837152.36</v>
      </c>
      <c r="N25" s="238">
        <v>1224.9142962962962</v>
      </c>
      <c r="O25" s="230">
        <f>Table52526[[#This Row],[Quantity2]]*Table52526[[#This Row],[Rate]]</f>
        <v>496090.29</v>
      </c>
      <c r="P25" s="238"/>
      <c r="R25" s="260">
        <v>1550.2821481481483</v>
      </c>
      <c r="S25" s="239">
        <f>Table52526[[#This Row],[Quantity25]]*Table52526[[#This Row],[Rate]]</f>
        <v>627864.27</v>
      </c>
      <c r="T25">
        <v>516.76</v>
      </c>
      <c r="U25">
        <f>Table52526[[#This Row],[Quantity26]]*Table52526[[#This Row],[Rate]]</f>
        <v>209287.8</v>
      </c>
    </row>
    <row r="26" spans="7:21">
      <c r="G26" s="164" t="s">
        <v>144</v>
      </c>
      <c r="H26" s="236" t="s">
        <v>152</v>
      </c>
      <c r="I26" s="423">
        <v>8558</v>
      </c>
      <c r="J26" s="426">
        <f>Table52526[[#This Row],[Total Quantity]]-Table52526[[#This Row],[Quantity]]-Table52526[[#This Row],[Quantity2]]-Table52526[[#This Row],[Quantity25]]-Table52526[[#This Row],[Quantity26]]</f>
        <v>-4.2715231795682485E-3</v>
      </c>
      <c r="K26" s="238">
        <v>302</v>
      </c>
      <c r="L26" s="238">
        <v>3300.942847682119</v>
      </c>
      <c r="M26" s="230">
        <f>Table52526[[#This Row],[Rate]]*Table52526[[#This Row],[Quantity]]</f>
        <v>996884.74</v>
      </c>
      <c r="N26" s="238">
        <v>1956.1142715231788</v>
      </c>
      <c r="O26" s="230">
        <f>Table52526[[#This Row],[Quantity2]]*Table52526[[#This Row],[Rate]]</f>
        <v>590746.51</v>
      </c>
      <c r="P26" s="238"/>
      <c r="R26" s="260">
        <v>2475.7071523178811</v>
      </c>
      <c r="S26" s="239">
        <f>Table52526[[#This Row],[Quantity25]]*Table52526[[#This Row],[Rate]]</f>
        <v>747663.56</v>
      </c>
      <c r="T26">
        <v>825.24</v>
      </c>
      <c r="U26">
        <f>Table52526[[#This Row],[Quantity26]]*Table52526[[#This Row],[Rate]]</f>
        <v>249222.48</v>
      </c>
    </row>
    <row r="27" spans="7:21">
      <c r="G27" s="164" t="s">
        <v>142</v>
      </c>
      <c r="H27" s="236" t="s">
        <v>153</v>
      </c>
      <c r="I27" s="424">
        <v>8695</v>
      </c>
      <c r="J27" s="427">
        <f>Table52526[[#This Row],[Total Quantity]]-Table52526[[#This Row],[Quantity]]-Table52526[[#This Row],[Quantity2]]-Table52526[[#This Row],[Quantity25]]-Table52526[[#This Row],[Quantity26]]</f>
        <v>-3.5907335902720661E-3</v>
      </c>
      <c r="K27" s="238">
        <v>259</v>
      </c>
      <c r="L27" s="238">
        <v>3353.7857142857142</v>
      </c>
      <c r="M27" s="230">
        <f>Table52526[[#This Row],[Rate]]*Table52526[[#This Row],[Quantity]]</f>
        <v>868630.5</v>
      </c>
      <c r="N27" s="238">
        <v>1987.4285714285713</v>
      </c>
      <c r="O27" s="230">
        <f>Table52526[[#This Row],[Quantity2]]*Table52526[[#This Row],[Rate]]</f>
        <v>514744</v>
      </c>
      <c r="P27" s="238"/>
      <c r="R27" s="260">
        <v>2515.3393050193049</v>
      </c>
      <c r="S27" s="239">
        <f>Table52526[[#This Row],[Quantity25]]*Table52526[[#This Row],[Rate]]</f>
        <v>651472.88</v>
      </c>
      <c r="T27">
        <v>838.45</v>
      </c>
      <c r="U27">
        <f>Table52526[[#This Row],[Quantity26]]*Table52526[[#This Row],[Rate]]</f>
        <v>217158.55000000002</v>
      </c>
    </row>
    <row r="28" spans="7:21">
      <c r="G28" s="164" t="s">
        <v>145</v>
      </c>
      <c r="H28" s="236" t="s">
        <v>154</v>
      </c>
      <c r="I28" s="424">
        <v>6391</v>
      </c>
      <c r="J28" s="427">
        <f>Table52526[[#This Row],[Total Quantity]]-Table52526[[#This Row],[Quantity]]-Table52526[[#This Row],[Quantity2]]-Table52526[[#This Row],[Quantity25]]-Table52526[[#This Row],[Quantity26]]</f>
        <v>-4.999999999654392E-3</v>
      </c>
      <c r="K28" s="238">
        <v>146</v>
      </c>
      <c r="L28" s="239">
        <v>2465.1</v>
      </c>
      <c r="M28" s="230">
        <f>Table52526[[#This Row],[Rate]]*Table52526[[#This Row],[Quantity]]</f>
        <v>359904.6</v>
      </c>
      <c r="N28" s="240">
        <v>1460.8</v>
      </c>
      <c r="O28" s="230">
        <f>Table52526[[#This Row],[Quantity2]]*Table52526[[#This Row],[Rate]]</f>
        <v>213276.79999999999</v>
      </c>
      <c r="P28" s="239"/>
      <c r="R28" s="231">
        <v>1848.825</v>
      </c>
      <c r="S28" s="239">
        <f>Table52526[[#This Row],[Quantity25]]*Table52526[[#This Row],[Rate]]</f>
        <v>269928.45</v>
      </c>
      <c r="T28">
        <v>616.28</v>
      </c>
      <c r="U28">
        <f>Table52526[[#This Row],[Quantity26]]*Table52526[[#This Row],[Rate]]</f>
        <v>89976.87999999999</v>
      </c>
    </row>
    <row r="29" spans="7:21">
      <c r="G29" s="413" t="s">
        <v>353</v>
      </c>
      <c r="H29" s="432" t="s">
        <v>351</v>
      </c>
      <c r="I29" s="424">
        <v>0</v>
      </c>
      <c r="J29" s="427">
        <f>Table52526[[#This Row],[Total Quantity]]-Table52526[[#This Row],[Quantity]]-Table52526[[#This Row],[Quantity2]]-Table52526[[#This Row],[Quantity25]]-Table52526[[#This Row],[Quantity26]]</f>
        <v>0</v>
      </c>
      <c r="K29" s="238">
        <v>405</v>
      </c>
      <c r="L29" s="239"/>
      <c r="M29" s="230">
        <f>Table52526[[#This Row],[Rate]]*Table52526[[#This Row],[Quantity]]</f>
        <v>0</v>
      </c>
      <c r="N29" s="240"/>
      <c r="O29" s="230">
        <f>Table52526[[#This Row],[Quantity2]]*Table52526[[#This Row],[Rate]]</f>
        <v>0</v>
      </c>
      <c r="P29" s="239"/>
      <c r="R29" s="231"/>
      <c r="S29" s="240">
        <f>Table52526[[#This Row],[Amount4]]*Table52526[[#This Row],[Rate]]</f>
        <v>0</v>
      </c>
      <c r="U29">
        <f>Table52526[[#This Row],[Quantity26]]*Table52526[[#This Row],[Rate]]</f>
        <v>0</v>
      </c>
    </row>
    <row r="30" spans="7:21">
      <c r="G30" s="733" t="s">
        <v>354</v>
      </c>
      <c r="H30" s="734" t="s">
        <v>352</v>
      </c>
      <c r="I30" s="424">
        <v>0</v>
      </c>
      <c r="J30" s="427">
        <f>Table52526[[#This Row],[Total Quantity]]-Table52526[[#This Row],[Quantity]]-Table52526[[#This Row],[Quantity2]]-Table52526[[#This Row],[Quantity25]]-Table52526[[#This Row],[Quantity26]]</f>
        <v>0</v>
      </c>
      <c r="K30" s="238">
        <v>162</v>
      </c>
      <c r="L30" s="239"/>
      <c r="M30" s="230">
        <f>Table52526[[#This Row],[Rate]]*Table52526[[#This Row],[Quantity]]</f>
        <v>0</v>
      </c>
      <c r="N30" s="240"/>
      <c r="O30" s="230">
        <f>Table52526[[#This Row],[Quantity2]]*Table52526[[#This Row],[Rate]]</f>
        <v>0</v>
      </c>
      <c r="P30" s="239"/>
      <c r="R30" s="231"/>
      <c r="S30" s="240">
        <f>Table52526[[#This Row],[Amount4]]*Table52526[[#This Row],[Rate]]</f>
        <v>0</v>
      </c>
      <c r="U30">
        <f>Table52526[[#This Row],[Quantity26]]*Table52526[[#This Row],[Rate]]</f>
        <v>0</v>
      </c>
    </row>
    <row r="31" spans="7:21">
      <c r="G31" s="738" t="s">
        <v>356</v>
      </c>
      <c r="H31" s="739"/>
      <c r="I31" s="735"/>
      <c r="J31" s="736">
        <f>Table52526[[#This Row],[Total Quantity]]-Table52526[[#This Row],[Quantity]]-Table52526[[#This Row],[Quantity2]]-Table52526[[#This Row],[Quantity25]]-Table52526[[#This Row],[Quantity26]]</f>
        <v>0</v>
      </c>
      <c r="K31" s="238"/>
      <c r="L31" s="737"/>
      <c r="M31" s="260">
        <f>SUM(M25:M30)</f>
        <v>3062572.2</v>
      </c>
      <c r="N31" s="255"/>
      <c r="O31" s="866">
        <f>SUM(O25:O30)</f>
        <v>1814857.6</v>
      </c>
      <c r="P31" s="239"/>
      <c r="R31" s="231"/>
      <c r="S31" s="866">
        <f>SUM(S25:S28)</f>
        <v>2296929.16</v>
      </c>
      <c r="U31" s="866">
        <v>765643.05</v>
      </c>
    </row>
    <row r="32" spans="7:21">
      <c r="G32" s="179"/>
      <c r="H32" s="953"/>
      <c r="I32" s="955"/>
      <c r="J32" s="956"/>
      <c r="K32" s="416"/>
      <c r="L32" s="416"/>
      <c r="M32" s="957">
        <f>M31+O31</f>
        <v>4877429.8000000007</v>
      </c>
      <c r="N32" s="958"/>
      <c r="O32" s="959"/>
      <c r="P32" s="179"/>
      <c r="Q32" s="179"/>
      <c r="R32" s="179"/>
      <c r="S32" s="959"/>
      <c r="T32" s="179"/>
      <c r="U32" s="179"/>
    </row>
    <row r="34" spans="7:25">
      <c r="G34" t="s">
        <v>374</v>
      </c>
      <c r="H34" s="236"/>
      <c r="I34" s="238"/>
      <c r="J34" s="418"/>
      <c r="L34" s="1285" t="s">
        <v>161</v>
      </c>
      <c r="M34" s="1286"/>
      <c r="N34" s="1284" t="s">
        <v>171</v>
      </c>
      <c r="O34" s="1285"/>
      <c r="P34" s="1285" t="s">
        <v>222</v>
      </c>
      <c r="Q34" s="1286"/>
      <c r="R34" s="1288" t="s">
        <v>225</v>
      </c>
      <c r="S34" s="1289"/>
      <c r="T34" s="1289"/>
      <c r="U34" s="1289"/>
      <c r="V34" s="1288" t="s">
        <v>271</v>
      </c>
      <c r="W34" s="1289"/>
      <c r="X34" s="1288" t="s">
        <v>291</v>
      </c>
      <c r="Y34" s="1289"/>
    </row>
    <row r="35" spans="7:25">
      <c r="G35" t="s">
        <v>141</v>
      </c>
      <c r="H35" s="236" t="s">
        <v>147</v>
      </c>
      <c r="I35" s="236" t="s">
        <v>217</v>
      </c>
      <c r="J35" s="236" t="s">
        <v>219</v>
      </c>
      <c r="K35" s="238" t="s">
        <v>148</v>
      </c>
      <c r="L35" s="238" t="s">
        <v>163</v>
      </c>
      <c r="M35" s="239" t="s">
        <v>162</v>
      </c>
      <c r="N35" s="238" t="s">
        <v>169</v>
      </c>
      <c r="O35" s="239" t="s">
        <v>170</v>
      </c>
      <c r="P35" s="238" t="s">
        <v>266</v>
      </c>
      <c r="Q35" s="239" t="s">
        <v>268</v>
      </c>
      <c r="R35" s="238" t="s">
        <v>269</v>
      </c>
      <c r="S35" s="239" t="s">
        <v>270</v>
      </c>
      <c r="T35" t="s">
        <v>345</v>
      </c>
      <c r="U35" t="s">
        <v>358</v>
      </c>
      <c r="V35" t="s">
        <v>380</v>
      </c>
      <c r="W35" t="s">
        <v>408</v>
      </c>
      <c r="X35" t="s">
        <v>416</v>
      </c>
      <c r="Y35" t="s">
        <v>417</v>
      </c>
    </row>
    <row r="36" spans="7:25">
      <c r="G36" s="164" t="s">
        <v>143</v>
      </c>
      <c r="H36" s="236" t="s">
        <v>151</v>
      </c>
      <c r="I36" s="422">
        <v>1008</v>
      </c>
      <c r="J36" s="425"/>
      <c r="K36" s="238">
        <v>405</v>
      </c>
      <c r="L36" s="238"/>
      <c r="M36" s="230"/>
      <c r="N36" s="238"/>
      <c r="O36" s="230">
        <f>Table5252624[[#This Row],[Quantity2]]*Table5252624[[#This Row],[Rate]]</f>
        <v>0</v>
      </c>
      <c r="P36" s="238">
        <v>110</v>
      </c>
      <c r="Q36" s="230">
        <f>Table5252624[[#This Row],[Quantity3]]*Table5252624[[#This Row],[Rate]]</f>
        <v>44550</v>
      </c>
      <c r="R36" s="238">
        <v>388</v>
      </c>
      <c r="S36" s="230">
        <f>Table5252624[[#This Row],[Quantity25]]*Table5252624[[#This Row],[Rate]]</f>
        <v>157140</v>
      </c>
      <c r="T36" s="558">
        <v>200</v>
      </c>
      <c r="U36" s="558">
        <f>Table5252624[[#This Row],[Amount37]]*Table5252624[[#This Row],[Rate]]</f>
        <v>81000</v>
      </c>
      <c r="V36" s="238">
        <v>200</v>
      </c>
      <c r="W36" s="951">
        <f>Table5252624[[#This Row],[Amount39]]*Table5252624[[#This Row],[Rate]]</f>
        <v>81000</v>
      </c>
      <c r="X36">
        <v>310</v>
      </c>
      <c r="Y36" s="230">
        <f>Table5252624[[#This Row],[Amount41]]*Table5252624[[#This Row],[Rate]]</f>
        <v>125550</v>
      </c>
    </row>
    <row r="37" spans="7:25">
      <c r="G37" s="164" t="s">
        <v>144</v>
      </c>
      <c r="H37" s="236" t="s">
        <v>152</v>
      </c>
      <c r="I37" s="423">
        <v>1008</v>
      </c>
      <c r="J37" s="426"/>
      <c r="K37" s="238">
        <v>302</v>
      </c>
      <c r="L37" s="238"/>
      <c r="M37" s="230"/>
      <c r="N37" s="238"/>
      <c r="O37" s="230">
        <f>Table5252624[[#This Row],[Quantity2]]*Table5252624[[#This Row],[Rate]]</f>
        <v>0</v>
      </c>
      <c r="P37" s="238">
        <v>110</v>
      </c>
      <c r="Q37" s="230">
        <f>Table5252624[[#This Row],[Quantity3]]*Table5252624[[#This Row],[Rate]]</f>
        <v>33220</v>
      </c>
      <c r="R37" s="238">
        <v>388</v>
      </c>
      <c r="S37" s="230">
        <f>Table5252624[[#This Row],[Quantity25]]*Table5252624[[#This Row],[Rate]]</f>
        <v>117176</v>
      </c>
      <c r="T37" s="558">
        <v>200</v>
      </c>
      <c r="U37" s="558">
        <f>Table5252624[[#This Row],[Amount37]]*Table5252624[[#This Row],[Rate]]</f>
        <v>60400</v>
      </c>
      <c r="V37" s="238">
        <v>200</v>
      </c>
      <c r="W37" s="951">
        <f>Table5252624[[#This Row],[Amount39]]*Table5252624[[#This Row],[Rate]]</f>
        <v>60400</v>
      </c>
      <c r="X37">
        <v>310</v>
      </c>
      <c r="Y37" s="230">
        <f>Table5252624[[#This Row],[Amount41]]*Table5252624[[#This Row],[Rate]]</f>
        <v>93620</v>
      </c>
    </row>
    <row r="38" spans="7:25">
      <c r="G38" s="164" t="s">
        <v>142</v>
      </c>
      <c r="H38" s="236" t="s">
        <v>153</v>
      </c>
      <c r="I38" s="424">
        <v>617</v>
      </c>
      <c r="J38" s="427"/>
      <c r="K38" s="238">
        <v>259</v>
      </c>
      <c r="L38" s="238"/>
      <c r="M38" s="230"/>
      <c r="N38" s="238"/>
      <c r="O38" s="232">
        <f>Table5252624[[#This Row],[Quantity2]]*Table5252624[[#This Row],[Rate]]</f>
        <v>0</v>
      </c>
      <c r="P38" s="238">
        <v>50</v>
      </c>
      <c r="Q38" s="230">
        <f>Table5252624[[#This Row],[Quantity3]]*Table5252624[[#This Row],[Rate]]</f>
        <v>12950</v>
      </c>
      <c r="R38" s="238">
        <v>169</v>
      </c>
      <c r="S38" s="230">
        <f>Table5252624[[#This Row],[Quantity25]]*Table5252624[[#This Row],[Rate]]</f>
        <v>43771</v>
      </c>
      <c r="T38" s="558">
        <v>174</v>
      </c>
      <c r="U38" s="558">
        <f>Table5252624[[#This Row],[Amount37]]*Table5252624[[#This Row],[Rate]]</f>
        <v>45066</v>
      </c>
      <c r="V38">
        <v>174</v>
      </c>
      <c r="W38" s="951">
        <f>Table5252624[[#This Row],[Amount39]]*Table5252624[[#This Row],[Rate]]</f>
        <v>45066</v>
      </c>
      <c r="X38">
        <v>224</v>
      </c>
      <c r="Y38" s="230">
        <f>Table5252624[[#This Row],[Amount41]]*Table5252624[[#This Row],[Rate]]</f>
        <v>58016</v>
      </c>
    </row>
    <row r="39" spans="7:25">
      <c r="G39" s="164" t="s">
        <v>145</v>
      </c>
      <c r="H39" s="236" t="s">
        <v>154</v>
      </c>
      <c r="I39" s="424">
        <v>520</v>
      </c>
      <c r="J39" s="427"/>
      <c r="K39" s="238">
        <v>146</v>
      </c>
      <c r="L39" s="239"/>
      <c r="M39" s="230"/>
      <c r="N39" s="240"/>
      <c r="O39" s="231"/>
      <c r="P39" s="239">
        <v>40</v>
      </c>
      <c r="Q39" s="230">
        <f>Table5252624[[#This Row],[Quantity3]]*Table5252624[[#This Row],[Rate]]</f>
        <v>5840</v>
      </c>
      <c r="R39" s="240">
        <v>140</v>
      </c>
      <c r="S39" s="230">
        <f>Table5252624[[#This Row],[Quantity25]]*Table5252624[[#This Row],[Rate]]</f>
        <v>20440</v>
      </c>
      <c r="T39" s="558">
        <v>150</v>
      </c>
      <c r="U39" s="558">
        <f>Table5252624[[#This Row],[Amount37]]*Table5252624[[#This Row],[Rate]]</f>
        <v>21900</v>
      </c>
      <c r="V39">
        <v>150</v>
      </c>
      <c r="W39" s="951">
        <f>Table5252624[[#This Row],[Amount39]]*Table5252624[[#This Row],[Rate]]</f>
        <v>21900</v>
      </c>
      <c r="X39">
        <v>190</v>
      </c>
      <c r="Y39" s="230">
        <f>Table5252624[[#This Row],[Amount41]]*Table5252624[[#This Row],[Rate]]</f>
        <v>27740</v>
      </c>
    </row>
    <row r="40" spans="7:25">
      <c r="G40" s="413" t="s">
        <v>353</v>
      </c>
      <c r="H40" s="432" t="s">
        <v>351</v>
      </c>
      <c r="I40" s="424">
        <v>440</v>
      </c>
      <c r="J40" s="427"/>
      <c r="K40" s="238">
        <v>405</v>
      </c>
      <c r="L40" s="239"/>
      <c r="M40" s="230"/>
      <c r="N40" s="240"/>
      <c r="O40" s="231"/>
      <c r="P40" s="239">
        <v>40</v>
      </c>
      <c r="Q40" s="230">
        <f>Table5252624[[#This Row],[Quantity3]]*Table5252624[[#This Row],[Rate]]</f>
        <v>16200</v>
      </c>
      <c r="R40" s="240">
        <v>140</v>
      </c>
      <c r="S40" s="230">
        <f>Table5252624[[#This Row],[Quantity25]]*Table5252624[[#This Row],[Rate]]</f>
        <v>56700</v>
      </c>
      <c r="T40" s="558">
        <v>110</v>
      </c>
      <c r="U40" s="558">
        <f>Table5252624[[#This Row],[Amount37]]*Table5252624[[#This Row],[Rate]]</f>
        <v>44550</v>
      </c>
      <c r="V40">
        <v>110</v>
      </c>
      <c r="W40" s="951">
        <f>Table5252624[[#This Row],[Amount39]]*Table5252624[[#This Row],[Rate]]</f>
        <v>44550</v>
      </c>
      <c r="X40">
        <v>150</v>
      </c>
      <c r="Y40" s="230">
        <f>Table5252624[[#This Row],[Amount41]]*Table5252624[[#This Row],[Rate]]</f>
        <v>60750</v>
      </c>
    </row>
    <row r="41" spans="7:25">
      <c r="G41" s="733" t="s">
        <v>354</v>
      </c>
      <c r="H41" s="734" t="s">
        <v>352</v>
      </c>
      <c r="I41" s="424">
        <v>410</v>
      </c>
      <c r="J41" s="427"/>
      <c r="K41" s="238">
        <v>162</v>
      </c>
      <c r="L41" s="239"/>
      <c r="M41" s="230"/>
      <c r="N41" s="240"/>
      <c r="O41" s="231"/>
      <c r="P41" s="239">
        <v>40</v>
      </c>
      <c r="Q41" s="230">
        <f>Table5252624[[#This Row],[Quantity3]]*Table5252624[[#This Row],[Rate]]</f>
        <v>6480</v>
      </c>
      <c r="R41" s="240">
        <v>140</v>
      </c>
      <c r="S41" s="230">
        <f>Table5252624[[#This Row],[Quantity25]]*Table5252624[[#This Row],[Rate]]</f>
        <v>22680</v>
      </c>
      <c r="T41" s="558">
        <v>95</v>
      </c>
      <c r="U41" s="558">
        <f>Table5252624[[#This Row],[Amount37]]*Table5252624[[#This Row],[Rate]]</f>
        <v>15390</v>
      </c>
      <c r="V41">
        <v>95</v>
      </c>
      <c r="W41" s="951">
        <f>Table5252624[[#This Row],[Amount39]]*Table5252624[[#This Row],[Rate]]</f>
        <v>15390</v>
      </c>
      <c r="X41">
        <v>135</v>
      </c>
      <c r="Y41" s="230">
        <f>Table5252624[[#This Row],[Amount41]]*Table5252624[[#This Row],[Rate]]</f>
        <v>21870</v>
      </c>
    </row>
    <row r="42" spans="7:25">
      <c r="G42" s="738" t="s">
        <v>356</v>
      </c>
      <c r="H42" s="739"/>
      <c r="I42" s="735"/>
      <c r="J42" s="736"/>
      <c r="K42" s="238"/>
      <c r="L42" s="737"/>
      <c r="M42" s="260"/>
      <c r="N42" s="255"/>
      <c r="O42" s="234"/>
      <c r="P42" s="239"/>
      <c r="Q42" s="866">
        <f>SUM(Q36:Q41)</f>
        <v>119240</v>
      </c>
      <c r="R42" s="240"/>
      <c r="S42" s="866">
        <f>SUM(S36:S41)</f>
        <v>417907</v>
      </c>
      <c r="U42" s="866">
        <f>SUM(U36:U41)</f>
        <v>268306</v>
      </c>
      <c r="W42" s="866">
        <f>SUM(W36:W41)</f>
        <v>268306</v>
      </c>
      <c r="Y42" s="866">
        <f>SUM(Y36:Y41)</f>
        <v>387546</v>
      </c>
    </row>
    <row r="43" spans="7:25">
      <c r="H43" s="236"/>
      <c r="I43" s="947"/>
      <c r="J43" s="949"/>
      <c r="K43" s="236"/>
      <c r="L43" s="236"/>
      <c r="M43" s="950"/>
      <c r="N43" s="948"/>
      <c r="O43" s="950"/>
      <c r="S43" s="950"/>
      <c r="W43" s="697"/>
    </row>
    <row r="47" spans="7:25">
      <c r="G47" t="s">
        <v>375</v>
      </c>
      <c r="H47" s="236"/>
      <c r="I47" s="238"/>
      <c r="J47" s="418"/>
      <c r="L47" s="1285" t="s">
        <v>161</v>
      </c>
      <c r="M47" s="1286"/>
      <c r="N47" s="1284" t="s">
        <v>171</v>
      </c>
      <c r="O47" s="1285"/>
      <c r="P47" s="1285" t="s">
        <v>222</v>
      </c>
      <c r="Q47" s="1286"/>
      <c r="R47" s="1284" t="s">
        <v>225</v>
      </c>
      <c r="S47" s="1285"/>
      <c r="T47" s="1285"/>
      <c r="U47" s="1286"/>
      <c r="V47" s="1284" t="s">
        <v>415</v>
      </c>
      <c r="W47" s="1285"/>
      <c r="X47" s="1284" t="s">
        <v>418</v>
      </c>
      <c r="Y47" s="1285"/>
    </row>
    <row r="48" spans="7:25">
      <c r="G48" t="s">
        <v>141</v>
      </c>
      <c r="H48" s="236" t="s">
        <v>147</v>
      </c>
      <c r="I48" s="236" t="s">
        <v>217</v>
      </c>
      <c r="J48" s="236" t="s">
        <v>219</v>
      </c>
      <c r="K48" s="238" t="s">
        <v>148</v>
      </c>
      <c r="L48" s="238" t="s">
        <v>163</v>
      </c>
      <c r="M48" s="239" t="s">
        <v>162</v>
      </c>
      <c r="N48" s="238" t="s">
        <v>169</v>
      </c>
      <c r="O48" s="239" t="s">
        <v>170</v>
      </c>
      <c r="P48" s="238" t="s">
        <v>266</v>
      </c>
      <c r="Q48" s="239" t="s">
        <v>268</v>
      </c>
      <c r="R48" s="238" t="s">
        <v>269</v>
      </c>
      <c r="S48" s="239" t="s">
        <v>270</v>
      </c>
      <c r="T48" t="s">
        <v>345</v>
      </c>
      <c r="U48" t="s">
        <v>358</v>
      </c>
      <c r="V48" t="s">
        <v>380</v>
      </c>
      <c r="W48" t="s">
        <v>408</v>
      </c>
      <c r="X48" t="s">
        <v>416</v>
      </c>
      <c r="Y48" t="s">
        <v>417</v>
      </c>
    </row>
    <row r="49" spans="7:25">
      <c r="G49" s="164" t="s">
        <v>143</v>
      </c>
      <c r="H49" s="236" t="s">
        <v>151</v>
      </c>
      <c r="I49" s="422">
        <v>1023</v>
      </c>
      <c r="J49" s="425"/>
      <c r="K49" s="238">
        <v>405</v>
      </c>
      <c r="L49" s="238"/>
      <c r="M49" s="230"/>
      <c r="N49" s="238"/>
      <c r="O49" s="230">
        <f>Table525262427[[#This Row],[Quantity2]]*Table525262427[[#This Row],[Rate]]</f>
        <v>0</v>
      </c>
      <c r="P49" s="238">
        <v>121</v>
      </c>
      <c r="Q49" s="230">
        <f>Table525262427[[#This Row],[Quantity3]]*Table525262427[[#This Row],[Rate]]</f>
        <v>49005</v>
      </c>
      <c r="R49" s="879">
        <v>341</v>
      </c>
      <c r="S49" s="230">
        <f>Table525262427[[#This Row],[Quantity25]]*Table525262427[[#This Row],[Rate]]</f>
        <v>138105</v>
      </c>
      <c r="T49" s="558">
        <v>220</v>
      </c>
      <c r="U49" s="558">
        <f>Table525262427[[#This Row],[Amount37]]*Table525262427[[#This Row],[Rate]]</f>
        <v>89100</v>
      </c>
      <c r="V49" s="238">
        <v>220</v>
      </c>
      <c r="W49">
        <f>Table525262427[[#This Row],[Amount39]]*Table525262427[[#This Row],[Rate]]</f>
        <v>89100</v>
      </c>
      <c r="X49">
        <v>341</v>
      </c>
      <c r="Y49">
        <f>Table525262427[[#This Row],[Amount41]]*Table525262427[[#This Row],[Rate]]</f>
        <v>138105</v>
      </c>
    </row>
    <row r="50" spans="7:25">
      <c r="G50" s="164" t="s">
        <v>144</v>
      </c>
      <c r="H50" s="236" t="s">
        <v>152</v>
      </c>
      <c r="I50" s="423">
        <v>1023</v>
      </c>
      <c r="J50" s="426"/>
      <c r="K50" s="238">
        <v>302</v>
      </c>
      <c r="L50" s="238"/>
      <c r="M50" s="230"/>
      <c r="N50" s="238"/>
      <c r="O50" s="230">
        <f>Table525262427[[#This Row],[Quantity2]]*Table525262427[[#This Row],[Rate]]</f>
        <v>0</v>
      </c>
      <c r="P50" s="238">
        <v>121</v>
      </c>
      <c r="Q50" s="230">
        <f>Table525262427[[#This Row],[Quantity3]]*Table525262427[[#This Row],[Rate]]</f>
        <v>36542</v>
      </c>
      <c r="R50" s="879">
        <v>341</v>
      </c>
      <c r="S50" s="230">
        <f>Table525262427[[#This Row],[Quantity25]]*Table525262427[[#This Row],[Rate]]</f>
        <v>102982</v>
      </c>
      <c r="T50" s="558">
        <v>220</v>
      </c>
      <c r="U50" s="558">
        <f>Table525262427[[#This Row],[Amount37]]*Table525262427[[#This Row],[Rate]]</f>
        <v>66440</v>
      </c>
      <c r="V50" s="240">
        <v>220</v>
      </c>
      <c r="W50">
        <f>Table525262427[[#This Row],[Amount39]]*Table525262427[[#This Row],[Rate]]</f>
        <v>66440</v>
      </c>
      <c r="X50">
        <v>341</v>
      </c>
      <c r="Y50">
        <f>Table525262427[[#This Row],[Amount41]]*Table525262427[[#This Row],[Rate]]</f>
        <v>102982</v>
      </c>
    </row>
    <row r="51" spans="7:25">
      <c r="G51" s="164" t="s">
        <v>142</v>
      </c>
      <c r="H51" s="236" t="s">
        <v>153</v>
      </c>
      <c r="I51" s="424">
        <v>765</v>
      </c>
      <c r="J51" s="427"/>
      <c r="K51" s="238">
        <v>259</v>
      </c>
      <c r="L51" s="238"/>
      <c r="M51" s="230"/>
      <c r="N51" s="238"/>
      <c r="O51" s="232">
        <f>Table525262427[[#This Row],[Quantity2]]*Table525262427[[#This Row],[Rate]]</f>
        <v>0</v>
      </c>
      <c r="P51" s="238">
        <v>57</v>
      </c>
      <c r="Q51" s="230">
        <f>Table525262427[[#This Row],[Quantity3]]*Table525262427[[#This Row],[Rate]]</f>
        <v>14763</v>
      </c>
      <c r="R51" s="879">
        <v>265</v>
      </c>
      <c r="S51" s="230">
        <f>Table525262427[[#This Row],[Quantity25]]*Table525262427[[#This Row],[Rate]]</f>
        <v>68635</v>
      </c>
      <c r="T51" s="558">
        <v>193</v>
      </c>
      <c r="U51" s="558">
        <f>Table525262427[[#This Row],[Amount37]]*Table525262427[[#This Row],[Rate]]</f>
        <v>49987</v>
      </c>
      <c r="V51">
        <v>193</v>
      </c>
      <c r="W51">
        <f>Table525262427[[#This Row],[Amount39]]*Table525262427[[#This Row],[Rate]]</f>
        <v>49987</v>
      </c>
      <c r="X51">
        <v>250</v>
      </c>
      <c r="Y51">
        <f>Table525262427[[#This Row],[Amount41]]*Table525262427[[#This Row],[Rate]]</f>
        <v>64750</v>
      </c>
    </row>
    <row r="52" spans="7:25">
      <c r="G52" s="164" t="s">
        <v>145</v>
      </c>
      <c r="H52" s="236" t="s">
        <v>154</v>
      </c>
      <c r="I52" s="424">
        <v>677</v>
      </c>
      <c r="J52" s="427"/>
      <c r="K52" s="238">
        <v>146</v>
      </c>
      <c r="L52" s="239"/>
      <c r="M52" s="230"/>
      <c r="N52" s="240"/>
      <c r="O52" s="231"/>
      <c r="P52" s="239">
        <v>44</v>
      </c>
      <c r="Q52" s="230">
        <f>Table525262427[[#This Row],[Quantity3]]*Table525262427[[#This Row],[Rate]]</f>
        <v>6424</v>
      </c>
      <c r="R52" s="240">
        <v>259</v>
      </c>
      <c r="S52" s="230">
        <f>Table525262427[[#This Row],[Quantity25]]*Table525262427[[#This Row],[Rate]]</f>
        <v>37814</v>
      </c>
      <c r="T52" s="558">
        <v>165</v>
      </c>
      <c r="U52" s="558">
        <f>Table525262427[[#This Row],[Amount37]]*Table525262427[[#This Row],[Rate]]</f>
        <v>24090</v>
      </c>
      <c r="V52">
        <v>165</v>
      </c>
      <c r="W52">
        <f>Table525262427[[#This Row],[Amount39]]*Table525262427[[#This Row],[Rate]]</f>
        <v>24090</v>
      </c>
      <c r="X52">
        <v>209</v>
      </c>
      <c r="Y52">
        <f>Table525262427[[#This Row],[Amount41]]*Table525262427[[#This Row],[Rate]]</f>
        <v>30514</v>
      </c>
    </row>
    <row r="53" spans="7:25">
      <c r="G53" s="413" t="s">
        <v>353</v>
      </c>
      <c r="H53" s="432" t="s">
        <v>351</v>
      </c>
      <c r="I53" s="424">
        <v>569</v>
      </c>
      <c r="J53" s="427"/>
      <c r="K53" s="238">
        <v>405</v>
      </c>
      <c r="L53" s="239"/>
      <c r="M53" s="230"/>
      <c r="N53" s="240"/>
      <c r="O53" s="231"/>
      <c r="P53" s="239">
        <v>44</v>
      </c>
      <c r="Q53" s="230">
        <f>Table525262427[[#This Row],[Quantity3]]*Table525262427[[#This Row],[Rate]]</f>
        <v>17820</v>
      </c>
      <c r="R53" s="240">
        <v>239</v>
      </c>
      <c r="S53" s="230">
        <f>Table525262427[[#This Row],[Quantity25]]*Table525262427[[#This Row],[Rate]]</f>
        <v>96795</v>
      </c>
      <c r="T53" s="558">
        <v>121</v>
      </c>
      <c r="U53" s="558">
        <f>Table525262427[[#This Row],[Amount37]]*Table525262427[[#This Row],[Rate]]</f>
        <v>49005</v>
      </c>
      <c r="V53">
        <v>121</v>
      </c>
      <c r="W53">
        <f>Table525262427[[#This Row],[Amount39]]*Table525262427[[#This Row],[Rate]]</f>
        <v>49005</v>
      </c>
      <c r="X53">
        <v>165</v>
      </c>
      <c r="Y53">
        <f>Table525262427[[#This Row],[Amount41]]*Table525262427[[#This Row],[Rate]]</f>
        <v>66825</v>
      </c>
    </row>
    <row r="54" spans="7:25">
      <c r="G54" s="733" t="s">
        <v>354</v>
      </c>
      <c r="H54" s="734" t="s">
        <v>352</v>
      </c>
      <c r="I54" s="424">
        <v>418</v>
      </c>
      <c r="J54" s="427"/>
      <c r="K54" s="238">
        <v>162</v>
      </c>
      <c r="L54" s="239"/>
      <c r="M54" s="230"/>
      <c r="N54" s="240"/>
      <c r="O54" s="231"/>
      <c r="P54" s="239">
        <v>45</v>
      </c>
      <c r="Q54" s="230">
        <f>Table525262427[[#This Row],[Quantity3]]*Table525262427[[#This Row],[Rate]]</f>
        <v>7290</v>
      </c>
      <c r="R54" s="240">
        <v>106</v>
      </c>
      <c r="S54" s="230">
        <f>Table525262427[[#This Row],[Quantity25]]*Table525262427[[#This Row],[Rate]]</f>
        <v>17172</v>
      </c>
      <c r="T54" s="558">
        <v>111</v>
      </c>
      <c r="U54" s="558">
        <f>Table525262427[[#This Row],[Amount37]]*Table525262427[[#This Row],[Rate]]</f>
        <v>17982</v>
      </c>
      <c r="V54">
        <v>111</v>
      </c>
      <c r="W54">
        <f>Table525262427[[#This Row],[Amount39]]*Table525262427[[#This Row],[Rate]]</f>
        <v>17982</v>
      </c>
      <c r="X54">
        <v>156</v>
      </c>
      <c r="Y54">
        <f>Table525262427[[#This Row],[Amount41]]*Table525262427[[#This Row],[Rate]]</f>
        <v>25272</v>
      </c>
    </row>
    <row r="55" spans="7:25">
      <c r="G55" s="738" t="s">
        <v>356</v>
      </c>
      <c r="H55" s="739"/>
      <c r="I55" s="735"/>
      <c r="J55" s="736"/>
      <c r="K55" s="238"/>
      <c r="L55" s="737"/>
      <c r="M55" s="260"/>
      <c r="N55" s="255"/>
      <c r="O55" s="234"/>
      <c r="P55" s="239"/>
      <c r="Q55" s="866">
        <f>SUM(Q49:Q54)</f>
        <v>131844</v>
      </c>
      <c r="R55" s="240"/>
      <c r="S55" s="866">
        <f>SUM(S49:S54)</f>
        <v>461503</v>
      </c>
      <c r="U55" s="866">
        <f>SUM(U49:U54)</f>
        <v>296604</v>
      </c>
      <c r="W55" s="954">
        <f>SUM(W49:W54)</f>
        <v>296604</v>
      </c>
      <c r="X55" s="954"/>
      <c r="Y55" s="954">
        <f>SUM(Y49:Y54)</f>
        <v>428448</v>
      </c>
    </row>
    <row r="58" spans="7:25">
      <c r="G58" t="s">
        <v>424</v>
      </c>
      <c r="L58" s="1285" t="s">
        <v>291</v>
      </c>
      <c r="M58" s="1286"/>
      <c r="N58" s="1285" t="s">
        <v>292</v>
      </c>
      <c r="O58" s="1286"/>
      <c r="P58" s="1285" t="s">
        <v>376</v>
      </c>
      <c r="Q58" s="1286"/>
    </row>
    <row r="59" spans="7:25">
      <c r="G59" s="405" t="s">
        <v>141</v>
      </c>
      <c r="H59" s="946" t="s">
        <v>147</v>
      </c>
      <c r="I59" s="946" t="s">
        <v>217</v>
      </c>
      <c r="J59" s="946" t="s">
        <v>219</v>
      </c>
      <c r="K59" s="918" t="s">
        <v>148</v>
      </c>
      <c r="L59" s="946" t="s">
        <v>163</v>
      </c>
      <c r="M59" s="918" t="s">
        <v>162</v>
      </c>
      <c r="N59" s="994" t="s">
        <v>163</v>
      </c>
      <c r="O59" s="918" t="s">
        <v>162</v>
      </c>
      <c r="P59" s="1248" t="s">
        <v>163</v>
      </c>
      <c r="Q59" s="918" t="s">
        <v>162</v>
      </c>
    </row>
    <row r="60" spans="7:25">
      <c r="G60" s="406" t="s">
        <v>143</v>
      </c>
      <c r="H60" s="429" t="s">
        <v>151</v>
      </c>
      <c r="I60" s="960">
        <v>1000</v>
      </c>
      <c r="J60" s="960">
        <f>I60-L60-N60</f>
        <v>800</v>
      </c>
      <c r="K60" s="925">
        <v>405</v>
      </c>
      <c r="L60" s="925">
        <v>100</v>
      </c>
      <c r="M60" s="926">
        <f>L60*K60</f>
        <v>40500</v>
      </c>
      <c r="N60">
        <v>100</v>
      </c>
      <c r="O60" s="926">
        <f>N60*K60</f>
        <v>40500</v>
      </c>
      <c r="P60">
        <v>550</v>
      </c>
      <c r="Q60">
        <f>P60*K60</f>
        <v>222750</v>
      </c>
    </row>
    <row r="61" spans="7:25">
      <c r="G61" s="408" t="s">
        <v>144</v>
      </c>
      <c r="H61" s="430" t="s">
        <v>152</v>
      </c>
      <c r="I61" s="960">
        <v>1000</v>
      </c>
      <c r="J61" s="960">
        <f t="shared" ref="J61:J65" si="0">I61-L61-N61</f>
        <v>800</v>
      </c>
      <c r="K61" s="927">
        <v>302</v>
      </c>
      <c r="L61" s="927">
        <v>100</v>
      </c>
      <c r="M61" s="926">
        <f t="shared" ref="M61:M65" si="1">L61*K61</f>
        <v>30200</v>
      </c>
      <c r="N61">
        <v>100</v>
      </c>
      <c r="O61" s="926">
        <f t="shared" ref="O61:O65" si="2">N61*K61</f>
        <v>30200</v>
      </c>
      <c r="P61">
        <v>550</v>
      </c>
      <c r="Q61">
        <f t="shared" ref="Q61:Q65" si="3">P61*K61</f>
        <v>166100</v>
      </c>
    </row>
    <row r="62" spans="7:25">
      <c r="G62" s="406" t="s">
        <v>142</v>
      </c>
      <c r="H62" s="429" t="s">
        <v>153</v>
      </c>
      <c r="I62" s="960">
        <v>800</v>
      </c>
      <c r="J62" s="960">
        <f t="shared" si="0"/>
        <v>640</v>
      </c>
      <c r="K62" s="925">
        <v>259</v>
      </c>
      <c r="L62" s="925">
        <v>80</v>
      </c>
      <c r="M62" s="926">
        <f t="shared" si="1"/>
        <v>20720</v>
      </c>
      <c r="N62">
        <v>80</v>
      </c>
      <c r="O62" s="926">
        <f t="shared" si="2"/>
        <v>20720</v>
      </c>
      <c r="P62">
        <v>440</v>
      </c>
      <c r="Q62">
        <f t="shared" si="3"/>
        <v>113960</v>
      </c>
    </row>
    <row r="63" spans="7:25">
      <c r="G63" s="408" t="s">
        <v>145</v>
      </c>
      <c r="H63" s="430" t="s">
        <v>154</v>
      </c>
      <c r="I63" s="960">
        <v>472</v>
      </c>
      <c r="J63" s="960">
        <f t="shared" si="0"/>
        <v>377</v>
      </c>
      <c r="K63" s="927">
        <v>146</v>
      </c>
      <c r="L63" s="732">
        <v>48</v>
      </c>
      <c r="M63" s="926">
        <f t="shared" si="1"/>
        <v>7008</v>
      </c>
      <c r="N63">
        <v>47</v>
      </c>
      <c r="O63" s="926">
        <f t="shared" si="2"/>
        <v>6862</v>
      </c>
      <c r="P63">
        <v>258</v>
      </c>
      <c r="Q63">
        <f t="shared" si="3"/>
        <v>37668</v>
      </c>
    </row>
    <row r="64" spans="7:25">
      <c r="G64" s="413" t="s">
        <v>353</v>
      </c>
      <c r="H64" s="432" t="s">
        <v>351</v>
      </c>
      <c r="I64" s="960">
        <v>438</v>
      </c>
      <c r="J64" s="960">
        <f t="shared" si="0"/>
        <v>350</v>
      </c>
      <c r="K64" s="925">
        <v>405</v>
      </c>
      <c r="L64" s="919">
        <v>44</v>
      </c>
      <c r="M64" s="926">
        <f t="shared" si="1"/>
        <v>17820</v>
      </c>
      <c r="N64">
        <v>44</v>
      </c>
      <c r="O64" s="926">
        <f t="shared" si="2"/>
        <v>17820</v>
      </c>
      <c r="P64">
        <v>241</v>
      </c>
      <c r="Q64">
        <f t="shared" si="3"/>
        <v>97605</v>
      </c>
    </row>
    <row r="65" spans="7:17">
      <c r="G65" s="414" t="s">
        <v>354</v>
      </c>
      <c r="H65" s="431" t="s">
        <v>352</v>
      </c>
      <c r="I65" s="960">
        <v>429</v>
      </c>
      <c r="J65" s="960">
        <f t="shared" si="0"/>
        <v>344.5</v>
      </c>
      <c r="K65" s="927">
        <v>162</v>
      </c>
      <c r="L65" s="732">
        <v>42</v>
      </c>
      <c r="M65" s="926">
        <f t="shared" si="1"/>
        <v>6804</v>
      </c>
      <c r="N65">
        <v>42.5</v>
      </c>
      <c r="O65" s="926">
        <f t="shared" si="2"/>
        <v>6885</v>
      </c>
      <c r="P65">
        <v>237</v>
      </c>
      <c r="Q65">
        <f t="shared" si="3"/>
        <v>38394</v>
      </c>
    </row>
    <row r="66" spans="7:17">
      <c r="G66" s="413" t="s">
        <v>356</v>
      </c>
      <c r="H66" s="432"/>
      <c r="I66" s="735"/>
      <c r="J66" s="919"/>
      <c r="K66" s="925"/>
      <c r="L66" s="919"/>
      <c r="M66" s="422">
        <f>SUM(M60:M65)</f>
        <v>123052</v>
      </c>
      <c r="O66" s="921">
        <f>SUM(O60:O65)</f>
        <v>122987</v>
      </c>
      <c r="Q66" s="241">
        <f>SUM(Q60:Q65)</f>
        <v>676477</v>
      </c>
    </row>
  </sheetData>
  <mergeCells count="24">
    <mergeCell ref="N58:O58"/>
    <mergeCell ref="T23:U23"/>
    <mergeCell ref="P34:Q34"/>
    <mergeCell ref="L47:M47"/>
    <mergeCell ref="N47:O47"/>
    <mergeCell ref="P47:Q47"/>
    <mergeCell ref="R34:U34"/>
    <mergeCell ref="L58:M58"/>
    <mergeCell ref="P58:Q58"/>
    <mergeCell ref="X47:Y47"/>
    <mergeCell ref="X34:Y34"/>
    <mergeCell ref="L7:M7"/>
    <mergeCell ref="N7:O7"/>
    <mergeCell ref="P7:Q7"/>
    <mergeCell ref="R7:S7"/>
    <mergeCell ref="L23:M23"/>
    <mergeCell ref="N23:O23"/>
    <mergeCell ref="P23:Q23"/>
    <mergeCell ref="R23:S23"/>
    <mergeCell ref="V34:W34"/>
    <mergeCell ref="V47:W47"/>
    <mergeCell ref="R47:U47"/>
    <mergeCell ref="L34:M34"/>
    <mergeCell ref="N34:O34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JI161"/>
  <sheetViews>
    <sheetView topLeftCell="A85" zoomScaleNormal="100" workbookViewId="0">
      <pane xSplit="6" topLeftCell="CU1" activePane="topRight" state="frozen"/>
      <selection activeCell="A19" sqref="A19"/>
      <selection pane="topRight" activeCell="CU33" sqref="CU33"/>
    </sheetView>
  </sheetViews>
  <sheetFormatPr defaultRowHeight="14.4"/>
  <cols>
    <col min="1" max="1" width="38.5546875" customWidth="1"/>
    <col min="2" max="2" width="15.109375" bestFit="1" customWidth="1"/>
    <col min="3" max="3" width="38" customWidth="1"/>
    <col min="4" max="4" width="10.88671875" customWidth="1"/>
    <col min="5" max="5" width="19.44140625" bestFit="1" customWidth="1"/>
    <col min="6" max="6" width="14.88671875" bestFit="1" customWidth="1"/>
    <col min="7" max="7" width="19.5546875" bestFit="1" customWidth="1"/>
    <col min="8" max="8" width="16.33203125" bestFit="1" customWidth="1"/>
    <col min="9" max="9" width="19.44140625" customWidth="1"/>
    <col min="10" max="10" width="31.88671875" customWidth="1"/>
    <col min="11" max="11" width="25.88671875" bestFit="1" customWidth="1"/>
    <col min="12" max="12" width="22" bestFit="1" customWidth="1"/>
    <col min="13" max="13" width="26" customWidth="1"/>
    <col min="14" max="14" width="20" customWidth="1"/>
    <col min="15" max="15" width="14.109375" customWidth="1"/>
    <col min="16" max="16" width="20" customWidth="1"/>
    <col min="17" max="17" width="29.6640625" customWidth="1"/>
    <col min="18" max="18" width="16.88671875" customWidth="1"/>
    <col min="19" max="19" width="12" customWidth="1"/>
    <col min="20" max="20" width="20" customWidth="1"/>
    <col min="21" max="21" width="21.6640625" bestFit="1" customWidth="1"/>
    <col min="22" max="22" width="15.6640625" customWidth="1"/>
    <col min="23" max="23" width="20.109375" bestFit="1" customWidth="1"/>
    <col min="24" max="24" width="16" customWidth="1"/>
    <col min="25" max="25" width="12" customWidth="1"/>
    <col min="26" max="26" width="16.44140625" customWidth="1"/>
    <col min="27" max="27" width="12" customWidth="1"/>
    <col min="28" max="28" width="20" customWidth="1"/>
    <col min="29" max="29" width="12" customWidth="1"/>
    <col min="30" max="30" width="16.88671875" customWidth="1"/>
    <col min="31" max="31" width="12" customWidth="1"/>
    <col min="32" max="32" width="17.33203125" customWidth="1"/>
    <col min="33" max="33" width="12" customWidth="1"/>
    <col min="34" max="34" width="16.88671875" customWidth="1"/>
    <col min="35" max="35" width="12" customWidth="1"/>
    <col min="36" max="36" width="16.88671875" customWidth="1"/>
    <col min="37" max="37" width="12" customWidth="1"/>
    <col min="38" max="38" width="16.88671875" customWidth="1"/>
    <col min="39" max="39" width="12" customWidth="1"/>
    <col min="40" max="40" width="16.88671875" customWidth="1"/>
    <col min="41" max="41" width="12" customWidth="1"/>
    <col min="42" max="42" width="17.33203125" customWidth="1"/>
    <col min="43" max="43" width="12" customWidth="1"/>
    <col min="44" max="44" width="17.33203125" customWidth="1"/>
    <col min="45" max="45" width="12" customWidth="1"/>
    <col min="46" max="46" width="16.88671875" customWidth="1"/>
    <col min="47" max="47" width="12" customWidth="1"/>
    <col min="48" max="48" width="16.44140625" customWidth="1"/>
    <col min="49" max="49" width="12" customWidth="1"/>
    <col min="50" max="50" width="16.44140625" customWidth="1"/>
    <col min="51" max="51" width="12" customWidth="1"/>
    <col min="52" max="52" width="20.5546875" customWidth="1"/>
    <col min="53" max="53" width="17.33203125" bestFit="1" customWidth="1"/>
    <col min="54" max="54" width="16.88671875" customWidth="1"/>
    <col min="55" max="55" width="12" customWidth="1"/>
    <col min="56" max="56" width="16.44140625" customWidth="1"/>
    <col min="57" max="57" width="12" customWidth="1"/>
    <col min="58" max="58" width="16.88671875" customWidth="1"/>
    <col min="59" max="59" width="12" customWidth="1"/>
    <col min="60" max="60" width="21" customWidth="1"/>
    <col min="61" max="61" width="12" customWidth="1"/>
    <col min="62" max="62" width="14.44140625" customWidth="1"/>
    <col min="63" max="63" width="12" customWidth="1"/>
    <col min="64" max="64" width="13.5546875" customWidth="1"/>
    <col min="65" max="65" width="11.44140625" customWidth="1"/>
    <col min="66" max="68" width="12.6640625" customWidth="1"/>
    <col min="69" max="69" width="14.33203125" customWidth="1"/>
    <col min="70" max="70" width="17.6640625" customWidth="1"/>
    <col min="71" max="71" width="13.6640625" customWidth="1"/>
    <col min="72" max="72" width="14.33203125" customWidth="1"/>
    <col min="73" max="76" width="13" customWidth="1"/>
    <col min="77" max="77" width="17.88671875" customWidth="1"/>
    <col min="78" max="78" width="13.33203125" customWidth="1"/>
    <col min="79" max="79" width="11.88671875" customWidth="1"/>
    <col min="80" max="85" width="12.88671875" customWidth="1"/>
    <col min="86" max="86" width="17.33203125" customWidth="1"/>
    <col min="87" max="87" width="12.88671875" customWidth="1"/>
    <col min="88" max="88" width="17.33203125" customWidth="1"/>
    <col min="89" max="89" width="12.88671875" customWidth="1"/>
    <col min="90" max="90" width="15.6640625" customWidth="1"/>
    <col min="91" max="91" width="12.88671875" customWidth="1"/>
    <col min="92" max="97" width="15.6640625" customWidth="1"/>
    <col min="98" max="98" width="17.33203125" customWidth="1"/>
    <col min="99" max="99" width="15.6640625" customWidth="1"/>
    <col min="100" max="100" width="21.5546875" customWidth="1"/>
    <col min="101" max="103" width="15.6640625" customWidth="1"/>
    <col min="104" max="108" width="21.5546875" customWidth="1"/>
    <col min="109" max="109" width="17" customWidth="1"/>
    <col min="110" max="110" width="20.109375" customWidth="1"/>
    <col min="111" max="111" width="17.44140625" customWidth="1"/>
    <col min="112" max="112" width="21.109375" customWidth="1"/>
    <col min="113" max="113" width="23.33203125" customWidth="1"/>
    <col min="114" max="114" width="18" customWidth="1"/>
    <col min="115" max="115" width="13.33203125" customWidth="1"/>
    <col min="116" max="116" width="14.33203125" bestFit="1" customWidth="1"/>
    <col min="117" max="117" width="16.109375" bestFit="1" customWidth="1"/>
    <col min="118" max="118" width="14.5546875" bestFit="1" customWidth="1"/>
    <col min="119" max="120" width="17.88671875" customWidth="1"/>
    <col min="121" max="121" width="34.109375" customWidth="1"/>
    <col min="123" max="123" width="15" bestFit="1" customWidth="1"/>
    <col min="129" max="129" width="13.33203125" bestFit="1" customWidth="1"/>
    <col min="131" max="131" width="9.5546875" bestFit="1" customWidth="1"/>
  </cols>
  <sheetData>
    <row r="1" spans="1:71" ht="24.6">
      <c r="A1" s="1"/>
      <c r="B1" s="1"/>
      <c r="C1" s="1283" t="s">
        <v>0</v>
      </c>
      <c r="D1" s="1283"/>
      <c r="E1" s="1283"/>
      <c r="F1" s="1283"/>
      <c r="G1" s="1283"/>
      <c r="H1" s="128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3"/>
      <c r="BM1" s="2"/>
      <c r="BN1" s="3"/>
    </row>
    <row r="2" spans="1:71" ht="24.6">
      <c r="A2" s="1"/>
      <c r="B2" s="1"/>
      <c r="C2" s="1283"/>
      <c r="D2" s="1283"/>
      <c r="E2" s="1283"/>
      <c r="F2" s="1283"/>
      <c r="G2" s="1283"/>
      <c r="H2" s="1283"/>
      <c r="I2" s="2"/>
      <c r="J2" s="2"/>
      <c r="K2" s="2"/>
      <c r="L2" s="2"/>
      <c r="M2" s="19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3"/>
      <c r="BL2" s="3"/>
      <c r="BM2" s="2"/>
      <c r="BN2" s="3"/>
    </row>
    <row r="3" spans="1:71" ht="24.6">
      <c r="A3" s="1"/>
      <c r="B3" s="1"/>
      <c r="C3" s="1297"/>
      <c r="D3" s="1297"/>
      <c r="E3" s="1283"/>
      <c r="F3" s="1283"/>
      <c r="G3" s="1283"/>
      <c r="H3" s="1283"/>
      <c r="I3" s="2"/>
      <c r="J3" s="2"/>
      <c r="K3" s="2"/>
      <c r="L3" s="2"/>
      <c r="M3" s="19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3"/>
      <c r="BL3" s="3"/>
      <c r="BM3" s="2"/>
      <c r="BN3" s="3"/>
    </row>
    <row r="4" spans="1:71" ht="18">
      <c r="A4" s="1"/>
      <c r="B4" s="1"/>
      <c r="C4" s="4" t="s">
        <v>1</v>
      </c>
      <c r="D4" s="5" t="s">
        <v>2</v>
      </c>
      <c r="E4" s="6" t="s">
        <v>3</v>
      </c>
      <c r="F4" s="6" t="s">
        <v>4</v>
      </c>
      <c r="G4" s="6" t="s">
        <v>5</v>
      </c>
      <c r="H4" s="6" t="s">
        <v>394</v>
      </c>
      <c r="I4" s="6" t="s">
        <v>393</v>
      </c>
      <c r="J4" s="7" t="s">
        <v>6</v>
      </c>
      <c r="K4" s="8" t="s">
        <v>7</v>
      </c>
      <c r="L4" s="9" t="s">
        <v>8</v>
      </c>
      <c r="M4" s="195" t="s">
        <v>9</v>
      </c>
      <c r="N4" s="198"/>
      <c r="O4" s="11"/>
      <c r="P4" s="12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3"/>
      <c r="BH4" s="3"/>
      <c r="BI4" s="3"/>
      <c r="BJ4" s="3"/>
      <c r="BK4" s="3"/>
      <c r="BL4" s="3"/>
      <c r="BM4" s="3"/>
      <c r="BN4" s="3"/>
      <c r="BO4" s="3"/>
    </row>
    <row r="5" spans="1:71" ht="18">
      <c r="A5" s="220" t="s">
        <v>211</v>
      </c>
      <c r="B5" s="1"/>
      <c r="C5" s="14" t="s">
        <v>10</v>
      </c>
      <c r="D5" s="15"/>
      <c r="E5" s="16">
        <v>2178</v>
      </c>
      <c r="F5" s="10">
        <v>29966000</v>
      </c>
      <c r="G5" s="16" t="s">
        <v>11</v>
      </c>
      <c r="H5" s="16"/>
      <c r="I5" s="17">
        <v>45244</v>
      </c>
      <c r="J5" s="10" t="e">
        <f>SUM(#REF!)</f>
        <v>#REF!</v>
      </c>
      <c r="K5" s="18" t="e">
        <f t="shared" ref="K5:K19" si="0">F5-J5</f>
        <v>#REF!</v>
      </c>
      <c r="L5" s="19" t="e">
        <f>#REF!</f>
        <v>#REF!</v>
      </c>
      <c r="M5" s="196" t="e">
        <f>#REF!</f>
        <v>#REF!</v>
      </c>
      <c r="N5" s="198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3"/>
      <c r="BH5" s="3"/>
      <c r="BI5" s="3"/>
      <c r="BJ5" s="3"/>
      <c r="BK5" s="3"/>
      <c r="BL5" s="3"/>
      <c r="BM5" s="3"/>
      <c r="BN5" s="3"/>
      <c r="BO5" s="3"/>
    </row>
    <row r="6" spans="1:71" ht="18">
      <c r="A6" s="220" t="s">
        <v>210</v>
      </c>
      <c r="B6" s="1">
        <f>100*(Wrapup[[#This Row],[Invoices w/out VAT]]/Wrapup[[#This Row],[Value]])</f>
        <v>94.486563600352099</v>
      </c>
      <c r="C6" s="867" t="s">
        <v>12</v>
      </c>
      <c r="D6" s="15"/>
      <c r="E6" s="16">
        <v>2547</v>
      </c>
      <c r="F6" s="10">
        <f>22992640/1.15</f>
        <v>19993600</v>
      </c>
      <c r="G6" s="16" t="s">
        <v>13</v>
      </c>
      <c r="H6" s="17">
        <v>45085</v>
      </c>
      <c r="I6" s="17">
        <v>45816</v>
      </c>
      <c r="J6" s="10">
        <f>SUM(H30:H41)</f>
        <v>19558881</v>
      </c>
      <c r="K6" s="18">
        <f>F6-J6</f>
        <v>434719</v>
      </c>
      <c r="L6" s="20">
        <f>DI42</f>
        <v>18891265.579999998</v>
      </c>
      <c r="M6" s="20">
        <f>DL42</f>
        <v>19558881</v>
      </c>
      <c r="N6" s="26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3"/>
      <c r="BH6" s="3"/>
      <c r="BI6" s="3"/>
      <c r="BJ6" s="3"/>
      <c r="BK6" s="3"/>
      <c r="BL6" s="3"/>
      <c r="BM6" s="3"/>
      <c r="BN6" s="3"/>
      <c r="BO6" s="21"/>
    </row>
    <row r="7" spans="1:71" ht="15.6">
      <c r="A7" s="220" t="s">
        <v>210</v>
      </c>
      <c r="B7" s="1" t="e">
        <f>100*(Wrapup[[#This Row],[Invoices w/out VAT]]/Wrapup[[#This Row],[Value]])</f>
        <v>#REF!</v>
      </c>
      <c r="C7" s="22" t="s">
        <v>124</v>
      </c>
      <c r="D7" s="23"/>
      <c r="E7" s="16">
        <v>2454</v>
      </c>
      <c r="F7" s="10">
        <v>3400000</v>
      </c>
      <c r="G7" s="25" t="s">
        <v>16</v>
      </c>
      <c r="H7" s="25"/>
      <c r="I7" s="17">
        <v>45151</v>
      </c>
      <c r="J7" s="10">
        <f>F7</f>
        <v>3400000</v>
      </c>
      <c r="K7" s="18">
        <f t="shared" si="0"/>
        <v>0</v>
      </c>
      <c r="L7" s="189" t="e">
        <f>#REF!</f>
        <v>#REF!</v>
      </c>
      <c r="M7" s="190" t="e">
        <f>#REF!</f>
        <v>#REF!</v>
      </c>
      <c r="N7" s="1304"/>
      <c r="O7" s="1304"/>
      <c r="P7" s="1304"/>
      <c r="Q7" s="1304"/>
      <c r="R7" s="1304"/>
      <c r="S7" s="1304"/>
      <c r="T7" s="1304"/>
      <c r="U7" s="1304"/>
      <c r="V7" s="1304"/>
      <c r="W7" s="1304"/>
      <c r="X7" s="1304"/>
      <c r="Y7" s="1304"/>
      <c r="Z7" s="1304"/>
      <c r="AA7" s="1304"/>
      <c r="AB7" s="1304"/>
      <c r="AC7" s="1304"/>
      <c r="AD7" s="1304"/>
      <c r="AE7" s="1304"/>
      <c r="AF7" s="1304"/>
      <c r="AG7" s="1304"/>
      <c r="AH7" s="1304"/>
      <c r="AI7" s="1304"/>
      <c r="AJ7" s="1304"/>
      <c r="AK7" s="1304"/>
      <c r="AL7" s="1304"/>
      <c r="AM7" s="1304"/>
      <c r="AN7" s="1304"/>
      <c r="AO7" s="1304"/>
      <c r="AP7" s="1304"/>
      <c r="AQ7" s="174"/>
      <c r="AR7" s="174"/>
      <c r="AS7" s="174"/>
      <c r="AT7" s="174"/>
      <c r="AU7" s="174"/>
      <c r="AV7" s="174"/>
      <c r="AW7" s="174"/>
      <c r="AX7" s="174"/>
      <c r="AY7" s="174"/>
      <c r="AZ7" s="174"/>
      <c r="BA7" s="174"/>
      <c r="BB7" s="174"/>
      <c r="BC7" s="174"/>
      <c r="BD7" s="174"/>
      <c r="BE7" s="174"/>
      <c r="BF7" s="174"/>
      <c r="BG7" s="24"/>
      <c r="BH7" s="3"/>
      <c r="BI7" s="3"/>
      <c r="BJ7" s="3"/>
      <c r="BK7" s="3"/>
      <c r="BL7" s="3"/>
      <c r="BM7" s="3"/>
      <c r="BN7" s="3"/>
      <c r="BO7" s="3"/>
    </row>
    <row r="8" spans="1:71">
      <c r="A8" s="220" t="s">
        <v>210</v>
      </c>
      <c r="B8" s="1">
        <f>100*(Wrapup[[#This Row],[Invoices w/out VAT]]/Wrapup[[#This Row],[Value]])</f>
        <v>82.46092473612984</v>
      </c>
      <c r="C8" s="868" t="s">
        <v>113</v>
      </c>
      <c r="D8" s="23"/>
      <c r="E8" s="16">
        <v>2672</v>
      </c>
      <c r="F8" s="10">
        <v>15054089</v>
      </c>
      <c r="G8" s="25" t="s">
        <v>13</v>
      </c>
      <c r="H8" s="17">
        <f>EDATE(Wrapup[[#This Row],[Finsih Date2]], - 24)</f>
        <v>45342</v>
      </c>
      <c r="I8" s="17">
        <v>46073</v>
      </c>
      <c r="J8" s="10">
        <f>SUM(H44:H48)</f>
        <v>15054089</v>
      </c>
      <c r="K8" s="18">
        <f t="shared" si="0"/>
        <v>0</v>
      </c>
      <c r="L8" s="189">
        <f>SUM(DI44:DI48)</f>
        <v>12413741</v>
      </c>
      <c r="M8" s="190">
        <f>DL49</f>
        <v>15054089</v>
      </c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3"/>
      <c r="BI8" s="3"/>
      <c r="BJ8" s="3"/>
      <c r="BK8" s="3"/>
      <c r="BL8" s="3"/>
      <c r="BM8" s="3"/>
      <c r="BN8" s="3"/>
      <c r="BO8" s="3"/>
    </row>
    <row r="9" spans="1:71" ht="15.6">
      <c r="A9" s="220" t="s">
        <v>210</v>
      </c>
      <c r="B9" s="1">
        <f>100*(Wrapup[[#This Row],[Invoices w/out VAT]]/Wrapup[[#This Row],[Value]])</f>
        <v>72.479596132876949</v>
      </c>
      <c r="C9" s="22" t="s">
        <v>235</v>
      </c>
      <c r="D9" s="23"/>
      <c r="E9" s="16">
        <v>2709</v>
      </c>
      <c r="F9" s="10">
        <v>19979840</v>
      </c>
      <c r="G9" s="25" t="s">
        <v>11</v>
      </c>
      <c r="H9" s="17">
        <v>45421</v>
      </c>
      <c r="I9" s="17">
        <v>46882</v>
      </c>
      <c r="J9" s="10">
        <f>SUM(H51:H66)</f>
        <v>18492779</v>
      </c>
      <c r="K9" s="18">
        <f t="shared" si="0"/>
        <v>1487061</v>
      </c>
      <c r="L9" s="189">
        <f>DI68</f>
        <v>14481307.339995001</v>
      </c>
      <c r="M9" s="190">
        <f>DL68</f>
        <v>15572069</v>
      </c>
      <c r="N9" s="26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174"/>
      <c r="AR9" s="174"/>
      <c r="AS9" s="174"/>
      <c r="AT9" s="174"/>
      <c r="AU9" s="174"/>
      <c r="AV9" s="174"/>
      <c r="AW9" s="174"/>
      <c r="AX9" s="174"/>
      <c r="AY9" s="174"/>
      <c r="AZ9" s="174"/>
      <c r="BA9" s="174"/>
      <c r="BB9" s="174"/>
      <c r="BC9" s="174"/>
      <c r="BD9" s="174"/>
      <c r="BE9" s="174"/>
      <c r="BF9" s="174"/>
      <c r="BG9" s="24"/>
      <c r="BH9" s="3"/>
      <c r="BI9" s="3"/>
      <c r="BJ9" s="3"/>
      <c r="BK9" s="3"/>
      <c r="BL9" s="3"/>
      <c r="BM9" s="3"/>
      <c r="BN9" s="3"/>
      <c r="BO9" s="3"/>
    </row>
    <row r="10" spans="1:71">
      <c r="A10" s="220" t="s">
        <v>210</v>
      </c>
      <c r="B10" s="1">
        <f>100*(Wrapup[[#This Row],[Invoices w/out VAT]]/Wrapup[[#This Row],[Value]])</f>
        <v>89.999999982038702</v>
      </c>
      <c r="C10" s="869" t="s">
        <v>122</v>
      </c>
      <c r="D10" s="28"/>
      <c r="E10" s="29">
        <v>2666</v>
      </c>
      <c r="F10" s="30">
        <v>27837620</v>
      </c>
      <c r="G10" s="31" t="s">
        <v>125</v>
      </c>
      <c r="H10" s="17">
        <f>EDATE(Wrapup[[#This Row],[Finsih Date2]], - 10)</f>
        <v>45444</v>
      </c>
      <c r="I10" s="17">
        <v>45748</v>
      </c>
      <c r="J10" s="30">
        <f>H70</f>
        <v>27837620</v>
      </c>
      <c r="K10" s="191">
        <f t="shared" si="0"/>
        <v>0</v>
      </c>
      <c r="L10" s="192">
        <f>DI72</f>
        <v>25053857.995000001</v>
      </c>
      <c r="M10" s="193">
        <f>DL72</f>
        <v>27837620</v>
      </c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3"/>
      <c r="BI10" s="3"/>
      <c r="BJ10" s="3"/>
      <c r="BK10" s="3"/>
      <c r="BL10" s="3"/>
      <c r="BM10" s="3"/>
      <c r="BN10" s="3"/>
      <c r="BO10" s="3"/>
    </row>
    <row r="11" spans="1:71">
      <c r="A11" s="220" t="s">
        <v>210</v>
      </c>
      <c r="B11" s="1">
        <f>100*(Wrapup[[#This Row],[Invoices w/out VAT]]/Wrapup[[#This Row],[Value]])</f>
        <v>66.399191448106947</v>
      </c>
      <c r="C11" s="27" t="s">
        <v>234</v>
      </c>
      <c r="D11" s="439"/>
      <c r="E11" s="440" t="s">
        <v>232</v>
      </c>
      <c r="F11" s="441">
        <v>9799000</v>
      </c>
      <c r="G11" s="25" t="s">
        <v>13</v>
      </c>
      <c r="H11" s="17">
        <v>45608</v>
      </c>
      <c r="I11" s="17">
        <v>46338</v>
      </c>
      <c r="J11" s="441">
        <f>SUM(H74:H78)</f>
        <v>7075670</v>
      </c>
      <c r="K11" s="442">
        <f t="shared" si="0"/>
        <v>2723330</v>
      </c>
      <c r="L11" s="437">
        <f>DI78</f>
        <v>6506456.7699999996</v>
      </c>
      <c r="M11" s="438">
        <f>DL78</f>
        <v>6221850</v>
      </c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3"/>
      <c r="BI11" s="3"/>
      <c r="BJ11" s="3"/>
      <c r="BK11" s="3"/>
      <c r="BL11" s="3"/>
      <c r="BM11" s="3"/>
      <c r="BN11" s="3"/>
      <c r="BO11" s="3"/>
    </row>
    <row r="12" spans="1:71">
      <c r="A12" s="220"/>
      <c r="B12" s="1">
        <f>100*(Wrapup[[#This Row],[Invoices w/out VAT]]/Wrapup[[#This Row],[Value]])</f>
        <v>62.228535505640622</v>
      </c>
      <c r="C12" s="598" t="s">
        <v>316</v>
      </c>
      <c r="D12" s="599"/>
      <c r="E12" s="600">
        <v>2891</v>
      </c>
      <c r="F12" s="601">
        <v>19856000</v>
      </c>
      <c r="G12" s="602" t="s">
        <v>237</v>
      </c>
      <c r="H12" s="606">
        <v>45700</v>
      </c>
      <c r="I12" s="606">
        <v>47526</v>
      </c>
      <c r="J12" s="601">
        <f>SUM(H99:H104)</f>
        <v>13340059</v>
      </c>
      <c r="K12" s="603">
        <f t="shared" si="0"/>
        <v>6515941</v>
      </c>
      <c r="L12" s="604">
        <f>DI105</f>
        <v>12356098.010000002</v>
      </c>
      <c r="M12" s="605">
        <f>DL105</f>
        <v>12479059</v>
      </c>
      <c r="N12" s="257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3"/>
      <c r="BI12" s="3"/>
      <c r="BJ12" s="3"/>
      <c r="BK12" s="3"/>
      <c r="BL12" s="3"/>
      <c r="BM12" s="3"/>
      <c r="BN12" s="3"/>
      <c r="BO12" s="3"/>
      <c r="BQ12" t="s">
        <v>538</v>
      </c>
      <c r="BR12" t="s">
        <v>539</v>
      </c>
      <c r="BS12" t="s">
        <v>540</v>
      </c>
    </row>
    <row r="13" spans="1:71">
      <c r="A13" s="220" t="s">
        <v>210</v>
      </c>
      <c r="B13" s="1">
        <f>100*(Wrapup[[#This Row],[Invoices w/out VAT]]/Wrapup[[#This Row],[Value]])</f>
        <v>99.999997864768673</v>
      </c>
      <c r="C13" s="870" t="s">
        <v>233</v>
      </c>
      <c r="D13" s="439"/>
      <c r="E13" s="440" t="s">
        <v>232</v>
      </c>
      <c r="F13" s="441">
        <v>7025000</v>
      </c>
      <c r="G13" s="25" t="s">
        <v>13</v>
      </c>
      <c r="H13" s="17">
        <f>EDATE(Wrapup[[#This Row],[Finsih Date2]], - 24)</f>
        <v>45617</v>
      </c>
      <c r="I13" s="17">
        <v>46347</v>
      </c>
      <c r="J13" s="441">
        <f>H80</f>
        <v>7025000</v>
      </c>
      <c r="K13" s="442">
        <f t="shared" si="0"/>
        <v>0</v>
      </c>
      <c r="L13" s="437">
        <f>DI81</f>
        <v>7024999.8499999996</v>
      </c>
      <c r="M13" s="438">
        <f>DL81</f>
        <v>7025000</v>
      </c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3"/>
      <c r="BI13" s="3"/>
      <c r="BJ13" s="3"/>
      <c r="BK13" s="3"/>
      <c r="BL13" s="3"/>
      <c r="BM13" s="3"/>
      <c r="BN13" s="3"/>
      <c r="BO13" s="3"/>
      <c r="BP13" t="s">
        <v>538</v>
      </c>
      <c r="BQ13">
        <v>15</v>
      </c>
      <c r="BR13">
        <v>13</v>
      </c>
      <c r="BS13">
        <v>15</v>
      </c>
    </row>
    <row r="14" spans="1:71">
      <c r="A14" s="220" t="s">
        <v>210</v>
      </c>
      <c r="B14" s="1">
        <f>100*(Wrapup[[#This Row],[Invoices w/out VAT]]/Wrapup[[#This Row],[Value]])</f>
        <v>24.764554325461301</v>
      </c>
      <c r="C14" s="514" t="s">
        <v>236</v>
      </c>
      <c r="D14" s="515"/>
      <c r="E14" s="516">
        <v>2814</v>
      </c>
      <c r="F14" s="517">
        <v>59999685.82</v>
      </c>
      <c r="G14" s="518" t="s">
        <v>237</v>
      </c>
      <c r="H14" s="17">
        <v>45567</v>
      </c>
      <c r="I14" s="17">
        <v>47393</v>
      </c>
      <c r="J14" s="517">
        <f>Wrapup[[#This Row],[Value]]</f>
        <v>59999685.82</v>
      </c>
      <c r="K14" s="519">
        <f t="shared" si="0"/>
        <v>0</v>
      </c>
      <c r="L14" s="512">
        <f>J97</f>
        <v>14858654.789999999</v>
      </c>
      <c r="M14" s="513">
        <f>Wrapup[[#This Row],[Invoices w/out VAT]]</f>
        <v>14858654.789999999</v>
      </c>
      <c r="N14" s="690"/>
      <c r="O14" s="257"/>
      <c r="P14" s="26"/>
      <c r="Q14" s="691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3"/>
      <c r="BI14" s="3"/>
      <c r="BJ14" s="3"/>
      <c r="BK14" s="3"/>
      <c r="BL14" s="3"/>
      <c r="BM14" s="3"/>
      <c r="BN14" s="3"/>
      <c r="BO14" s="3"/>
    </row>
    <row r="15" spans="1:71">
      <c r="A15" s="220" t="s">
        <v>210</v>
      </c>
      <c r="B15" s="1"/>
      <c r="C15" s="27" t="s">
        <v>367</v>
      </c>
      <c r="D15" s="28"/>
      <c r="E15" s="29">
        <v>2966</v>
      </c>
      <c r="F15" s="30">
        <v>14990000</v>
      </c>
      <c r="G15" s="25" t="s">
        <v>13</v>
      </c>
      <c r="H15" s="17">
        <v>45832</v>
      </c>
      <c r="I15" s="17">
        <v>46562</v>
      </c>
      <c r="J15" s="30">
        <f>SUM(H107:H110)</f>
        <v>2997130</v>
      </c>
      <c r="K15" s="191">
        <f t="shared" si="0"/>
        <v>11992870</v>
      </c>
      <c r="L15" s="192">
        <f>DI111</f>
        <v>1198852.07</v>
      </c>
      <c r="M15" s="193">
        <f>DM111</f>
        <v>-7.000000006519258E-2</v>
      </c>
      <c r="N15" s="690"/>
      <c r="O15" s="257"/>
      <c r="P15" s="26"/>
      <c r="Q15" s="691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3"/>
      <c r="BI15" s="3"/>
      <c r="BJ15" s="3"/>
      <c r="BK15" s="3"/>
      <c r="BL15" s="3"/>
      <c r="BM15" s="3"/>
      <c r="BN15" s="3"/>
      <c r="BO15" s="3"/>
    </row>
    <row r="16" spans="1:71">
      <c r="A16" s="220" t="s">
        <v>210</v>
      </c>
      <c r="B16" s="1"/>
      <c r="C16" s="745" t="s">
        <v>364</v>
      </c>
      <c r="D16" s="746"/>
      <c r="E16" s="747">
        <v>3026</v>
      </c>
      <c r="F16" s="748">
        <v>59500000</v>
      </c>
      <c r="G16" s="25" t="s">
        <v>365</v>
      </c>
      <c r="H16" s="17">
        <v>45858</v>
      </c>
      <c r="I16" s="17">
        <v>46954</v>
      </c>
      <c r="J16" s="748">
        <f>SUM(H113:H116)</f>
        <v>26992134</v>
      </c>
      <c r="K16" s="749">
        <f t="shared" si="0"/>
        <v>32507866</v>
      </c>
      <c r="L16" s="743">
        <f>DI117</f>
        <v>9333061</v>
      </c>
      <c r="M16" s="744">
        <f>DM117</f>
        <v>1347327.6099999999</v>
      </c>
      <c r="N16" s="690"/>
      <c r="O16" s="257"/>
      <c r="P16" s="26"/>
      <c r="Q16" s="691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3"/>
      <c r="BI16" s="3"/>
      <c r="BJ16" s="3"/>
      <c r="BK16" s="3"/>
      <c r="BL16" s="3"/>
      <c r="BM16" s="3"/>
      <c r="BN16" s="3"/>
      <c r="BO16" s="3"/>
      <c r="BQ16">
        <f>MOD(SUM(BQ13:BS13),2)</f>
        <v>1</v>
      </c>
    </row>
    <row r="17" spans="1:133">
      <c r="A17" s="220" t="s">
        <v>210</v>
      </c>
      <c r="B17" s="1"/>
      <c r="C17" s="745" t="s">
        <v>366</v>
      </c>
      <c r="D17" s="746"/>
      <c r="E17" s="747">
        <v>3041</v>
      </c>
      <c r="F17" s="748">
        <v>11637180</v>
      </c>
      <c r="G17" s="25" t="s">
        <v>13</v>
      </c>
      <c r="H17" s="17">
        <f>EDATE(Wrapup[[#This Row],[Finsih Date2]], - 24)</f>
        <v>45879</v>
      </c>
      <c r="I17" s="17">
        <v>46609</v>
      </c>
      <c r="J17" s="748">
        <f>SUM(H119:H122)</f>
        <v>7146100</v>
      </c>
      <c r="K17" s="749">
        <f t="shared" si="0"/>
        <v>4491080</v>
      </c>
      <c r="L17" s="743">
        <f>DI123</f>
        <v>1385226.5032000002</v>
      </c>
      <c r="M17" s="744">
        <f>DM123</f>
        <v>845071.3067999999</v>
      </c>
      <c r="O17" s="257"/>
      <c r="P17" s="26"/>
      <c r="Q17" s="691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3"/>
      <c r="BI17" s="3"/>
      <c r="BJ17" s="3"/>
      <c r="BK17" s="3"/>
      <c r="BL17" s="3"/>
      <c r="BM17" s="3"/>
      <c r="BN17" s="3"/>
      <c r="BO17" s="3"/>
    </row>
    <row r="18" spans="1:133">
      <c r="A18" s="220" t="s">
        <v>210</v>
      </c>
      <c r="B18" s="1"/>
      <c r="C18" s="745" t="s">
        <v>368</v>
      </c>
      <c r="D18" s="746"/>
      <c r="E18" s="747">
        <v>3042</v>
      </c>
      <c r="F18" s="748">
        <v>27800000</v>
      </c>
      <c r="G18" s="25" t="s">
        <v>13</v>
      </c>
      <c r="H18" s="17">
        <f>EDATE(Wrapup[[#This Row],[Finsih Date2]], - 24)</f>
        <v>45868</v>
      </c>
      <c r="I18" s="17">
        <v>46598</v>
      </c>
      <c r="J18" s="748">
        <f>SUM(H125:H128)</f>
        <v>19206662</v>
      </c>
      <c r="K18" s="749">
        <f t="shared" si="0"/>
        <v>8593338</v>
      </c>
      <c r="L18" s="743">
        <f>DI129</f>
        <v>4993631.95</v>
      </c>
      <c r="M18" s="744">
        <f>DM129</f>
        <v>614713.35399999935</v>
      </c>
      <c r="N18" s="690"/>
      <c r="O18" s="257"/>
      <c r="P18" s="26"/>
      <c r="Q18" s="691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3"/>
      <c r="BI18" s="3"/>
      <c r="BJ18" s="3"/>
      <c r="BK18" s="3"/>
      <c r="BL18" s="3"/>
      <c r="BM18" s="3"/>
      <c r="BN18" s="3"/>
      <c r="BO18" s="3"/>
    </row>
    <row r="19" spans="1:133">
      <c r="A19" s="220" t="s">
        <v>210</v>
      </c>
      <c r="B19" s="1"/>
      <c r="C19" s="745" t="s">
        <v>369</v>
      </c>
      <c r="D19" s="746"/>
      <c r="E19" s="747">
        <v>3020</v>
      </c>
      <c r="F19" s="748">
        <v>19955000</v>
      </c>
      <c r="G19" s="25" t="s">
        <v>11</v>
      </c>
      <c r="H19" s="17">
        <f>EDATE(Wrapup[[#This Row],[Finsih Date2]], - 48)</f>
        <v>45848</v>
      </c>
      <c r="I19" s="17">
        <v>47309</v>
      </c>
      <c r="J19" s="748"/>
      <c r="K19" s="749">
        <f t="shared" si="0"/>
        <v>19955000</v>
      </c>
      <c r="L19" s="743">
        <f>DI143</f>
        <v>0</v>
      </c>
      <c r="M19" s="744">
        <f>DM143</f>
        <v>0</v>
      </c>
      <c r="N19" s="690"/>
      <c r="O19" s="257"/>
      <c r="P19" s="26"/>
      <c r="Q19" s="691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3"/>
      <c r="BI19" s="3"/>
      <c r="BJ19" s="3"/>
      <c r="BK19" s="3"/>
      <c r="BL19" s="3"/>
      <c r="BM19" s="3"/>
      <c r="BN19" s="3"/>
      <c r="BO19" s="3"/>
    </row>
    <row r="20" spans="1:133" ht="15" thickBot="1">
      <c r="A20" s="1"/>
      <c r="B20" s="1"/>
      <c r="C20" s="3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</row>
    <row r="21" spans="1:133" ht="26.4" thickTop="1">
      <c r="A21" s="33" t="s">
        <v>17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"/>
      <c r="DE21" s="697"/>
      <c r="DG21" s="433"/>
    </row>
    <row r="22" spans="1:133" ht="25.8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7"/>
      <c r="BN22" s="3"/>
      <c r="DF22" s="433"/>
      <c r="DG22" s="433"/>
    </row>
    <row r="23" spans="1:133" ht="15" customHeight="1">
      <c r="A23" s="1298" t="s">
        <v>18</v>
      </c>
      <c r="B23" s="1299"/>
      <c r="C23" s="1299"/>
      <c r="D23" s="1299"/>
      <c r="E23" s="1299"/>
      <c r="F23" s="1299"/>
      <c r="G23" s="1299"/>
      <c r="H23" s="1299"/>
      <c r="I23" s="1299"/>
      <c r="J23" s="1299"/>
      <c r="K23" s="1299"/>
      <c r="L23" s="1299"/>
      <c r="M23" s="1299"/>
      <c r="N23" s="1299"/>
      <c r="O23" s="1299"/>
      <c r="P23" s="1299"/>
      <c r="Q23" s="1299"/>
      <c r="R23" s="1299"/>
      <c r="S23" s="1299"/>
      <c r="T23" s="1299"/>
      <c r="U23" s="1299"/>
      <c r="V23" s="1299"/>
      <c r="W23" s="1299"/>
      <c r="X23" s="1299"/>
      <c r="Y23" s="1299"/>
      <c r="Z23" s="1299"/>
      <c r="AA23" s="1299"/>
      <c r="AB23" s="1299"/>
      <c r="AC23" s="1299"/>
      <c r="AD23" s="1299"/>
      <c r="AE23" s="1299"/>
      <c r="AF23" s="1299"/>
      <c r="AG23" s="1299"/>
      <c r="AH23" s="1299"/>
      <c r="AI23" s="1299"/>
      <c r="AJ23" s="1299"/>
      <c r="AK23" s="1299"/>
      <c r="AL23" s="1299"/>
      <c r="AM23" s="1299"/>
      <c r="AN23" s="1299"/>
      <c r="AO23" s="1299"/>
      <c r="AP23" s="1299"/>
      <c r="AQ23" s="1299"/>
      <c r="AR23" s="1299"/>
      <c r="AS23" s="1299"/>
      <c r="AT23" s="1299"/>
      <c r="AU23" s="1299"/>
      <c r="AV23" s="1299"/>
      <c r="AW23" s="1299"/>
      <c r="AX23" s="1299"/>
      <c r="AY23" s="1299"/>
      <c r="AZ23" s="1299"/>
      <c r="BA23" s="1299"/>
      <c r="BB23" s="1299"/>
      <c r="BC23" s="1299"/>
      <c r="BD23" s="1299"/>
      <c r="BE23" s="1299"/>
      <c r="BF23" s="1299"/>
      <c r="BG23" s="1299"/>
      <c r="BH23" s="1299"/>
      <c r="BI23" s="1299"/>
      <c r="BJ23" s="1299"/>
      <c r="BK23" s="1299"/>
      <c r="BL23" s="1299"/>
      <c r="BM23" s="1300"/>
      <c r="BN23" s="3"/>
      <c r="DG23" s="433"/>
    </row>
    <row r="24" spans="1:133" ht="15.75" customHeight="1" thickBot="1">
      <c r="A24" s="1301"/>
      <c r="B24" s="1302"/>
      <c r="C24" s="1302"/>
      <c r="D24" s="1302"/>
      <c r="E24" s="1302"/>
      <c r="F24" s="1302"/>
      <c r="G24" s="1302"/>
      <c r="H24" s="1302"/>
      <c r="I24" s="1302"/>
      <c r="J24" s="1302"/>
      <c r="K24" s="1302"/>
      <c r="L24" s="1302"/>
      <c r="M24" s="1302"/>
      <c r="N24" s="1302"/>
      <c r="O24" s="1302"/>
      <c r="P24" s="1302"/>
      <c r="Q24" s="1302"/>
      <c r="R24" s="1302"/>
      <c r="S24" s="1302"/>
      <c r="T24" s="1302"/>
      <c r="U24" s="1302"/>
      <c r="V24" s="1302"/>
      <c r="W24" s="1302"/>
      <c r="X24" s="1302"/>
      <c r="Y24" s="1302"/>
      <c r="Z24" s="1302"/>
      <c r="AA24" s="1302"/>
      <c r="AB24" s="1302"/>
      <c r="AC24" s="1302"/>
      <c r="AD24" s="1302"/>
      <c r="AE24" s="1302"/>
      <c r="AF24" s="1302"/>
      <c r="AG24" s="1302"/>
      <c r="AH24" s="1302"/>
      <c r="AI24" s="1302"/>
      <c r="AJ24" s="1302"/>
      <c r="AK24" s="1302"/>
      <c r="AL24" s="1302"/>
      <c r="AM24" s="1302"/>
      <c r="AN24" s="1302"/>
      <c r="AO24" s="1302"/>
      <c r="AP24" s="1302"/>
      <c r="AQ24" s="1302"/>
      <c r="AR24" s="1302"/>
      <c r="AS24" s="1302"/>
      <c r="AT24" s="1302"/>
      <c r="AU24" s="1302"/>
      <c r="AV24" s="1302"/>
      <c r="AW24" s="1302"/>
      <c r="AX24" s="1302"/>
      <c r="AY24" s="1302"/>
      <c r="AZ24" s="1302"/>
      <c r="BA24" s="1302"/>
      <c r="BB24" s="1302"/>
      <c r="BC24" s="1302"/>
      <c r="BD24" s="1302"/>
      <c r="BE24" s="1302"/>
      <c r="BF24" s="1302"/>
      <c r="BG24" s="1302"/>
      <c r="BH24" s="1302"/>
      <c r="BI24" s="1302"/>
      <c r="BJ24" s="1302"/>
      <c r="BK24" s="1302"/>
      <c r="BL24" s="1302"/>
      <c r="BM24" s="1303"/>
      <c r="BN24" s="3"/>
      <c r="DC24" s="697"/>
      <c r="DD24" s="697"/>
      <c r="DE24" s="697"/>
      <c r="DF24" s="697"/>
      <c r="DG24" s="697"/>
    </row>
    <row r="25" spans="1:133" ht="15.6" thickTop="1" thickBot="1"/>
    <row r="26" spans="1:133" ht="15.6" thickTop="1" thickBot="1">
      <c r="A26" s="984" t="s">
        <v>1</v>
      </c>
      <c r="B26" s="985" t="s">
        <v>425</v>
      </c>
      <c r="C26" s="986" t="s">
        <v>20</v>
      </c>
      <c r="D26" s="987" t="s">
        <v>2</v>
      </c>
      <c r="E26" s="988" t="s">
        <v>257</v>
      </c>
      <c r="F26" s="989" t="s">
        <v>258</v>
      </c>
      <c r="G26" s="990" t="s">
        <v>259</v>
      </c>
      <c r="H26" s="990" t="s">
        <v>286</v>
      </c>
      <c r="I26" s="991" t="s">
        <v>287</v>
      </c>
      <c r="J26" s="992" t="s">
        <v>288</v>
      </c>
      <c r="K26" s="992" t="s">
        <v>381</v>
      </c>
      <c r="L26" s="993" t="s">
        <v>382</v>
      </c>
      <c r="M26" s="991" t="s">
        <v>426</v>
      </c>
      <c r="N26" s="992" t="s">
        <v>427</v>
      </c>
      <c r="O26" s="992" t="s">
        <v>428</v>
      </c>
      <c r="P26" s="993" t="s">
        <v>429</v>
      </c>
      <c r="Q26" s="992" t="s">
        <v>430</v>
      </c>
      <c r="R26" s="992" t="s">
        <v>431</v>
      </c>
      <c r="S26" s="992" t="s">
        <v>432</v>
      </c>
      <c r="T26" s="993" t="s">
        <v>433</v>
      </c>
      <c r="U26" s="991" t="s">
        <v>434</v>
      </c>
      <c r="V26" s="992" t="s">
        <v>435</v>
      </c>
      <c r="W26" s="992" t="s">
        <v>436</v>
      </c>
      <c r="X26" s="993" t="s">
        <v>437</v>
      </c>
      <c r="Y26" s="991" t="s">
        <v>438</v>
      </c>
      <c r="Z26" s="992" t="s">
        <v>439</v>
      </c>
      <c r="AA26" s="992" t="s">
        <v>440</v>
      </c>
      <c r="AB26" s="993" t="s">
        <v>441</v>
      </c>
      <c r="AC26" s="991" t="s">
        <v>442</v>
      </c>
      <c r="AD26" s="992" t="s">
        <v>443</v>
      </c>
      <c r="AE26" s="992" t="s">
        <v>444</v>
      </c>
      <c r="AF26" s="993" t="s">
        <v>445</v>
      </c>
      <c r="AG26" s="991" t="s">
        <v>446</v>
      </c>
      <c r="AH26" s="992" t="s">
        <v>447</v>
      </c>
      <c r="AI26" s="992" t="s">
        <v>448</v>
      </c>
      <c r="AJ26" s="993" t="s">
        <v>449</v>
      </c>
      <c r="AK26" s="991" t="s">
        <v>450</v>
      </c>
      <c r="AL26" s="992" t="s">
        <v>451</v>
      </c>
      <c r="AM26" s="992" t="s">
        <v>452</v>
      </c>
      <c r="AN26" s="993" t="s">
        <v>453</v>
      </c>
      <c r="AO26" s="991" t="s">
        <v>454</v>
      </c>
      <c r="AP26" s="992" t="s">
        <v>455</v>
      </c>
      <c r="AQ26" s="992" t="s">
        <v>456</v>
      </c>
      <c r="AR26" s="993" t="s">
        <v>457</v>
      </c>
      <c r="AS26" s="991" t="s">
        <v>458</v>
      </c>
      <c r="AT26" s="992" t="s">
        <v>459</v>
      </c>
      <c r="AU26" s="992" t="s">
        <v>460</v>
      </c>
      <c r="AV26" s="993" t="s">
        <v>461</v>
      </c>
      <c r="AW26" s="991" t="s">
        <v>462</v>
      </c>
      <c r="AX26" s="992" t="s">
        <v>463</v>
      </c>
      <c r="AY26" s="992" t="s">
        <v>464</v>
      </c>
      <c r="AZ26" s="993" t="s">
        <v>465</v>
      </c>
      <c r="BA26" s="991" t="s">
        <v>466</v>
      </c>
      <c r="BB26" s="992" t="s">
        <v>467</v>
      </c>
      <c r="BC26" s="992" t="s">
        <v>468</v>
      </c>
      <c r="BD26" s="993" t="s">
        <v>469</v>
      </c>
      <c r="BE26" s="991" t="s">
        <v>470</v>
      </c>
      <c r="BF26" s="992" t="s">
        <v>471</v>
      </c>
      <c r="BG26" s="992" t="s">
        <v>472</v>
      </c>
      <c r="BH26" s="993" t="s">
        <v>473</v>
      </c>
      <c r="BI26" s="991" t="s">
        <v>474</v>
      </c>
      <c r="BJ26" s="992" t="s">
        <v>475</v>
      </c>
      <c r="BK26" s="992" t="s">
        <v>476</v>
      </c>
      <c r="BL26" s="992" t="s">
        <v>477</v>
      </c>
      <c r="BM26" s="992" t="s">
        <v>478</v>
      </c>
      <c r="BN26" s="992" t="s">
        <v>479</v>
      </c>
      <c r="BO26" s="992" t="s">
        <v>480</v>
      </c>
      <c r="BP26" s="992" t="s">
        <v>481</v>
      </c>
      <c r="BQ26" s="992" t="s">
        <v>482</v>
      </c>
      <c r="BR26" s="992" t="s">
        <v>483</v>
      </c>
      <c r="BS26" s="992" t="s">
        <v>484</v>
      </c>
      <c r="BT26" s="992" t="s">
        <v>485</v>
      </c>
      <c r="BU26" s="992" t="s">
        <v>486</v>
      </c>
      <c r="BV26" s="992" t="s">
        <v>487</v>
      </c>
      <c r="BW26" s="992" t="s">
        <v>488</v>
      </c>
      <c r="BX26" s="992" t="s">
        <v>489</v>
      </c>
      <c r="BY26" s="992" t="s">
        <v>490</v>
      </c>
      <c r="BZ26" s="992" t="s">
        <v>491</v>
      </c>
      <c r="CA26" s="992" t="s">
        <v>492</v>
      </c>
      <c r="CB26" s="992" t="s">
        <v>493</v>
      </c>
      <c r="CC26" s="992" t="s">
        <v>494</v>
      </c>
      <c r="CD26" s="992" t="s">
        <v>495</v>
      </c>
      <c r="CE26" s="992" t="s">
        <v>496</v>
      </c>
      <c r="CF26" s="992" t="s">
        <v>497</v>
      </c>
      <c r="CG26" s="992" t="s">
        <v>498</v>
      </c>
      <c r="CH26" s="992" t="s">
        <v>499</v>
      </c>
      <c r="CI26" s="992" t="s">
        <v>500</v>
      </c>
      <c r="CJ26" s="992" t="s">
        <v>501</v>
      </c>
      <c r="CK26" s="992" t="s">
        <v>502</v>
      </c>
      <c r="CL26" s="992" t="s">
        <v>503</v>
      </c>
      <c r="CM26" s="992" t="s">
        <v>504</v>
      </c>
      <c r="CN26" s="992" t="s">
        <v>505</v>
      </c>
      <c r="CO26" s="992" t="s">
        <v>506</v>
      </c>
      <c r="CP26" s="992" t="s">
        <v>507</v>
      </c>
      <c r="CQ26" s="992" t="s">
        <v>508</v>
      </c>
      <c r="CR26" s="992" t="s">
        <v>509</v>
      </c>
      <c r="CS26" s="992" t="s">
        <v>510</v>
      </c>
      <c r="CT26" s="992" t="s">
        <v>511</v>
      </c>
      <c r="CU26" s="992" t="s">
        <v>512</v>
      </c>
      <c r="CV26" s="992" t="s">
        <v>513</v>
      </c>
      <c r="CW26" s="992" t="s">
        <v>514</v>
      </c>
      <c r="CX26" s="992" t="s">
        <v>515</v>
      </c>
      <c r="CY26" s="992" t="s">
        <v>516</v>
      </c>
      <c r="CZ26" s="992" t="s">
        <v>517</v>
      </c>
      <c r="DA26" s="992" t="s">
        <v>518</v>
      </c>
      <c r="DB26" s="992" t="s">
        <v>519</v>
      </c>
      <c r="DC26" s="992" t="s">
        <v>520</v>
      </c>
      <c r="DD26" s="992" t="s">
        <v>521</v>
      </c>
      <c r="DE26" s="992" t="s">
        <v>283</v>
      </c>
      <c r="DF26" s="1038" t="s">
        <v>284</v>
      </c>
      <c r="DG26" s="1038" t="s">
        <v>285</v>
      </c>
      <c r="DH26" s="1038" t="s">
        <v>522</v>
      </c>
      <c r="DI26" s="1038" t="s">
        <v>523</v>
      </c>
      <c r="DJ26" s="1038" t="s">
        <v>524</v>
      </c>
      <c r="DK26" s="1038" t="s">
        <v>525</v>
      </c>
      <c r="DL26" s="1038" t="s">
        <v>526</v>
      </c>
      <c r="DM26" s="1038" t="s">
        <v>527</v>
      </c>
      <c r="DN26" s="3"/>
      <c r="DQ26" s="230"/>
    </row>
    <row r="27" spans="1:133" ht="30" thickTop="1" thickBot="1">
      <c r="A27" s="381" t="s">
        <v>1</v>
      </c>
      <c r="B27" s="138" t="s">
        <v>19</v>
      </c>
      <c r="C27" s="383" t="s">
        <v>20</v>
      </c>
      <c r="D27" s="383"/>
      <c r="E27" s="383"/>
      <c r="F27" s="386"/>
      <c r="G27" s="381" t="s">
        <v>21</v>
      </c>
      <c r="H27" s="138" t="s">
        <v>22</v>
      </c>
      <c r="I27" s="387" t="s">
        <v>46</v>
      </c>
      <c r="J27" s="388" t="s">
        <v>47</v>
      </c>
      <c r="K27" s="388" t="s">
        <v>48</v>
      </c>
      <c r="L27" s="382" t="s">
        <v>49</v>
      </c>
      <c r="M27" s="387" t="s">
        <v>50</v>
      </c>
      <c r="N27" s="388" t="s">
        <v>51</v>
      </c>
      <c r="O27" s="388" t="s">
        <v>52</v>
      </c>
      <c r="P27" s="382" t="s">
        <v>53</v>
      </c>
      <c r="Q27" s="387" t="s">
        <v>54</v>
      </c>
      <c r="R27" s="388" t="s">
        <v>55</v>
      </c>
      <c r="S27" s="388" t="s">
        <v>56</v>
      </c>
      <c r="T27" s="382" t="s">
        <v>57</v>
      </c>
      <c r="U27" s="387" t="s">
        <v>58</v>
      </c>
      <c r="V27" s="388" t="s">
        <v>59</v>
      </c>
      <c r="W27" s="388" t="s">
        <v>60</v>
      </c>
      <c r="X27" s="382" t="s">
        <v>61</v>
      </c>
      <c r="Y27" s="387" t="s">
        <v>62</v>
      </c>
      <c r="Z27" s="388" t="s">
        <v>63</v>
      </c>
      <c r="AA27" s="388" t="s">
        <v>64</v>
      </c>
      <c r="AB27" s="382" t="s">
        <v>65</v>
      </c>
      <c r="AC27" s="387" t="s">
        <v>66</v>
      </c>
      <c r="AD27" s="388" t="s">
        <v>67</v>
      </c>
      <c r="AE27" s="388" t="s">
        <v>68</v>
      </c>
      <c r="AF27" s="382" t="s">
        <v>69</v>
      </c>
      <c r="AG27" s="387" t="s">
        <v>70</v>
      </c>
      <c r="AH27" s="388" t="s">
        <v>71</v>
      </c>
      <c r="AI27" s="388" t="s">
        <v>72</v>
      </c>
      <c r="AJ27" s="382" t="s">
        <v>73</v>
      </c>
      <c r="AK27" s="387" t="s">
        <v>74</v>
      </c>
      <c r="AL27" s="388" t="s">
        <v>75</v>
      </c>
      <c r="AM27" s="388" t="s">
        <v>76</v>
      </c>
      <c r="AN27" s="382" t="s">
        <v>77</v>
      </c>
      <c r="AO27" s="387" t="s">
        <v>78</v>
      </c>
      <c r="AP27" s="388" t="s">
        <v>79</v>
      </c>
      <c r="AQ27" s="388" t="s">
        <v>80</v>
      </c>
      <c r="AR27" s="382" t="s">
        <v>81</v>
      </c>
      <c r="AS27" s="387" t="s">
        <v>82</v>
      </c>
      <c r="AT27" s="388" t="s">
        <v>83</v>
      </c>
      <c r="AU27" s="388" t="s">
        <v>84</v>
      </c>
      <c r="AV27" s="382" t="s">
        <v>85</v>
      </c>
      <c r="AW27" s="387" t="s">
        <v>86</v>
      </c>
      <c r="AX27" s="388" t="s">
        <v>87</v>
      </c>
      <c r="AY27" s="388" t="s">
        <v>88</v>
      </c>
      <c r="AZ27" s="382" t="s">
        <v>89</v>
      </c>
      <c r="BA27" s="387" t="s">
        <v>90</v>
      </c>
      <c r="BB27" s="388" t="s">
        <v>91</v>
      </c>
      <c r="BC27" s="388" t="s">
        <v>92</v>
      </c>
      <c r="BD27" s="382" t="s">
        <v>93</v>
      </c>
      <c r="BE27" s="387" t="s">
        <v>94</v>
      </c>
      <c r="BF27" s="388" t="s">
        <v>95</v>
      </c>
      <c r="BG27" s="388" t="s">
        <v>96</v>
      </c>
      <c r="BH27" s="382" t="s">
        <v>97</v>
      </c>
      <c r="BI27" s="387" t="s">
        <v>98</v>
      </c>
      <c r="BJ27" s="388" t="s">
        <v>99</v>
      </c>
      <c r="BK27" s="388" t="s">
        <v>100</v>
      </c>
      <c r="BL27" s="382" t="s">
        <v>101</v>
      </c>
      <c r="BM27" s="387" t="s">
        <v>103</v>
      </c>
      <c r="BN27" s="388" t="s">
        <v>104</v>
      </c>
      <c r="BO27" s="388" t="s">
        <v>105</v>
      </c>
      <c r="BP27" s="382" t="s">
        <v>106</v>
      </c>
      <c r="BQ27" s="387" t="s">
        <v>108</v>
      </c>
      <c r="BR27" s="388" t="s">
        <v>109</v>
      </c>
      <c r="BS27" s="388" t="s">
        <v>110</v>
      </c>
      <c r="BT27" s="382" t="s">
        <v>111</v>
      </c>
      <c r="BU27" s="387" t="s">
        <v>126</v>
      </c>
      <c r="BV27" s="388" t="s">
        <v>127</v>
      </c>
      <c r="BW27" s="388" t="s">
        <v>128</v>
      </c>
      <c r="BX27" s="382" t="s">
        <v>129</v>
      </c>
      <c r="BY27" s="387" t="s">
        <v>136</v>
      </c>
      <c r="BZ27" s="388" t="s">
        <v>137</v>
      </c>
      <c r="CA27" s="388" t="s">
        <v>138</v>
      </c>
      <c r="CB27" s="382" t="s">
        <v>139</v>
      </c>
      <c r="CC27" s="387" t="s">
        <v>165</v>
      </c>
      <c r="CD27" s="388" t="s">
        <v>166</v>
      </c>
      <c r="CE27" s="388" t="s">
        <v>167</v>
      </c>
      <c r="CF27" s="382" t="s">
        <v>168</v>
      </c>
      <c r="CG27" s="387" t="s">
        <v>174</v>
      </c>
      <c r="CH27" s="388" t="s">
        <v>175</v>
      </c>
      <c r="CI27" s="388" t="s">
        <v>176</v>
      </c>
      <c r="CJ27" s="382" t="s">
        <v>177</v>
      </c>
      <c r="CK27" s="387" t="s">
        <v>228</v>
      </c>
      <c r="CL27" s="388" t="s">
        <v>229</v>
      </c>
      <c r="CM27" s="388" t="s">
        <v>230</v>
      </c>
      <c r="CN27" s="382" t="s">
        <v>231</v>
      </c>
      <c r="CO27" s="387" t="s">
        <v>238</v>
      </c>
      <c r="CP27" s="388" t="s">
        <v>239</v>
      </c>
      <c r="CQ27" s="388" t="s">
        <v>240</v>
      </c>
      <c r="CR27" s="382" t="s">
        <v>241</v>
      </c>
      <c r="CS27" s="387" t="s">
        <v>242</v>
      </c>
      <c r="CT27" s="388" t="s">
        <v>243</v>
      </c>
      <c r="CU27" s="388" t="s">
        <v>244</v>
      </c>
      <c r="CV27" s="382" t="s">
        <v>245</v>
      </c>
      <c r="CW27" s="387" t="s">
        <v>246</v>
      </c>
      <c r="CX27" s="388" t="s">
        <v>247</v>
      </c>
      <c r="CY27" s="388" t="s">
        <v>248</v>
      </c>
      <c r="CZ27" s="382" t="s">
        <v>249</v>
      </c>
      <c r="DA27" s="387" t="s">
        <v>262</v>
      </c>
      <c r="DB27" s="388" t="s">
        <v>263</v>
      </c>
      <c r="DC27" s="388" t="s">
        <v>264</v>
      </c>
      <c r="DD27" s="382" t="s">
        <v>265</v>
      </c>
      <c r="DE27" s="1030" t="s">
        <v>23</v>
      </c>
      <c r="DF27" s="1048" t="s">
        <v>22</v>
      </c>
      <c r="DG27" s="1049" t="s">
        <v>24</v>
      </c>
      <c r="DH27" s="1049" t="s">
        <v>25</v>
      </c>
      <c r="DI27" s="1049" t="s">
        <v>26</v>
      </c>
      <c r="DJ27" s="1049" t="s">
        <v>27</v>
      </c>
      <c r="DK27" s="1049" t="s">
        <v>28</v>
      </c>
      <c r="DL27" s="1049" t="s">
        <v>29</v>
      </c>
      <c r="DM27" s="1050" t="s">
        <v>30</v>
      </c>
      <c r="DN27" s="3"/>
      <c r="DQ27" s="230"/>
    </row>
    <row r="28" spans="1:133" ht="15.6" thickTop="1" thickBot="1">
      <c r="A28" s="380"/>
      <c r="B28" s="137"/>
      <c r="C28" s="384"/>
      <c r="D28" s="384"/>
      <c r="E28" s="384"/>
      <c r="F28" s="385"/>
      <c r="G28" s="385"/>
      <c r="H28" s="378"/>
      <c r="I28" s="379"/>
      <c r="J28" s="389"/>
      <c r="K28" s="389"/>
      <c r="L28" s="390"/>
      <c r="M28" s="379"/>
      <c r="N28" s="389"/>
      <c r="O28" s="389"/>
      <c r="P28" s="390"/>
      <c r="Q28" s="379"/>
      <c r="R28" s="389"/>
      <c r="S28" s="389"/>
      <c r="T28" s="390"/>
      <c r="U28" s="379"/>
      <c r="V28" s="389"/>
      <c r="W28" s="389"/>
      <c r="X28" s="390"/>
      <c r="Y28" s="379"/>
      <c r="Z28" s="389"/>
      <c r="AA28" s="389"/>
      <c r="AB28" s="390"/>
      <c r="AC28" s="379"/>
      <c r="AD28" s="389"/>
      <c r="AE28" s="389"/>
      <c r="AF28" s="390"/>
      <c r="AG28" s="379"/>
      <c r="AH28" s="389"/>
      <c r="AI28" s="389"/>
      <c r="AJ28" s="390"/>
      <c r="AK28" s="379"/>
      <c r="AL28" s="389"/>
      <c r="AM28" s="389"/>
      <c r="AN28" s="390"/>
      <c r="AO28" s="379"/>
      <c r="AP28" s="389"/>
      <c r="AQ28" s="389"/>
      <c r="AR28" s="390"/>
      <c r="AS28" s="379"/>
      <c r="AT28" s="389"/>
      <c r="AU28" s="389"/>
      <c r="AV28" s="390"/>
      <c r="AW28" s="379"/>
      <c r="AX28" s="389"/>
      <c r="AY28" s="389"/>
      <c r="AZ28" s="390"/>
      <c r="BA28" s="379"/>
      <c r="BB28" s="389"/>
      <c r="BC28" s="389"/>
      <c r="BD28" s="390"/>
      <c r="BE28" s="379"/>
      <c r="BF28" s="389"/>
      <c r="BG28" s="389"/>
      <c r="BH28" s="390"/>
      <c r="BI28" s="379"/>
      <c r="BJ28" s="389"/>
      <c r="BK28" s="389"/>
      <c r="BL28" s="390"/>
      <c r="BM28" s="379"/>
      <c r="BN28" s="389"/>
      <c r="BO28" s="389"/>
      <c r="BP28" s="390"/>
      <c r="BQ28" s="379"/>
      <c r="BR28" s="389"/>
      <c r="BS28" s="389"/>
      <c r="BT28" s="390"/>
      <c r="BU28" s="379"/>
      <c r="BV28" s="389"/>
      <c r="BW28" s="389"/>
      <c r="BX28" s="390"/>
      <c r="BY28" s="379"/>
      <c r="BZ28" s="389"/>
      <c r="CA28" s="389"/>
      <c r="CB28" s="390"/>
      <c r="CC28" s="379"/>
      <c r="CD28" s="389"/>
      <c r="CE28" s="389"/>
      <c r="CF28" s="390"/>
      <c r="CG28" s="379"/>
      <c r="CH28" s="389"/>
      <c r="CI28" s="389"/>
      <c r="CJ28" s="390"/>
      <c r="CK28" s="379"/>
      <c r="CL28" s="389"/>
      <c r="CM28" s="389"/>
      <c r="CN28" s="390"/>
      <c r="CO28" s="379"/>
      <c r="CP28" s="389"/>
      <c r="CQ28" s="389"/>
      <c r="CR28" s="39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160"/>
      <c r="DF28" s="378"/>
      <c r="DG28" s="520"/>
      <c r="DH28" s="520"/>
      <c r="DI28" s="520"/>
      <c r="DJ28" s="520"/>
      <c r="DK28" s="378"/>
      <c r="DL28" s="378"/>
      <c r="DM28" s="378"/>
      <c r="DN28" s="3"/>
      <c r="DQ28" s="230"/>
    </row>
    <row r="29" spans="1:133" ht="16.2" thickTop="1">
      <c r="A29" s="144" t="s">
        <v>12</v>
      </c>
      <c r="B29" s="41"/>
      <c r="C29" s="95"/>
      <c r="D29" s="96"/>
      <c r="E29" s="96"/>
      <c r="F29" s="97"/>
      <c r="G29" s="39" t="s">
        <v>31</v>
      </c>
      <c r="H29" s="98">
        <f>F6</f>
        <v>19993600</v>
      </c>
      <c r="I29" s="99"/>
      <c r="J29" s="100"/>
      <c r="K29" s="100"/>
      <c r="L29" s="101"/>
      <c r="M29" s="102"/>
      <c r="N29" s="103"/>
      <c r="O29" s="103"/>
      <c r="P29" s="104"/>
      <c r="Q29" s="105"/>
      <c r="R29" s="218"/>
      <c r="S29" s="106"/>
      <c r="T29" s="107"/>
      <c r="U29" s="108"/>
      <c r="V29" s="109"/>
      <c r="W29" s="109"/>
      <c r="X29" s="104"/>
      <c r="Y29" s="108"/>
      <c r="Z29" s="109"/>
      <c r="AA29" s="109"/>
      <c r="AB29" s="104"/>
      <c r="AC29" s="108"/>
      <c r="AD29" s="109"/>
      <c r="AE29" s="109"/>
      <c r="AF29" s="110"/>
      <c r="AG29" s="108"/>
      <c r="AH29" s="100"/>
      <c r="AI29" s="100"/>
      <c r="AJ29" s="110"/>
      <c r="AK29" s="102"/>
      <c r="AL29" s="103"/>
      <c r="AM29" s="103"/>
      <c r="AN29" s="111"/>
      <c r="AO29" s="108"/>
      <c r="AP29" s="100"/>
      <c r="AQ29" s="100"/>
      <c r="AR29" s="110"/>
      <c r="AS29" s="108"/>
      <c r="AT29" s="100"/>
      <c r="AU29" s="100"/>
      <c r="AV29" s="110"/>
      <c r="AW29" s="108"/>
      <c r="AX29" s="100"/>
      <c r="AY29" s="100"/>
      <c r="AZ29" s="110"/>
      <c r="BA29" s="108"/>
      <c r="BB29" s="100"/>
      <c r="BC29" s="100"/>
      <c r="BD29" s="110"/>
      <c r="BE29" s="108"/>
      <c r="BF29" s="100"/>
      <c r="BG29" s="100"/>
      <c r="BH29" s="110"/>
      <c r="BI29" s="108"/>
      <c r="BJ29" s="100"/>
      <c r="BK29" s="100"/>
      <c r="BL29" s="109"/>
      <c r="BM29" s="108"/>
      <c r="BN29" s="100"/>
      <c r="BO29" s="100"/>
      <c r="BP29" s="109"/>
      <c r="BQ29" s="108"/>
      <c r="BR29" s="100"/>
      <c r="BS29" s="100"/>
      <c r="BT29" s="110"/>
      <c r="BU29" s="40"/>
      <c r="BV29" s="109"/>
      <c r="BW29" s="109"/>
      <c r="BX29" s="109"/>
      <c r="BY29" s="108"/>
      <c r="BZ29" s="100"/>
      <c r="CA29" s="100"/>
      <c r="CB29" s="110"/>
      <c r="CC29" s="108"/>
      <c r="CD29" s="100"/>
      <c r="CE29" s="100"/>
      <c r="CF29" s="110"/>
      <c r="CG29" s="108"/>
      <c r="CH29" s="100"/>
      <c r="CI29" s="100"/>
      <c r="CJ29" s="110"/>
      <c r="CK29" s="108"/>
      <c r="CL29" s="100"/>
      <c r="CM29" s="100"/>
      <c r="CN29" s="110"/>
      <c r="CO29" s="110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63"/>
      <c r="DF29" s="112"/>
      <c r="DG29" s="151"/>
      <c r="DH29" s="151"/>
      <c r="DI29" s="395"/>
      <c r="DJ29" s="151"/>
      <c r="DK29" s="214"/>
      <c r="DL29" s="214"/>
      <c r="DM29" s="155"/>
      <c r="DN29" s="113" t="e">
        <f>SUMPRODUCT(COLUMN(I:DD)-COLUMN(i),2)</f>
        <v>#NAME?</v>
      </c>
      <c r="DQ29" s="230">
        <v>785604</v>
      </c>
      <c r="DS29" s="231">
        <f>DQ29-Detailed[[#This Row],[Column66]]</f>
        <v>785604</v>
      </c>
      <c r="DW29">
        <v>450</v>
      </c>
      <c r="DX29">
        <v>440</v>
      </c>
      <c r="DY29" s="230">
        <f>DX29*DW29</f>
        <v>198000</v>
      </c>
      <c r="EA29">
        <v>2907</v>
      </c>
      <c r="EC29">
        <f>EA29*DW29</f>
        <v>1308150</v>
      </c>
    </row>
    <row r="30" spans="1:133" ht="15.6">
      <c r="A30" s="143" t="s">
        <v>12</v>
      </c>
      <c r="B30" s="38">
        <v>1</v>
      </c>
      <c r="C30" s="84" t="s">
        <v>32</v>
      </c>
      <c r="D30" s="71"/>
      <c r="E30" s="71"/>
      <c r="F30" s="72"/>
      <c r="G30" s="73" t="s">
        <v>33</v>
      </c>
      <c r="H30" s="74">
        <v>877779</v>
      </c>
      <c r="I30" s="60">
        <v>45225</v>
      </c>
      <c r="J30" s="274">
        <v>416905</v>
      </c>
      <c r="K30" s="44">
        <f>J30*15%</f>
        <v>62535.75</v>
      </c>
      <c r="L30" s="45">
        <f>J30+K30</f>
        <v>479440.75</v>
      </c>
      <c r="M30" s="77"/>
      <c r="N30" s="78"/>
      <c r="O30" s="78"/>
      <c r="P30" s="62"/>
      <c r="Q30" s="60">
        <v>45398</v>
      </c>
      <c r="R30" s="695">
        <v>368699</v>
      </c>
      <c r="S30" s="44">
        <f>R30*15%</f>
        <v>55304.85</v>
      </c>
      <c r="T30" s="45">
        <f>R30+S30</f>
        <v>424003.85</v>
      </c>
      <c r="U30" s="81"/>
      <c r="V30" s="61"/>
      <c r="W30" s="61"/>
      <c r="X30" s="62"/>
      <c r="Y30" s="81"/>
      <c r="Z30" s="61"/>
      <c r="AA30" s="61"/>
      <c r="AB30" s="62"/>
      <c r="AC30" s="81"/>
      <c r="AD30" s="61"/>
      <c r="AE30" s="61"/>
      <c r="AF30" s="62"/>
      <c r="AG30" s="81"/>
      <c r="AH30" s="82"/>
      <c r="AI30" s="82"/>
      <c r="AJ30" s="62"/>
      <c r="AK30" s="77"/>
      <c r="AL30" s="78"/>
      <c r="AM30" s="78"/>
      <c r="AN30" s="83"/>
      <c r="AO30" s="54"/>
      <c r="AP30" s="55"/>
      <c r="AQ30" s="55"/>
      <c r="AR30" s="56"/>
      <c r="AS30" s="54"/>
      <c r="AT30" s="55"/>
      <c r="AU30" s="55"/>
      <c r="AV30" s="56"/>
      <c r="AW30" s="54"/>
      <c r="AX30" s="55"/>
      <c r="AY30" s="55"/>
      <c r="AZ30" s="56"/>
      <c r="BA30" s="54"/>
      <c r="BB30" s="55"/>
      <c r="BC30" s="55"/>
      <c r="BD30" s="56"/>
      <c r="BE30" s="54"/>
      <c r="BF30" s="55"/>
      <c r="BG30" s="55"/>
      <c r="BH30" s="56"/>
      <c r="BI30" s="54"/>
      <c r="BJ30" s="55"/>
      <c r="BK30" s="55"/>
      <c r="BL30" s="63"/>
      <c r="BM30" s="54"/>
      <c r="BN30" s="55"/>
      <c r="BO30" s="55"/>
      <c r="BP30" s="63"/>
      <c r="BQ30" s="54"/>
      <c r="BR30" s="55"/>
      <c r="BS30" s="55"/>
      <c r="BT30" s="56"/>
      <c r="BU30" s="202"/>
      <c r="BV30" s="48"/>
      <c r="BW30" s="48"/>
      <c r="BX30" s="48"/>
      <c r="BY30" s="54"/>
      <c r="BZ30" s="55"/>
      <c r="CA30" s="55"/>
      <c r="CB30" s="56"/>
      <c r="CC30" s="54"/>
      <c r="CD30" s="55"/>
      <c r="CE30" s="55"/>
      <c r="CF30" s="56"/>
      <c r="CG30" s="54"/>
      <c r="CH30" s="55"/>
      <c r="CI30" s="55"/>
      <c r="CJ30" s="56"/>
      <c r="CK30" s="54"/>
      <c r="CL30" s="55"/>
      <c r="CM30" s="55"/>
      <c r="CN30" s="56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162"/>
      <c r="DF30" s="696">
        <f t="shared" ref="DF30:DF40" si="1">H30</f>
        <v>877779</v>
      </c>
      <c r="DG30" s="128">
        <f t="shared" ref="DG30:DG40" si="2">DF30*15%</f>
        <v>131666.85</v>
      </c>
      <c r="DH30" s="128">
        <f t="shared" ref="DH30:DH40" si="3">DF30+DG30</f>
        <v>1009445.85</v>
      </c>
      <c r="DI30" s="391">
        <f t="shared" ref="DI30:DI61" si="4">SUM(J30,N30,R30,V30,Z30,AD30,AH30,AL30,AP30,AT30,AX30,BB30,BF30,BJ30,BN30,BR30,BV30,BZ30,CD30,CH30,CL30,CP30,CT30,CX30,DB30)</f>
        <v>785604</v>
      </c>
      <c r="DJ30" s="128">
        <f>L30+P30+T30+X30+AB30+AF30+AN30</f>
        <v>903444.6</v>
      </c>
      <c r="DK30" s="183">
        <v>1</v>
      </c>
      <c r="DL30" s="184">
        <f t="shared" ref="DL30:DL40" si="5">DK30*DF30</f>
        <v>877779</v>
      </c>
      <c r="DM30" s="156">
        <f t="shared" ref="DM30:DM40" si="6">DL30-DI30</f>
        <v>92175</v>
      </c>
      <c r="DN30" s="113" t="e">
        <f>SUMPRODUCT(COLUMN(I:DD)-COLUMN(i),2)</f>
        <v>#NAME?</v>
      </c>
      <c r="DQ30" s="230">
        <v>1403611</v>
      </c>
      <c r="DS30" s="231">
        <f>DQ30-Detailed[[#This Row],[Column66]]</f>
        <v>618007</v>
      </c>
      <c r="DW30">
        <v>333</v>
      </c>
      <c r="DX30">
        <v>1416</v>
      </c>
      <c r="DY30" s="230">
        <f t="shared" ref="DY30:DY32" si="7">DX30*DW30</f>
        <v>471528</v>
      </c>
      <c r="EA30">
        <v>4548</v>
      </c>
      <c r="EC30">
        <f t="shared" ref="EC30:EC32" si="8">EA30*DW30</f>
        <v>1514484</v>
      </c>
    </row>
    <row r="31" spans="1:133" ht="15.6">
      <c r="A31" s="143" t="s">
        <v>12</v>
      </c>
      <c r="B31" s="38">
        <v>2</v>
      </c>
      <c r="C31" s="84" t="s">
        <v>34</v>
      </c>
      <c r="D31" s="71"/>
      <c r="E31" s="71"/>
      <c r="F31" s="72"/>
      <c r="G31" s="73" t="s">
        <v>35</v>
      </c>
      <c r="H31" s="74">
        <v>1403611</v>
      </c>
      <c r="I31" s="60">
        <v>45225</v>
      </c>
      <c r="J31" s="275">
        <v>1403611</v>
      </c>
      <c r="K31" s="44">
        <f>J31*15%</f>
        <v>210541.65</v>
      </c>
      <c r="L31" s="45">
        <f>J31+K31</f>
        <v>1614152.65</v>
      </c>
      <c r="M31" s="77"/>
      <c r="N31" s="78"/>
      <c r="O31" s="78"/>
      <c r="P31" s="62"/>
      <c r="Q31" s="79"/>
      <c r="R31" s="219"/>
      <c r="S31" s="80"/>
      <c r="T31" s="61"/>
      <c r="U31" s="81"/>
      <c r="V31" s="61"/>
      <c r="W31" s="61"/>
      <c r="X31" s="62"/>
      <c r="Y31" s="81"/>
      <c r="Z31" s="61"/>
      <c r="AA31" s="61"/>
      <c r="AB31" s="62"/>
      <c r="AC31" s="81"/>
      <c r="AD31" s="61"/>
      <c r="AE31" s="61"/>
      <c r="AF31" s="62"/>
      <c r="AG31" s="81"/>
      <c r="AH31" s="82"/>
      <c r="AI31" s="82"/>
      <c r="AJ31" s="62"/>
      <c r="AK31" s="77"/>
      <c r="AL31" s="78"/>
      <c r="AM31" s="78"/>
      <c r="AN31" s="83"/>
      <c r="AO31" s="54"/>
      <c r="AP31" s="55"/>
      <c r="AQ31" s="55"/>
      <c r="AR31" s="56"/>
      <c r="AS31" s="54"/>
      <c r="AT31" s="55"/>
      <c r="AU31" s="55"/>
      <c r="AV31" s="56"/>
      <c r="AW31" s="54"/>
      <c r="AX31" s="55"/>
      <c r="AY31" s="55"/>
      <c r="AZ31" s="56"/>
      <c r="BA31" s="54"/>
      <c r="BB31" s="55"/>
      <c r="BC31" s="55"/>
      <c r="BD31" s="56"/>
      <c r="BE31" s="54"/>
      <c r="BF31" s="55"/>
      <c r="BG31" s="55"/>
      <c r="BH31" s="56"/>
      <c r="BI31" s="54"/>
      <c r="BJ31" s="55"/>
      <c r="BK31" s="55"/>
      <c r="BL31" s="63"/>
      <c r="BM31" s="54"/>
      <c r="BN31" s="55"/>
      <c r="BO31" s="55"/>
      <c r="BP31" s="63"/>
      <c r="BQ31" s="54"/>
      <c r="BR31" s="55"/>
      <c r="BS31" s="55"/>
      <c r="BT31" s="56"/>
      <c r="BU31" s="202"/>
      <c r="BV31" s="48"/>
      <c r="BW31" s="48"/>
      <c r="BX31" s="48"/>
      <c r="BY31" s="54"/>
      <c r="BZ31" s="55"/>
      <c r="CA31" s="55"/>
      <c r="CB31" s="56"/>
      <c r="CC31" s="54"/>
      <c r="CD31" s="55"/>
      <c r="CE31" s="55"/>
      <c r="CF31" s="56"/>
      <c r="CG31" s="54"/>
      <c r="CH31" s="55"/>
      <c r="CI31" s="55"/>
      <c r="CJ31" s="56"/>
      <c r="CK31" s="54"/>
      <c r="CL31" s="55"/>
      <c r="CM31" s="55"/>
      <c r="CN31" s="56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49"/>
      <c r="DE31" s="162"/>
      <c r="DF31" s="696">
        <f t="shared" si="1"/>
        <v>1403611</v>
      </c>
      <c r="DG31" s="128">
        <f t="shared" si="2"/>
        <v>210541.65</v>
      </c>
      <c r="DH31" s="128">
        <f t="shared" si="3"/>
        <v>1614152.65</v>
      </c>
      <c r="DI31" s="391">
        <f t="shared" si="4"/>
        <v>1403611</v>
      </c>
      <c r="DJ31" s="128">
        <f>L31+P31+T31+X31+AB31+AF31+AN31</f>
        <v>1614152.65</v>
      </c>
      <c r="DK31" s="153">
        <v>1</v>
      </c>
      <c r="DL31" s="154">
        <f t="shared" si="5"/>
        <v>1403611</v>
      </c>
      <c r="DM31" s="116">
        <f t="shared" si="6"/>
        <v>0</v>
      </c>
      <c r="DN31" s="113" t="e">
        <f>SUMPRODUCT(COLUMN(I:DD)-COLUMN(i),2)</f>
        <v>#NAME?</v>
      </c>
      <c r="DQ31" s="230">
        <v>2675323</v>
      </c>
      <c r="DS31" s="231">
        <f>DQ31-Detailed[[#This Row],[Column66]]</f>
        <v>1271712</v>
      </c>
      <c r="DW31">
        <v>266</v>
      </c>
      <c r="DX31">
        <v>2024</v>
      </c>
      <c r="DY31" s="230">
        <f t="shared" si="7"/>
        <v>538384</v>
      </c>
      <c r="EA31">
        <v>6170</v>
      </c>
      <c r="EC31">
        <f t="shared" si="8"/>
        <v>1641220</v>
      </c>
    </row>
    <row r="32" spans="1:133" ht="15.6">
      <c r="A32" s="143" t="s">
        <v>12</v>
      </c>
      <c r="B32" s="38">
        <v>3</v>
      </c>
      <c r="C32" s="84" t="s">
        <v>36</v>
      </c>
      <c r="D32" s="71"/>
      <c r="E32" s="71"/>
      <c r="F32" s="72"/>
      <c r="G32" s="73" t="s">
        <v>37</v>
      </c>
      <c r="H32" s="74">
        <v>2999654</v>
      </c>
      <c r="I32" s="60">
        <v>45225</v>
      </c>
      <c r="J32" s="274">
        <v>1377997</v>
      </c>
      <c r="K32" s="44">
        <f>J32*15%</f>
        <v>206699.55</v>
      </c>
      <c r="L32" s="45">
        <f>J32+K32</f>
        <v>1584696.55</v>
      </c>
      <c r="M32" s="77"/>
      <c r="N32" s="78"/>
      <c r="O32" s="78"/>
      <c r="P32" s="62"/>
      <c r="Q32" s="60">
        <v>45398</v>
      </c>
      <c r="R32" s="695">
        <v>1297326</v>
      </c>
      <c r="S32" s="44">
        <f>R32*15%</f>
        <v>194598.9</v>
      </c>
      <c r="T32" s="45">
        <f>R32+S32</f>
        <v>1491924.9</v>
      </c>
      <c r="U32" s="81"/>
      <c r="V32" s="61"/>
      <c r="W32" s="61"/>
      <c r="X32" s="62"/>
      <c r="Y32" s="81"/>
      <c r="Z32" s="61"/>
      <c r="AA32" s="61"/>
      <c r="AB32" s="62"/>
      <c r="AC32" s="81"/>
      <c r="AD32" s="61"/>
      <c r="AE32" s="61"/>
      <c r="AF32" s="62"/>
      <c r="AG32" s="81"/>
      <c r="AH32" s="82"/>
      <c r="AI32" s="82"/>
      <c r="AJ32" s="62"/>
      <c r="AK32" s="77"/>
      <c r="AL32" s="78"/>
      <c r="AM32" s="78"/>
      <c r="AN32" s="83"/>
      <c r="AO32" s="54"/>
      <c r="AP32" s="55"/>
      <c r="AQ32" s="55"/>
      <c r="AR32" s="56"/>
      <c r="AS32" s="54"/>
      <c r="AT32" s="55"/>
      <c r="AU32" s="55"/>
      <c r="AV32" s="56"/>
      <c r="AW32" s="54"/>
      <c r="AX32" s="55"/>
      <c r="AY32" s="55"/>
      <c r="AZ32" s="56"/>
      <c r="BA32" s="54"/>
      <c r="BB32" s="55"/>
      <c r="BC32" s="55"/>
      <c r="BD32" s="56"/>
      <c r="BE32" s="54"/>
      <c r="BF32" s="55"/>
      <c r="BG32" s="55"/>
      <c r="BH32" s="56"/>
      <c r="BI32" s="54"/>
      <c r="BJ32" s="55"/>
      <c r="BK32" s="55"/>
      <c r="BL32" s="63"/>
      <c r="BM32" s="54"/>
      <c r="BN32" s="55"/>
      <c r="BO32" s="55"/>
      <c r="BP32" s="63"/>
      <c r="BQ32" s="54"/>
      <c r="BR32" s="55"/>
      <c r="BS32" s="55"/>
      <c r="BT32" s="56"/>
      <c r="BU32" s="202"/>
      <c r="BV32" s="48"/>
      <c r="BW32" s="48"/>
      <c r="BX32" s="48"/>
      <c r="BY32" s="54"/>
      <c r="BZ32" s="55"/>
      <c r="CA32" s="55"/>
      <c r="CB32" s="56"/>
      <c r="CC32" s="54"/>
      <c r="CD32" s="55"/>
      <c r="CE32" s="55"/>
      <c r="CF32" s="56"/>
      <c r="CG32" s="54"/>
      <c r="CH32" s="55"/>
      <c r="CI32" s="55"/>
      <c r="CJ32" s="56"/>
      <c r="CK32" s="54"/>
      <c r="CL32" s="55"/>
      <c r="CM32" s="55"/>
      <c r="CN32" s="56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162"/>
      <c r="DF32" s="696">
        <f t="shared" si="1"/>
        <v>2999654</v>
      </c>
      <c r="DG32" s="128">
        <f t="shared" si="2"/>
        <v>449948.1</v>
      </c>
      <c r="DH32" s="128">
        <f t="shared" si="3"/>
        <v>3449602.1</v>
      </c>
      <c r="DI32" s="391">
        <f t="shared" si="4"/>
        <v>2675323</v>
      </c>
      <c r="DJ32" s="128">
        <f>L32+P32+T32+X32+AB32+AF32+AN32</f>
        <v>3076621.45</v>
      </c>
      <c r="DK32" s="153">
        <v>1</v>
      </c>
      <c r="DL32" s="154">
        <f t="shared" si="5"/>
        <v>2999654</v>
      </c>
      <c r="DM32" s="116">
        <f t="shared" si="6"/>
        <v>324331</v>
      </c>
      <c r="DN32" s="113" t="e">
        <f>SUMPRODUCT(COLUMN(I:DD)-COLUMN(i),2)</f>
        <v>#NAME?</v>
      </c>
      <c r="DQ32" s="230">
        <v>4125000</v>
      </c>
      <c r="DS32" s="231">
        <f>DQ32-Detailed[[#This Row],[Column66]]</f>
        <v>1449677</v>
      </c>
      <c r="DW32">
        <v>135</v>
      </c>
      <c r="DX32">
        <v>2060</v>
      </c>
      <c r="DY32" s="230">
        <f t="shared" si="7"/>
        <v>278100</v>
      </c>
      <c r="EA32">
        <v>7544</v>
      </c>
      <c r="EC32">
        <f t="shared" si="8"/>
        <v>1018440</v>
      </c>
    </row>
    <row r="33" spans="1:269" ht="15.6">
      <c r="A33" s="143" t="s">
        <v>12</v>
      </c>
      <c r="B33" s="38">
        <v>4</v>
      </c>
      <c r="C33" s="251" t="s">
        <v>38</v>
      </c>
      <c r="D33" s="71"/>
      <c r="E33" s="71"/>
      <c r="F33" s="72"/>
      <c r="G33" s="73" t="s">
        <v>39</v>
      </c>
      <c r="H33" s="74">
        <v>4125000</v>
      </c>
      <c r="I33" s="75"/>
      <c r="J33" s="114"/>
      <c r="K33" s="114"/>
      <c r="L33" s="76"/>
      <c r="M33" s="60">
        <v>45370</v>
      </c>
      <c r="N33" s="229">
        <v>682683</v>
      </c>
      <c r="O33" s="44">
        <f>N33*15%</f>
        <v>102402.45</v>
      </c>
      <c r="P33" s="62">
        <f>N33+O33</f>
        <v>785085.45</v>
      </c>
      <c r="Q33" s="79"/>
      <c r="R33" s="80"/>
      <c r="S33" s="80"/>
      <c r="T33" s="61"/>
      <c r="U33" s="60">
        <v>45435</v>
      </c>
      <c r="V33" s="229">
        <v>1379810.1</v>
      </c>
      <c r="W33" s="44">
        <f>V33*15%</f>
        <v>206971.51500000001</v>
      </c>
      <c r="X33" s="45">
        <f>V33+W33</f>
        <v>1586781.6150000002</v>
      </c>
      <c r="Y33" s="81"/>
      <c r="Z33" s="61"/>
      <c r="AA33" s="61"/>
      <c r="AB33" s="62"/>
      <c r="AC33" s="60">
        <v>45471</v>
      </c>
      <c r="AD33" s="44">
        <v>2062506.53</v>
      </c>
      <c r="AE33" s="44">
        <f>AD33*15%</f>
        <v>309375.97950000002</v>
      </c>
      <c r="AF33" s="45">
        <f>AD33+AE33</f>
        <v>2371882.5095000002</v>
      </c>
      <c r="AG33" s="81"/>
      <c r="AH33" s="82"/>
      <c r="AI33" s="82"/>
      <c r="AJ33" s="62"/>
      <c r="AK33" s="77"/>
      <c r="AL33" s="78"/>
      <c r="AM33" s="78"/>
      <c r="AN33" s="83"/>
      <c r="AO33" s="54"/>
      <c r="AP33" s="55"/>
      <c r="AQ33" s="55"/>
      <c r="AR33" s="56"/>
      <c r="AS33" s="54"/>
      <c r="AT33" s="55"/>
      <c r="AU33" s="55"/>
      <c r="AV33" s="56"/>
      <c r="AW33" s="54"/>
      <c r="AX33" s="55"/>
      <c r="AY33" s="55"/>
      <c r="AZ33" s="56"/>
      <c r="BA33" s="54"/>
      <c r="BB33" s="55"/>
      <c r="BC33" s="55"/>
      <c r="BD33" s="56"/>
      <c r="BE33" s="54"/>
      <c r="BF33" s="55"/>
      <c r="BG33" s="55"/>
      <c r="BH33" s="56"/>
      <c r="BI33" s="54"/>
      <c r="BJ33" s="55"/>
      <c r="BK33" s="55"/>
      <c r="BL33" s="63"/>
      <c r="BM33" s="54"/>
      <c r="BN33" s="55"/>
      <c r="BO33" s="55"/>
      <c r="BP33" s="63"/>
      <c r="BQ33" s="54"/>
      <c r="BR33" s="55"/>
      <c r="BS33" s="55"/>
      <c r="BT33" s="56"/>
      <c r="BU33" s="202"/>
      <c r="BV33" s="48"/>
      <c r="BW33" s="48"/>
      <c r="BX33" s="48"/>
      <c r="BY33" s="54"/>
      <c r="BZ33" s="55"/>
      <c r="CA33" s="55"/>
      <c r="CB33" s="56"/>
      <c r="CC33" s="54"/>
      <c r="CD33" s="55"/>
      <c r="CE33" s="55"/>
      <c r="CF33" s="56"/>
      <c r="CG33" s="54"/>
      <c r="CH33" s="55"/>
      <c r="CI33" s="55"/>
      <c r="CJ33" s="56"/>
      <c r="CK33" s="54"/>
      <c r="CL33" s="55"/>
      <c r="CM33" s="55"/>
      <c r="CN33" s="56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162"/>
      <c r="DF33" s="696">
        <f t="shared" si="1"/>
        <v>4125000</v>
      </c>
      <c r="DG33" s="128">
        <f t="shared" si="2"/>
        <v>618750</v>
      </c>
      <c r="DH33" s="128">
        <f t="shared" si="3"/>
        <v>4743750</v>
      </c>
      <c r="DI33" s="391">
        <f t="shared" si="4"/>
        <v>4124999.63</v>
      </c>
      <c r="DJ33" s="128">
        <f>L33+P33+T33+X33+AB33+AF33+AN33</f>
        <v>4743749.5745000001</v>
      </c>
      <c r="DK33" s="153">
        <v>1</v>
      </c>
      <c r="DL33" s="154">
        <f t="shared" si="5"/>
        <v>4125000</v>
      </c>
      <c r="DM33" s="116">
        <f t="shared" si="6"/>
        <v>0.37000000011175871</v>
      </c>
      <c r="DN33" s="113" t="e">
        <f>SUMPRODUCT(COLUMN(I:DD)-COLUMN(i),2)</f>
        <v>#NAME?</v>
      </c>
      <c r="DQ33" s="230">
        <v>404258</v>
      </c>
      <c r="DS33" s="231">
        <f>DQ33-Detailed[[#This Row],[Column66]]</f>
        <v>-3720741.63</v>
      </c>
      <c r="DY33" s="231">
        <f>SUM(DY29:DY32)</f>
        <v>1486012</v>
      </c>
      <c r="EC33">
        <f>SUM(EC29:EC32)</f>
        <v>5482294</v>
      </c>
    </row>
    <row r="34" spans="1:269" ht="15.6">
      <c r="A34" s="143" t="s">
        <v>12</v>
      </c>
      <c r="B34" s="38">
        <v>5</v>
      </c>
      <c r="C34" s="84" t="s">
        <v>40</v>
      </c>
      <c r="D34" s="71"/>
      <c r="E34" s="71"/>
      <c r="F34" s="72"/>
      <c r="G34" s="73" t="s">
        <v>41</v>
      </c>
      <c r="H34" s="74">
        <v>404258</v>
      </c>
      <c r="I34" s="272"/>
      <c r="J34" s="44"/>
      <c r="K34" s="273"/>
      <c r="L34" s="76"/>
      <c r="M34" s="77"/>
      <c r="N34" s="78"/>
      <c r="O34" s="78"/>
      <c r="P34" s="62"/>
      <c r="Q34" s="79"/>
      <c r="R34" s="80"/>
      <c r="S34" s="80"/>
      <c r="T34" s="61"/>
      <c r="U34" s="60">
        <v>45435</v>
      </c>
      <c r="V34" s="298">
        <v>125226</v>
      </c>
      <c r="W34" s="44">
        <f>V34*15%</f>
        <v>18783.899999999998</v>
      </c>
      <c r="X34" s="45">
        <f>V34+W34</f>
        <v>144009.9</v>
      </c>
      <c r="Y34" s="81"/>
      <c r="Z34" s="61"/>
      <c r="AA34" s="61"/>
      <c r="AB34" s="62"/>
      <c r="AC34" s="81"/>
      <c r="AD34" s="61"/>
      <c r="AE34" s="61"/>
      <c r="AF34" s="62"/>
      <c r="AG34" s="60">
        <v>45537</v>
      </c>
      <c r="AH34" s="44">
        <v>279032</v>
      </c>
      <c r="AI34" s="44">
        <f>AH34*15%</f>
        <v>41854.799999999996</v>
      </c>
      <c r="AJ34" s="45">
        <f>AH34+AI34</f>
        <v>320886.8</v>
      </c>
      <c r="AK34" s="77"/>
      <c r="AL34" s="78"/>
      <c r="AM34" s="78"/>
      <c r="AN34" s="83"/>
      <c r="AO34" s="54"/>
      <c r="AP34" s="55"/>
      <c r="AQ34" s="55"/>
      <c r="AR34" s="56"/>
      <c r="AS34" s="54"/>
      <c r="AT34" s="55"/>
      <c r="AU34" s="55"/>
      <c r="AV34" s="56"/>
      <c r="AW34" s="54"/>
      <c r="AX34" s="55"/>
      <c r="AY34" s="55"/>
      <c r="AZ34" s="56"/>
      <c r="BA34" s="54"/>
      <c r="BB34" s="55"/>
      <c r="BC34" s="55"/>
      <c r="BD34" s="56"/>
      <c r="BE34" s="54"/>
      <c r="BF34" s="55"/>
      <c r="BG34" s="55"/>
      <c r="BH34" s="56"/>
      <c r="BI34" s="54"/>
      <c r="BJ34" s="55"/>
      <c r="BK34" s="55"/>
      <c r="BL34" s="63"/>
      <c r="BM34" s="54"/>
      <c r="BN34" s="55"/>
      <c r="BO34" s="55"/>
      <c r="BP34" s="63"/>
      <c r="BQ34" s="54"/>
      <c r="BR34" s="55"/>
      <c r="BS34" s="55"/>
      <c r="BT34" s="56"/>
      <c r="BU34" s="202"/>
      <c r="BV34" s="48"/>
      <c r="BW34" s="48"/>
      <c r="BX34" s="48"/>
      <c r="BY34" s="54"/>
      <c r="BZ34" s="55"/>
      <c r="CA34" s="55"/>
      <c r="CB34" s="56"/>
      <c r="CC34" s="54"/>
      <c r="CD34" s="55"/>
      <c r="CE34" s="55"/>
      <c r="CF34" s="56"/>
      <c r="CG34" s="54"/>
      <c r="CH34" s="55"/>
      <c r="CI34" s="55"/>
      <c r="CJ34" s="56"/>
      <c r="CK34" s="54"/>
      <c r="CL34" s="55"/>
      <c r="CM34" s="55"/>
      <c r="CN34" s="56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162"/>
      <c r="DF34" s="696">
        <f t="shared" si="1"/>
        <v>404258</v>
      </c>
      <c r="DG34" s="128">
        <f t="shared" si="2"/>
        <v>60638.7</v>
      </c>
      <c r="DH34" s="128">
        <f t="shared" si="3"/>
        <v>464896.7</v>
      </c>
      <c r="DI34" s="391">
        <f t="shared" si="4"/>
        <v>404258</v>
      </c>
      <c r="DJ34" s="128">
        <f>L34+P34+T34+X34+AB34+AF34+AN34</f>
        <v>144009.9</v>
      </c>
      <c r="DK34" s="153">
        <v>1</v>
      </c>
      <c r="DL34" s="154">
        <f t="shared" si="5"/>
        <v>404258</v>
      </c>
      <c r="DM34" s="116">
        <f t="shared" si="6"/>
        <v>0</v>
      </c>
      <c r="DN34" s="3" t="s">
        <v>261</v>
      </c>
      <c r="DQ34" s="230">
        <v>6968307</v>
      </c>
      <c r="DS34" s="231">
        <f>DQ34-Detailed[[#This Row],[Column66]]</f>
        <v>6564049</v>
      </c>
      <c r="DY34" s="230">
        <v>5478244</v>
      </c>
    </row>
    <row r="35" spans="1:269" ht="15.6">
      <c r="A35" s="143" t="s">
        <v>12</v>
      </c>
      <c r="B35" s="38">
        <v>6</v>
      </c>
      <c r="C35" s="148" t="s">
        <v>215</v>
      </c>
      <c r="D35" s="71"/>
      <c r="E35" s="71"/>
      <c r="F35" s="693"/>
      <c r="G35" s="73" t="s">
        <v>107</v>
      </c>
      <c r="H35" s="74">
        <v>6968306</v>
      </c>
      <c r="I35" s="75"/>
      <c r="J35" s="114"/>
      <c r="K35" s="114"/>
      <c r="L35" s="76"/>
      <c r="M35" s="77"/>
      <c r="N35" s="78"/>
      <c r="O35" s="78"/>
      <c r="P35" s="62"/>
      <c r="Q35" s="79"/>
      <c r="R35" s="80"/>
      <c r="S35" s="80"/>
      <c r="T35" s="61"/>
      <c r="U35" s="81"/>
      <c r="V35" s="61"/>
      <c r="W35" s="61"/>
      <c r="X35" s="62"/>
      <c r="Y35" s="60">
        <v>45451</v>
      </c>
      <c r="Z35" s="44">
        <v>2539503</v>
      </c>
      <c r="AA35" s="44">
        <f>Z35*15%</f>
        <v>380925.45</v>
      </c>
      <c r="AB35" s="45">
        <f>Z35+AA35</f>
        <v>2920428.45</v>
      </c>
      <c r="AC35" s="81"/>
      <c r="AD35" s="61"/>
      <c r="AE35" s="61"/>
      <c r="AF35" s="62"/>
      <c r="AG35" s="60"/>
      <c r="AH35" s="44"/>
      <c r="AI35" s="44"/>
      <c r="AJ35" s="45"/>
      <c r="AK35" s="60">
        <v>45540</v>
      </c>
      <c r="AL35" s="44">
        <v>1602086</v>
      </c>
      <c r="AM35" s="44">
        <f>AL35*15%</f>
        <v>240312.9</v>
      </c>
      <c r="AN35" s="45">
        <f>AL35+AM35</f>
        <v>1842398.9</v>
      </c>
      <c r="AO35" s="54"/>
      <c r="AP35" s="55"/>
      <c r="AQ35" s="55"/>
      <c r="AR35" s="56"/>
      <c r="AS35" s="54"/>
      <c r="AT35" s="55"/>
      <c r="AU35" s="55"/>
      <c r="AV35" s="56"/>
      <c r="AW35" s="54"/>
      <c r="AX35" s="55"/>
      <c r="AY35" s="55"/>
      <c r="AZ35" s="56"/>
      <c r="BA35" s="54"/>
      <c r="BB35" s="55"/>
      <c r="BC35" s="55"/>
      <c r="BD35" s="56"/>
      <c r="BE35" s="302">
        <v>45728</v>
      </c>
      <c r="BF35" s="280">
        <v>2826717.95</v>
      </c>
      <c r="BG35" s="44">
        <f>BF35*15%</f>
        <v>424007.6925</v>
      </c>
      <c r="BH35" s="45">
        <f>BF35+BG35</f>
        <v>3250725.6425000001</v>
      </c>
      <c r="BI35" s="54"/>
      <c r="BJ35" s="55"/>
      <c r="BK35" s="55"/>
      <c r="BL35" s="63"/>
      <c r="BM35" s="54"/>
      <c r="BN35" s="55"/>
      <c r="BO35" s="55"/>
      <c r="BP35" s="63"/>
      <c r="BQ35" s="54"/>
      <c r="BR35" s="55"/>
      <c r="BS35" s="55"/>
      <c r="BT35" s="56"/>
      <c r="BU35" s="202"/>
      <c r="BV35" s="48"/>
      <c r="BW35" s="48"/>
      <c r="BX35" s="48"/>
      <c r="BY35" s="54"/>
      <c r="BZ35" s="55"/>
      <c r="CA35" s="55"/>
      <c r="CB35" s="56"/>
      <c r="CC35" s="54"/>
      <c r="CD35" s="55"/>
      <c r="CE35" s="55"/>
      <c r="CF35" s="56"/>
      <c r="CG35" s="54"/>
      <c r="CH35" s="55"/>
      <c r="CI35" s="55"/>
      <c r="CJ35" s="56"/>
      <c r="CK35" s="54"/>
      <c r="CL35" s="55"/>
      <c r="CM35" s="55"/>
      <c r="CN35" s="56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162"/>
      <c r="DF35" s="696">
        <f t="shared" si="1"/>
        <v>6968306</v>
      </c>
      <c r="DG35" s="115">
        <f t="shared" si="2"/>
        <v>1045245.8999999999</v>
      </c>
      <c r="DH35" s="115">
        <f t="shared" si="3"/>
        <v>8013551.9000000004</v>
      </c>
      <c r="DI35" s="391">
        <f t="shared" si="4"/>
        <v>6968306.9500000002</v>
      </c>
      <c r="DJ35" s="126">
        <f>Detailed[[#This Row],[Column28]]+Detailed[[#This Row],[Column40]]+Detailed[[#This Row],[Column60]]</f>
        <v>8013552.9924999997</v>
      </c>
      <c r="DK35" s="153">
        <v>1</v>
      </c>
      <c r="DL35" s="154">
        <f t="shared" si="5"/>
        <v>6968306</v>
      </c>
      <c r="DM35" s="116">
        <f t="shared" si="6"/>
        <v>-0.95000000018626451</v>
      </c>
      <c r="DN35" s="3"/>
      <c r="DQ35" s="230">
        <v>174000</v>
      </c>
      <c r="DS35" s="231">
        <f>DQ35-Detailed[[#This Row],[Column66]]</f>
        <v>-6794306.9500000002</v>
      </c>
    </row>
    <row r="36" spans="1:269" ht="15.6">
      <c r="A36" s="143" t="s">
        <v>12</v>
      </c>
      <c r="B36" s="38">
        <v>7</v>
      </c>
      <c r="C36" s="84" t="s">
        <v>112</v>
      </c>
      <c r="D36" s="141"/>
      <c r="E36" s="141"/>
      <c r="F36" s="142"/>
      <c r="G36" s="58"/>
      <c r="H36" s="59">
        <v>174000</v>
      </c>
      <c r="I36" s="268"/>
      <c r="J36" s="55"/>
      <c r="K36" s="55"/>
      <c r="L36" s="67"/>
      <c r="M36" s="64"/>
      <c r="N36" s="65"/>
      <c r="O36" s="65"/>
      <c r="P36" s="56"/>
      <c r="Q36" s="290"/>
      <c r="R36" s="291"/>
      <c r="S36" s="291"/>
      <c r="T36" s="292"/>
      <c r="U36" s="277"/>
      <c r="V36" s="292"/>
      <c r="W36" s="292"/>
      <c r="X36" s="289"/>
      <c r="Y36" s="297">
        <v>45451</v>
      </c>
      <c r="Z36" s="298">
        <v>58000.11</v>
      </c>
      <c r="AA36" s="299">
        <f>Z36*15%</f>
        <v>8700.0164999999997</v>
      </c>
      <c r="AB36" s="300">
        <f>Z36+AA36</f>
        <v>66700.126499999998</v>
      </c>
      <c r="AC36" s="297">
        <v>45471</v>
      </c>
      <c r="AD36" s="299">
        <v>115999.89</v>
      </c>
      <c r="AE36" s="299">
        <f>AD36*15%</f>
        <v>17399.983499999998</v>
      </c>
      <c r="AF36" s="300">
        <f>AD36+AE36</f>
        <v>133399.87349999999</v>
      </c>
      <c r="AG36" s="277"/>
      <c r="AH36" s="286"/>
      <c r="AI36" s="286"/>
      <c r="AJ36" s="289"/>
      <c r="AK36" s="277"/>
      <c r="AL36" s="286"/>
      <c r="AM36" s="286"/>
      <c r="AN36" s="289"/>
      <c r="AO36" s="279"/>
      <c r="AP36" s="280"/>
      <c r="AQ36" s="280"/>
      <c r="AR36" s="281"/>
      <c r="AS36" s="279"/>
      <c r="AT36" s="280"/>
      <c r="AU36" s="280"/>
      <c r="AV36" s="281"/>
      <c r="AW36" s="279"/>
      <c r="AX36" s="280"/>
      <c r="AY36" s="280"/>
      <c r="AZ36" s="281"/>
      <c r="BA36" s="279"/>
      <c r="BB36" s="280"/>
      <c r="BC36" s="280"/>
      <c r="BD36" s="281"/>
      <c r="BE36" s="279"/>
      <c r="BF36" s="280"/>
      <c r="BG36" s="280"/>
      <c r="BH36" s="281"/>
      <c r="BI36" s="279"/>
      <c r="BJ36" s="280"/>
      <c r="BK36" s="280"/>
      <c r="BL36" s="282"/>
      <c r="BM36" s="279"/>
      <c r="BN36" s="280"/>
      <c r="BO36" s="280"/>
      <c r="BP36" s="282"/>
      <c r="BQ36" s="293"/>
      <c r="BR36" s="294"/>
      <c r="BS36" s="294"/>
      <c r="BT36" s="295"/>
      <c r="BU36" s="301"/>
      <c r="BV36" s="284"/>
      <c r="BW36" s="284"/>
      <c r="BX36" s="284"/>
      <c r="BY36" s="293"/>
      <c r="BZ36" s="294"/>
      <c r="CA36" s="294"/>
      <c r="CB36" s="295"/>
      <c r="CC36" s="293"/>
      <c r="CD36" s="294"/>
      <c r="CE36" s="294"/>
      <c r="CF36" s="295"/>
      <c r="CG36" s="293"/>
      <c r="CH36" s="294"/>
      <c r="CI36" s="294"/>
      <c r="CJ36" s="295"/>
      <c r="CK36" s="293"/>
      <c r="CL36" s="294"/>
      <c r="CM36" s="294"/>
      <c r="CN36" s="295"/>
      <c r="CO36" s="285"/>
      <c r="CP36" s="285"/>
      <c r="CQ36" s="285"/>
      <c r="CR36" s="285"/>
      <c r="CS36" s="285"/>
      <c r="CT36" s="285"/>
      <c r="CU36" s="285"/>
      <c r="CV36" s="285"/>
      <c r="CW36" s="285"/>
      <c r="CX36" s="285"/>
      <c r="CY36" s="285"/>
      <c r="CZ36" s="285"/>
      <c r="DA36" s="285"/>
      <c r="DB36" s="285"/>
      <c r="DC36" s="285"/>
      <c r="DD36" s="285"/>
      <c r="DE36" s="162"/>
      <c r="DF36" s="696">
        <f t="shared" si="1"/>
        <v>174000</v>
      </c>
      <c r="DG36" s="126">
        <f t="shared" si="2"/>
        <v>26100</v>
      </c>
      <c r="DH36" s="126">
        <f t="shared" si="3"/>
        <v>200100</v>
      </c>
      <c r="DI36" s="391">
        <f t="shared" si="4"/>
        <v>174000</v>
      </c>
      <c r="DJ36" s="128">
        <f>Detailed[[#This Row],[Column28]]+Detailed[[#This Row],[Column32]]</f>
        <v>200100</v>
      </c>
      <c r="DK36" s="183">
        <v>1</v>
      </c>
      <c r="DL36" s="154">
        <f t="shared" si="5"/>
        <v>174000</v>
      </c>
      <c r="DM36" s="116">
        <f t="shared" si="6"/>
        <v>0</v>
      </c>
      <c r="DN36" s="3"/>
      <c r="DO36" s="217"/>
      <c r="DP36" s="217"/>
      <c r="DQ36" s="230">
        <v>836000</v>
      </c>
      <c r="DS36" s="231">
        <f>DQ36-Detailed[[#This Row],[Column66]]</f>
        <v>662000</v>
      </c>
      <c r="EA36" s="231">
        <f>EC33-DY34</f>
        <v>4050</v>
      </c>
    </row>
    <row r="37" spans="1:269" ht="15.6">
      <c r="A37" s="143" t="s">
        <v>12</v>
      </c>
      <c r="B37" s="38">
        <v>8</v>
      </c>
      <c r="C37" s="84" t="s">
        <v>131</v>
      </c>
      <c r="D37" s="141"/>
      <c r="E37" s="141"/>
      <c r="F37" s="142"/>
      <c r="G37" s="58" t="s">
        <v>132</v>
      </c>
      <c r="H37" s="59">
        <v>836000</v>
      </c>
      <c r="I37" s="66"/>
      <c r="J37" s="55"/>
      <c r="K37" s="55"/>
      <c r="L37" s="67"/>
      <c r="M37" s="64"/>
      <c r="N37" s="65"/>
      <c r="O37" s="65"/>
      <c r="P37" s="56"/>
      <c r="Q37" s="68"/>
      <c r="R37" s="69"/>
      <c r="S37" s="69"/>
      <c r="T37" s="63"/>
      <c r="U37" s="54"/>
      <c r="V37" s="63"/>
      <c r="W37" s="63"/>
      <c r="X37" s="56"/>
      <c r="Y37" s="54"/>
      <c r="Z37" s="63"/>
      <c r="AA37" s="63"/>
      <c r="AB37" s="56"/>
      <c r="AC37" s="54"/>
      <c r="AD37" s="63"/>
      <c r="AE37" s="63"/>
      <c r="AF37" s="56"/>
      <c r="AG37" s="54"/>
      <c r="AH37" s="55"/>
      <c r="AI37" s="55"/>
      <c r="AJ37" s="56"/>
      <c r="AK37" s="54"/>
      <c r="AL37" s="55"/>
      <c r="AM37" s="55"/>
      <c r="AN37" s="56"/>
      <c r="AO37" s="60">
        <v>45572</v>
      </c>
      <c r="AP37" s="44">
        <v>302500.8</v>
      </c>
      <c r="AQ37" s="44">
        <f>AP37*15%</f>
        <v>45375.119999999995</v>
      </c>
      <c r="AR37" s="45">
        <f>AP37+AQ37</f>
        <v>347875.92</v>
      </c>
      <c r="AS37" s="60">
        <v>45650</v>
      </c>
      <c r="AT37" s="44">
        <v>533499.19999999995</v>
      </c>
      <c r="AU37" s="44">
        <f>AT37*15%</f>
        <v>80024.87999999999</v>
      </c>
      <c r="AV37" s="45">
        <f>AT37+AU37</f>
        <v>613524.07999999996</v>
      </c>
      <c r="AW37" s="166"/>
      <c r="AX37" s="167"/>
      <c r="AY37" s="167"/>
      <c r="AZ37" s="168"/>
      <c r="BA37" s="166"/>
      <c r="BB37" s="167"/>
      <c r="BC37" s="167"/>
      <c r="BD37" s="168"/>
      <c r="BE37" s="166"/>
      <c r="BF37" s="167"/>
      <c r="BG37" s="167"/>
      <c r="BH37" s="168"/>
      <c r="BI37" s="166"/>
      <c r="BJ37" s="167"/>
      <c r="BK37" s="167"/>
      <c r="BL37" s="169"/>
      <c r="BM37" s="166"/>
      <c r="BN37" s="167"/>
      <c r="BO37" s="167"/>
      <c r="BP37" s="169"/>
      <c r="BQ37" s="170"/>
      <c r="BR37" s="171"/>
      <c r="BS37" s="171"/>
      <c r="BT37" s="205"/>
      <c r="BU37" s="202"/>
      <c r="BV37" s="199"/>
      <c r="BW37" s="199"/>
      <c r="BX37" s="199"/>
      <c r="BY37" s="170"/>
      <c r="BZ37" s="171"/>
      <c r="CA37" s="171"/>
      <c r="CB37" s="205"/>
      <c r="CC37" s="170"/>
      <c r="CD37" s="171"/>
      <c r="CE37" s="171"/>
      <c r="CF37" s="205"/>
      <c r="CG37" s="170"/>
      <c r="CH37" s="171"/>
      <c r="CI37" s="171"/>
      <c r="CJ37" s="205"/>
      <c r="CK37" s="170"/>
      <c r="CL37" s="171"/>
      <c r="CM37" s="171"/>
      <c r="CN37" s="205"/>
      <c r="CO37" s="223"/>
      <c r="CP37" s="223"/>
      <c r="CQ37" s="223"/>
      <c r="CR37" s="223"/>
      <c r="CS37" s="223"/>
      <c r="CT37" s="223"/>
      <c r="CU37" s="223"/>
      <c r="CV37" s="223"/>
      <c r="CW37" s="223"/>
      <c r="CX37" s="223"/>
      <c r="CY37" s="223"/>
      <c r="CZ37" s="223"/>
      <c r="DA37" s="223"/>
      <c r="DB37" s="223"/>
      <c r="DC37" s="223"/>
      <c r="DD37" s="223"/>
      <c r="DE37" s="162"/>
      <c r="DF37" s="696">
        <f t="shared" si="1"/>
        <v>836000</v>
      </c>
      <c r="DG37" s="128">
        <f t="shared" si="2"/>
        <v>125400</v>
      </c>
      <c r="DH37" s="128">
        <f t="shared" si="3"/>
        <v>961400</v>
      </c>
      <c r="DI37" s="391">
        <f t="shared" si="4"/>
        <v>836000</v>
      </c>
      <c r="DJ37" s="128">
        <f>Detailed[[#This Row],[Column44]]+Detailed[[#This Row],[Column48]]</f>
        <v>961400</v>
      </c>
      <c r="DK37" s="153">
        <v>1</v>
      </c>
      <c r="DL37" s="154">
        <f t="shared" si="5"/>
        <v>836000</v>
      </c>
      <c r="DM37" s="116">
        <f t="shared" si="6"/>
        <v>0</v>
      </c>
      <c r="DN37" s="3" t="s">
        <v>275</v>
      </c>
      <c r="DQ37" s="230">
        <v>1254658</v>
      </c>
      <c r="DS37" s="231">
        <f>DQ37-Detailed[[#This Row],[Column66]]</f>
        <v>418658</v>
      </c>
    </row>
    <row r="38" spans="1:269" ht="15.6">
      <c r="A38" s="143" t="s">
        <v>12</v>
      </c>
      <c r="B38" s="38">
        <v>9</v>
      </c>
      <c r="C38" s="84" t="s">
        <v>135</v>
      </c>
      <c r="D38" s="141"/>
      <c r="E38" s="141"/>
      <c r="F38" s="142"/>
      <c r="G38" s="58" t="s">
        <v>133</v>
      </c>
      <c r="H38" s="469">
        <v>1505768</v>
      </c>
      <c r="I38" s="268"/>
      <c r="J38" s="55"/>
      <c r="K38" s="286"/>
      <c r="L38" s="287"/>
      <c r="M38" s="278"/>
      <c r="N38" s="288"/>
      <c r="O38" s="288"/>
      <c r="P38" s="289"/>
      <c r="Q38" s="290"/>
      <c r="R38" s="291"/>
      <c r="S38" s="291"/>
      <c r="T38" s="292"/>
      <c r="U38" s="277"/>
      <c r="V38" s="292"/>
      <c r="W38" s="292"/>
      <c r="X38" s="289"/>
      <c r="Y38" s="277"/>
      <c r="Z38" s="292"/>
      <c r="AA38" s="292"/>
      <c r="AB38" s="289"/>
      <c r="AC38" s="277"/>
      <c r="AD38" s="292"/>
      <c r="AE38" s="292"/>
      <c r="AF38" s="289"/>
      <c r="AG38" s="277"/>
      <c r="AH38" s="286"/>
      <c r="AI38" s="286"/>
      <c r="AJ38" s="289"/>
      <c r="AK38" s="277"/>
      <c r="AL38" s="286"/>
      <c r="AM38" s="286"/>
      <c r="AN38" s="289"/>
      <c r="AO38" s="60">
        <v>45572</v>
      </c>
      <c r="AP38" s="44">
        <v>499280</v>
      </c>
      <c r="AQ38" s="44">
        <f>AP38*15%</f>
        <v>74892</v>
      </c>
      <c r="AR38" s="45">
        <f>AP38+AQ38</f>
        <v>574172</v>
      </c>
      <c r="AS38" s="552"/>
      <c r="AT38" s="553"/>
      <c r="AU38" s="553"/>
      <c r="AV38" s="554"/>
      <c r="AW38" s="60">
        <v>45693</v>
      </c>
      <c r="AX38" s="280">
        <v>500302</v>
      </c>
      <c r="AY38" s="44">
        <f>AX38*15%</f>
        <v>75045.3</v>
      </c>
      <c r="AZ38" s="45">
        <f>AX38+AY38</f>
        <v>575347.30000000005</v>
      </c>
      <c r="BA38" s="302">
        <v>45720</v>
      </c>
      <c r="BB38" s="280">
        <v>255076</v>
      </c>
      <c r="BC38" s="44">
        <f>BB38*15%</f>
        <v>38261.4</v>
      </c>
      <c r="BD38" s="45">
        <f>BB38+BC38</f>
        <v>293337.40000000002</v>
      </c>
      <c r="BE38" s="279"/>
      <c r="BF38" s="280"/>
      <c r="BG38" s="280"/>
      <c r="BH38" s="281"/>
      <c r="BI38" s="279"/>
      <c r="BJ38" s="280"/>
      <c r="BK38" s="280"/>
      <c r="BL38" s="282"/>
      <c r="BM38" s="279"/>
      <c r="BN38" s="280"/>
      <c r="BO38" s="280"/>
      <c r="BP38" s="282"/>
      <c r="BQ38" s="293"/>
      <c r="BR38" s="294"/>
      <c r="BS38" s="294"/>
      <c r="BT38" s="295"/>
      <c r="BU38" s="296"/>
      <c r="BV38" s="284"/>
      <c r="BW38" s="284"/>
      <c r="BX38" s="284"/>
      <c r="BY38" s="293"/>
      <c r="BZ38" s="294"/>
      <c r="CA38" s="294"/>
      <c r="CB38" s="295"/>
      <c r="CC38" s="293"/>
      <c r="CD38" s="294"/>
      <c r="CE38" s="294"/>
      <c r="CF38" s="295"/>
      <c r="CG38" s="293"/>
      <c r="CH38" s="294"/>
      <c r="CI38" s="294"/>
      <c r="CJ38" s="295"/>
      <c r="CK38" s="293"/>
      <c r="CL38" s="294"/>
      <c r="CM38" s="294"/>
      <c r="CN38" s="295"/>
      <c r="CO38" s="284"/>
      <c r="CP38" s="284"/>
      <c r="CQ38" s="284"/>
      <c r="CR38" s="284"/>
      <c r="CS38" s="284"/>
      <c r="CT38" s="284"/>
      <c r="CU38" s="284"/>
      <c r="CV38" s="284"/>
      <c r="CW38" s="284"/>
      <c r="CX38" s="284"/>
      <c r="CY38" s="284"/>
      <c r="CZ38" s="284"/>
      <c r="DA38" s="284"/>
      <c r="DB38" s="284"/>
      <c r="DC38" s="284"/>
      <c r="DD38" s="284"/>
      <c r="DE38" s="228"/>
      <c r="DF38" s="696">
        <f t="shared" si="1"/>
        <v>1505768</v>
      </c>
      <c r="DG38" s="128">
        <f t="shared" si="2"/>
        <v>225865.19999999998</v>
      </c>
      <c r="DH38" s="128">
        <f t="shared" si="3"/>
        <v>1731633.2</v>
      </c>
      <c r="DI38" s="391">
        <f t="shared" si="4"/>
        <v>1254658</v>
      </c>
      <c r="DJ38" s="126">
        <f>Detailed[[#This Row],[Column44]]+Detailed[[#This Row],[Column48]]+Detailed[[#This Row],[Column52]]+Detailed[[#This Row],[Column56]]</f>
        <v>1442856.7000000002</v>
      </c>
      <c r="DK38" s="153">
        <v>1</v>
      </c>
      <c r="DL38" s="154">
        <f t="shared" si="5"/>
        <v>1505768</v>
      </c>
      <c r="DM38" s="116">
        <f t="shared" si="6"/>
        <v>251110</v>
      </c>
      <c r="DN38" s="3"/>
      <c r="DQ38" s="230">
        <v>264505</v>
      </c>
      <c r="DS38" s="231">
        <f>DQ38-Detailed[[#This Row],[Column66]]</f>
        <v>-990153</v>
      </c>
    </row>
    <row r="39" spans="1:269" ht="15.6">
      <c r="A39" s="225" t="s">
        <v>12</v>
      </c>
      <c r="B39" s="38">
        <v>10</v>
      </c>
      <c r="C39" s="148" t="s">
        <v>134</v>
      </c>
      <c r="D39" s="71"/>
      <c r="E39" s="71"/>
      <c r="F39" s="142"/>
      <c r="G39" s="58"/>
      <c r="H39" s="59">
        <v>264505</v>
      </c>
      <c r="I39" s="66"/>
      <c r="J39" s="55"/>
      <c r="K39" s="55"/>
      <c r="L39" s="67"/>
      <c r="M39" s="54"/>
      <c r="N39" s="55"/>
      <c r="O39" s="55"/>
      <c r="P39" s="56"/>
      <c r="Q39" s="54"/>
      <c r="R39" s="55"/>
      <c r="S39" s="55"/>
      <c r="T39" s="56"/>
      <c r="U39" s="54"/>
      <c r="V39" s="55"/>
      <c r="W39" s="55"/>
      <c r="X39" s="56"/>
      <c r="Y39" s="54"/>
      <c r="Z39" s="55"/>
      <c r="AA39" s="55"/>
      <c r="AB39" s="56"/>
      <c r="AC39" s="54"/>
      <c r="AD39" s="55"/>
      <c r="AE39" s="55"/>
      <c r="AF39" s="56"/>
      <c r="AG39" s="54"/>
      <c r="AH39" s="55"/>
      <c r="AI39" s="55"/>
      <c r="AJ39" s="56"/>
      <c r="AK39" s="54"/>
      <c r="AL39" s="55"/>
      <c r="AM39" s="55"/>
      <c r="AN39" s="56"/>
      <c r="AO39" s="54"/>
      <c r="AP39" s="55"/>
      <c r="AQ39" s="55"/>
      <c r="AR39" s="56"/>
      <c r="AS39" s="60">
        <v>45650</v>
      </c>
      <c r="AT39" s="44">
        <v>264505</v>
      </c>
      <c r="AU39" s="44">
        <f>AT39*15%</f>
        <v>39675.75</v>
      </c>
      <c r="AV39" s="45">
        <f>AT39+AU39</f>
        <v>304180.75</v>
      </c>
      <c r="AW39" s="54"/>
      <c r="AX39" s="55"/>
      <c r="AY39" s="55"/>
      <c r="AZ39" s="56"/>
      <c r="BA39" s="54"/>
      <c r="BB39" s="55"/>
      <c r="BC39" s="55"/>
      <c r="BD39" s="56"/>
      <c r="BE39" s="54"/>
      <c r="BF39" s="55"/>
      <c r="BG39" s="55"/>
      <c r="BH39" s="56"/>
      <c r="BI39" s="54"/>
      <c r="BJ39" s="55"/>
      <c r="BK39" s="55"/>
      <c r="BL39" s="56"/>
      <c r="BM39" s="54"/>
      <c r="BN39" s="55"/>
      <c r="BO39" s="55"/>
      <c r="BP39" s="56"/>
      <c r="BQ39" s="54"/>
      <c r="BR39" s="55"/>
      <c r="BS39" s="55"/>
      <c r="BT39" s="56"/>
      <c r="BU39" s="54"/>
      <c r="BV39" s="55"/>
      <c r="BW39" s="55"/>
      <c r="BX39" s="56"/>
      <c r="BY39" s="54"/>
      <c r="BZ39" s="55"/>
      <c r="CA39" s="55"/>
      <c r="CB39" s="56"/>
      <c r="CC39" s="54"/>
      <c r="CD39" s="55"/>
      <c r="CE39" s="55"/>
      <c r="CF39" s="56"/>
      <c r="CG39" s="54"/>
      <c r="CH39" s="55"/>
      <c r="CI39" s="55"/>
      <c r="CJ39" s="56"/>
      <c r="CK39" s="54"/>
      <c r="CL39" s="55"/>
      <c r="CM39" s="55"/>
      <c r="CN39" s="56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228"/>
      <c r="DF39" s="696">
        <f t="shared" si="1"/>
        <v>264505</v>
      </c>
      <c r="DG39" s="128">
        <f t="shared" si="2"/>
        <v>39675.75</v>
      </c>
      <c r="DH39" s="128">
        <f t="shared" si="3"/>
        <v>304180.75</v>
      </c>
      <c r="DI39" s="391">
        <f t="shared" si="4"/>
        <v>264505</v>
      </c>
      <c r="DJ39" s="126">
        <f>Detailed[[#This Row],[Column44]]+Detailed[[#This Row],[Column48]]+Detailed[[#This Row],[Column52]]</f>
        <v>304180.75</v>
      </c>
      <c r="DK39" s="183">
        <v>1</v>
      </c>
      <c r="DL39" s="154">
        <f t="shared" si="5"/>
        <v>264505</v>
      </c>
      <c r="DM39" s="116">
        <f t="shared" si="6"/>
        <v>0</v>
      </c>
      <c r="DN39" s="3"/>
      <c r="DQ39" s="230"/>
      <c r="DS39" s="231">
        <f>DQ39-Detailed[[#This Row],[Column66]]</f>
        <v>-264505</v>
      </c>
    </row>
    <row r="40" spans="1:269" ht="15.6">
      <c r="A40" s="225" t="s">
        <v>12</v>
      </c>
      <c r="B40" s="38"/>
      <c r="C40" s="84"/>
      <c r="D40" s="227"/>
      <c r="E40" s="227"/>
      <c r="F40" s="142"/>
      <c r="G40" s="58"/>
      <c r="H40" s="59"/>
      <c r="I40" s="268"/>
      <c r="J40" s="55"/>
      <c r="K40" s="55"/>
      <c r="L40" s="67"/>
      <c r="M40" s="54"/>
      <c r="N40" s="55"/>
      <c r="O40" s="55"/>
      <c r="P40" s="56"/>
      <c r="Q40" s="54"/>
      <c r="R40" s="55"/>
      <c r="S40" s="55"/>
      <c r="T40" s="56"/>
      <c r="U40" s="54"/>
      <c r="V40" s="55"/>
      <c r="W40" s="55"/>
      <c r="X40" s="56"/>
      <c r="Y40" s="54"/>
      <c r="Z40" s="55"/>
      <c r="AA40" s="55"/>
      <c r="AB40" s="56"/>
      <c r="AC40" s="54"/>
      <c r="AD40" s="55"/>
      <c r="AE40" s="55"/>
      <c r="AF40" s="56"/>
      <c r="AG40" s="54"/>
      <c r="AH40" s="55"/>
      <c r="AI40" s="55"/>
      <c r="AJ40" s="56"/>
      <c r="AK40" s="54"/>
      <c r="AL40" s="55"/>
      <c r="AM40" s="55"/>
      <c r="AN40" s="56"/>
      <c r="AO40" s="54"/>
      <c r="AP40" s="55"/>
      <c r="AQ40" s="55"/>
      <c r="AR40" s="56"/>
      <c r="AS40" s="54"/>
      <c r="AT40" s="55"/>
      <c r="AU40" s="55"/>
      <c r="AV40" s="56"/>
      <c r="AW40" s="54"/>
      <c r="AX40" s="55"/>
      <c r="AY40" s="55"/>
      <c r="AZ40" s="56"/>
      <c r="BA40" s="54"/>
      <c r="BB40" s="55"/>
      <c r="BC40" s="55"/>
      <c r="BD40" s="56"/>
      <c r="BE40" s="54"/>
      <c r="BF40" s="55"/>
      <c r="BG40" s="55"/>
      <c r="BH40" s="56"/>
      <c r="BI40" s="54"/>
      <c r="BJ40" s="55"/>
      <c r="BK40" s="55"/>
      <c r="BL40" s="56"/>
      <c r="BM40" s="54"/>
      <c r="BN40" s="55"/>
      <c r="BO40" s="55"/>
      <c r="BP40" s="56"/>
      <c r="BQ40" s="54"/>
      <c r="BR40" s="55"/>
      <c r="BS40" s="55"/>
      <c r="BT40" s="56"/>
      <c r="BU40" s="54"/>
      <c r="BV40" s="55"/>
      <c r="BW40" s="55"/>
      <c r="BX40" s="56"/>
      <c r="BY40" s="54"/>
      <c r="BZ40" s="55"/>
      <c r="CA40" s="55"/>
      <c r="CB40" s="56"/>
      <c r="CC40" s="54"/>
      <c r="CD40" s="55"/>
      <c r="CE40" s="55"/>
      <c r="CF40" s="56"/>
      <c r="CG40" s="54"/>
      <c r="CH40" s="55"/>
      <c r="CI40" s="55"/>
      <c r="CJ40" s="56"/>
      <c r="CK40" s="54"/>
      <c r="CL40" s="55"/>
      <c r="CM40" s="55"/>
      <c r="CN40" s="56"/>
      <c r="CO40" s="48"/>
      <c r="CP40" s="48"/>
      <c r="CQ40" s="48"/>
      <c r="CR40" s="48"/>
      <c r="CS40" s="48"/>
      <c r="CT40" s="48"/>
      <c r="CU40" s="48"/>
      <c r="CV40" s="48"/>
      <c r="CW40" s="48"/>
      <c r="CX40" s="48"/>
      <c r="CY40" s="48"/>
      <c r="CZ40" s="48"/>
      <c r="DA40" s="48"/>
      <c r="DB40" s="48"/>
      <c r="DC40" s="48"/>
      <c r="DD40" s="48"/>
      <c r="DE40" s="228"/>
      <c r="DF40" s="115">
        <f t="shared" si="1"/>
        <v>0</v>
      </c>
      <c r="DG40" s="128">
        <f t="shared" si="2"/>
        <v>0</v>
      </c>
      <c r="DH40" s="128">
        <f t="shared" si="3"/>
        <v>0</v>
      </c>
      <c r="DI40" s="391">
        <f t="shared" si="4"/>
        <v>0</v>
      </c>
      <c r="DJ40" s="126"/>
      <c r="DK40" s="153">
        <v>1</v>
      </c>
      <c r="DL40" s="154">
        <f t="shared" si="5"/>
        <v>0</v>
      </c>
      <c r="DM40" s="396">
        <f t="shared" si="6"/>
        <v>0</v>
      </c>
      <c r="DN40" s="3"/>
      <c r="DQ40" s="230"/>
      <c r="DS40" s="231">
        <f>DQ40-Detailed[[#This Row],[Column66]]</f>
        <v>0</v>
      </c>
    </row>
    <row r="41" spans="1:269" ht="16.2" thickBot="1">
      <c r="A41" s="225" t="s">
        <v>12</v>
      </c>
      <c r="B41" s="38"/>
      <c r="C41" s="140"/>
      <c r="D41" s="141"/>
      <c r="E41" s="141"/>
      <c r="F41" s="142"/>
      <c r="G41" s="58"/>
      <c r="H41" s="59"/>
      <c r="I41" s="66"/>
      <c r="J41" s="55"/>
      <c r="K41" s="55"/>
      <c r="L41" s="67"/>
      <c r="M41" s="64"/>
      <c r="N41" s="65"/>
      <c r="O41" s="65"/>
      <c r="P41" s="56"/>
      <c r="Q41" s="68"/>
      <c r="R41" s="69"/>
      <c r="S41" s="69"/>
      <c r="T41" s="63"/>
      <c r="U41" s="54"/>
      <c r="V41" s="63"/>
      <c r="W41" s="63"/>
      <c r="X41" s="56"/>
      <c r="Y41" s="54"/>
      <c r="Z41" s="63"/>
      <c r="AA41" s="63"/>
      <c r="AB41" s="56"/>
      <c r="AC41" s="54"/>
      <c r="AD41" s="63"/>
      <c r="AE41" s="63"/>
      <c r="AF41" s="56"/>
      <c r="AG41" s="54"/>
      <c r="AH41" s="55"/>
      <c r="AI41" s="55"/>
      <c r="AJ41" s="56"/>
      <c r="AK41" s="64"/>
      <c r="AL41" s="65"/>
      <c r="AM41" s="65"/>
      <c r="AN41" s="165"/>
      <c r="AO41" s="166"/>
      <c r="AP41" s="167"/>
      <c r="AQ41" s="167"/>
      <c r="AR41" s="168"/>
      <c r="AS41" s="166"/>
      <c r="AT41" s="167"/>
      <c r="AU41" s="167"/>
      <c r="AV41" s="168"/>
      <c r="AW41" s="166"/>
      <c r="AX41" s="167"/>
      <c r="AY41" s="167"/>
      <c r="AZ41" s="168"/>
      <c r="BA41" s="166"/>
      <c r="BB41" s="167"/>
      <c r="BC41" s="167"/>
      <c r="BD41" s="168"/>
      <c r="BE41" s="166"/>
      <c r="BF41" s="167"/>
      <c r="BG41" s="167"/>
      <c r="BH41" s="168"/>
      <c r="BI41" s="166"/>
      <c r="BJ41" s="167"/>
      <c r="BK41" s="167"/>
      <c r="BL41" s="169"/>
      <c r="BM41" s="166"/>
      <c r="BN41" s="167"/>
      <c r="BO41" s="167"/>
      <c r="BP41" s="169"/>
      <c r="BQ41" s="173"/>
      <c r="BR41" s="199"/>
      <c r="BS41" s="199"/>
      <c r="BT41" s="223"/>
      <c r="BU41" s="224"/>
      <c r="BV41" s="199"/>
      <c r="BW41" s="199"/>
      <c r="BX41" s="205"/>
      <c r="BY41" s="173"/>
      <c r="BZ41" s="199"/>
      <c r="CA41" s="199"/>
      <c r="CB41" s="223"/>
      <c r="CC41" s="173"/>
      <c r="CD41" s="199"/>
      <c r="CE41" s="199"/>
      <c r="CF41" s="223"/>
      <c r="CG41" s="173"/>
      <c r="CH41" s="199"/>
      <c r="CI41" s="199"/>
      <c r="CJ41" s="223"/>
      <c r="CK41" s="173"/>
      <c r="CL41" s="199"/>
      <c r="CM41" s="199"/>
      <c r="CN41" s="223"/>
      <c r="CO41" s="223"/>
      <c r="CP41" s="223"/>
      <c r="CQ41" s="223"/>
      <c r="CR41" s="223"/>
      <c r="CS41" s="223"/>
      <c r="CT41" s="223"/>
      <c r="CU41" s="223"/>
      <c r="CV41" s="223"/>
      <c r="CW41" s="223"/>
      <c r="CX41" s="223"/>
      <c r="CY41" s="223"/>
      <c r="CZ41" s="223"/>
      <c r="DA41" s="223"/>
      <c r="DB41" s="223"/>
      <c r="DC41" s="223"/>
      <c r="DD41" s="223"/>
      <c r="DE41" s="172"/>
      <c r="DF41" s="397"/>
      <c r="DG41" s="128"/>
      <c r="DH41" s="128"/>
      <c r="DI41" s="391">
        <f t="shared" si="4"/>
        <v>0</v>
      </c>
      <c r="DJ41" s="128"/>
      <c r="DK41" s="183"/>
      <c r="DL41" s="184"/>
      <c r="DM41" s="129"/>
      <c r="DN41" s="3"/>
      <c r="DQ41" s="230">
        <v>18891266</v>
      </c>
      <c r="DS41" s="231">
        <f>DQ41-Detailed[[#This Row],[Column66]]</f>
        <v>18891266</v>
      </c>
    </row>
    <row r="42" spans="1:269" s="179" customFormat="1" ht="16.2" thickBot="1">
      <c r="A42" s="225" t="s">
        <v>12</v>
      </c>
      <c r="B42" s="226"/>
      <c r="C42" s="188"/>
      <c r="D42" s="227"/>
      <c r="E42" s="176"/>
      <c r="F42" s="177"/>
      <c r="G42" s="58"/>
      <c r="H42" s="43"/>
      <c r="I42" s="268"/>
      <c r="J42" s="269">
        <f>SUM(J30:J39)</f>
        <v>3198513</v>
      </c>
      <c r="K42" s="270"/>
      <c r="L42" s="271">
        <f>SUM(L30:L39)</f>
        <v>3678289.95</v>
      </c>
      <c r="M42" s="88"/>
      <c r="N42" s="269">
        <f>SUM(N30:N39)</f>
        <v>682683</v>
      </c>
      <c r="O42" s="270"/>
      <c r="P42" s="271">
        <f>SUM(P30:P39)</f>
        <v>785085.45</v>
      </c>
      <c r="Q42" s="157">
        <v>2082531</v>
      </c>
      <c r="R42" s="269">
        <f>SUM(R30:R39)</f>
        <v>1666025</v>
      </c>
      <c r="S42" s="270"/>
      <c r="T42" s="271">
        <f>SUM(T30:T39)</f>
        <v>1915928.75</v>
      </c>
      <c r="U42" s="276"/>
      <c r="V42" s="269">
        <f>SUM(V30:V39)</f>
        <v>1505036.1</v>
      </c>
      <c r="W42" s="270"/>
      <c r="X42" s="271">
        <f>SUM(X30:X39)</f>
        <v>1730791.5150000001</v>
      </c>
      <c r="Y42" s="276"/>
      <c r="Z42" s="269">
        <f>SUM(Z30:Z39)</f>
        <v>2597503.11</v>
      </c>
      <c r="AA42" s="270"/>
      <c r="AB42" s="271">
        <f>SUM(AB30:AB39)</f>
        <v>2987128.5765</v>
      </c>
      <c r="AC42" s="276"/>
      <c r="AD42" s="269">
        <f>SUM(AD30:AD39)</f>
        <v>2178506.42</v>
      </c>
      <c r="AE42" s="270"/>
      <c r="AF42" s="271">
        <f>SUM(AF30:AF39)</f>
        <v>2505282.3830000004</v>
      </c>
      <c r="AG42" s="277"/>
      <c r="AH42" s="269">
        <f>SUM(AH30:AH39)</f>
        <v>279032</v>
      </c>
      <c r="AI42" s="270"/>
      <c r="AJ42" s="271">
        <f>SUM(AJ30:AJ39)</f>
        <v>320886.8</v>
      </c>
      <c r="AK42" s="278"/>
      <c r="AL42" s="269">
        <f>SUM(AL30:AL39)</f>
        <v>1602086</v>
      </c>
      <c r="AM42" s="270"/>
      <c r="AN42" s="271">
        <f>SUM(AN30:AN39)</f>
        <v>1842398.9</v>
      </c>
      <c r="AO42" s="279"/>
      <c r="AP42" s="269">
        <f>SUM(AP30:AP39)</f>
        <v>801780.8</v>
      </c>
      <c r="AQ42" s="270"/>
      <c r="AR42" s="271">
        <f>SUM(AR30:AR39)</f>
        <v>922047.91999999993</v>
      </c>
      <c r="AS42" s="279"/>
      <c r="AT42" s="269">
        <f>SUM(AT30:AT40)</f>
        <v>798004.2</v>
      </c>
      <c r="AU42" s="270"/>
      <c r="AV42" s="271">
        <f>SUM(AV30:AV40)</f>
        <v>917704.83</v>
      </c>
      <c r="AW42" s="279"/>
      <c r="AX42" s="269">
        <f>SUM(AX30:AX40)</f>
        <v>500302</v>
      </c>
      <c r="AY42" s="280"/>
      <c r="AZ42" s="269">
        <f>SUM(AZ30:AZ40)</f>
        <v>575347.30000000005</v>
      </c>
      <c r="BA42" s="279"/>
      <c r="BB42" s="269">
        <f>SUM(BB30:BB40)</f>
        <v>255076</v>
      </c>
      <c r="BC42" s="280"/>
      <c r="BD42" s="269">
        <f>SUM(BD30:BD40)</f>
        <v>293337.40000000002</v>
      </c>
      <c r="BE42" s="279"/>
      <c r="BF42" s="269">
        <f>SUM(BF30:BF40)</f>
        <v>2826717.95</v>
      </c>
      <c r="BG42" s="280"/>
      <c r="BH42" s="269">
        <f>SUM(BH30:BH40)</f>
        <v>3250725.6425000001</v>
      </c>
      <c r="BI42" s="279"/>
      <c r="BJ42" s="280"/>
      <c r="BK42" s="280"/>
      <c r="BL42" s="282"/>
      <c r="BM42" s="279"/>
      <c r="BN42" s="280"/>
      <c r="BO42" s="280"/>
      <c r="BP42" s="282"/>
      <c r="BQ42" s="283"/>
      <c r="BR42" s="284"/>
      <c r="BS42" s="284"/>
      <c r="BT42" s="285"/>
      <c r="BU42" s="283"/>
      <c r="BV42" s="284"/>
      <c r="BW42" s="284"/>
      <c r="BX42" s="285"/>
      <c r="BY42" s="283"/>
      <c r="BZ42" s="284"/>
      <c r="CA42" s="284"/>
      <c r="CB42" s="285"/>
      <c r="CC42" s="283"/>
      <c r="CD42" s="284"/>
      <c r="CE42" s="284"/>
      <c r="CF42" s="285"/>
      <c r="CG42" s="283"/>
      <c r="CH42" s="284"/>
      <c r="CI42" s="284"/>
      <c r="CJ42" s="285"/>
      <c r="CK42" s="283"/>
      <c r="CL42" s="284"/>
      <c r="CM42" s="284"/>
      <c r="CN42" s="285"/>
      <c r="CO42" s="284"/>
      <c r="CP42" s="284"/>
      <c r="CQ42" s="284"/>
      <c r="CR42" s="284"/>
      <c r="CS42" s="284"/>
      <c r="CT42" s="284"/>
      <c r="CU42" s="284"/>
      <c r="CV42" s="284"/>
      <c r="CW42" s="284"/>
      <c r="CX42" s="284"/>
      <c r="CY42" s="284"/>
      <c r="CZ42" s="284"/>
      <c r="DA42" s="284"/>
      <c r="DB42" s="284"/>
      <c r="DC42" s="284"/>
      <c r="DD42" s="284"/>
      <c r="DE42" s="222"/>
      <c r="DF42" s="1039">
        <f>SUM(DF29:DF40)</f>
        <v>19558881</v>
      </c>
      <c r="DG42" s="1039">
        <f>SUM(DG29:DG40)</f>
        <v>2933832.1500000004</v>
      </c>
      <c r="DH42" s="1039">
        <f>SUM(DH29:DH40)</f>
        <v>22492713.149999999</v>
      </c>
      <c r="DI42" s="1040">
        <f t="shared" si="4"/>
        <v>18891265.579999998</v>
      </c>
      <c r="DJ42" s="1039">
        <f>SUM(DJ29:DJ40)</f>
        <v>21404068.617000002</v>
      </c>
      <c r="DK42" s="1039"/>
      <c r="DL42" s="1039">
        <f>SUM(DL29:DL40)</f>
        <v>19558881</v>
      </c>
      <c r="DM42" s="1041">
        <f>SUM(DM29:DM40)</f>
        <v>667615.41999999993</v>
      </c>
      <c r="DN42" s="178"/>
      <c r="DQ42" s="694"/>
      <c r="DS42" s="231">
        <f>DQ42-Detailed[[#This Row],[Column66]]</f>
        <v>-18891265.579999998</v>
      </c>
    </row>
    <row r="43" spans="1:269" ht="16.8" thickTop="1" thickBot="1">
      <c r="A43" s="145" t="s">
        <v>113</v>
      </c>
      <c r="B43" s="38"/>
      <c r="C43" s="769"/>
      <c r="D43" s="180"/>
      <c r="E43" s="180"/>
      <c r="F43" s="182"/>
      <c r="G43" s="463" t="s">
        <v>114</v>
      </c>
      <c r="H43" s="98">
        <f>F8</f>
        <v>15054089</v>
      </c>
      <c r="I43" s="318"/>
      <c r="J43" s="100"/>
      <c r="K43" s="202"/>
      <c r="L43" s="67"/>
      <c r="M43" s="52"/>
      <c r="N43" s="53"/>
      <c r="O43" s="53"/>
      <c r="P43" s="47"/>
      <c r="Q43" s="120"/>
      <c r="R43" s="131"/>
      <c r="S43" s="131"/>
      <c r="T43" s="51"/>
      <c r="U43" s="50"/>
      <c r="V43" s="51"/>
      <c r="W43" s="51"/>
      <c r="X43" s="47"/>
      <c r="Y43" s="50"/>
      <c r="Z43" s="51"/>
      <c r="AA43" s="51"/>
      <c r="AB43" s="47"/>
      <c r="AC43" s="50"/>
      <c r="AD43" s="51"/>
      <c r="AE43" s="51"/>
      <c r="AF43" s="47"/>
      <c r="AG43" s="50"/>
      <c r="AH43" s="46"/>
      <c r="AI43" s="46"/>
      <c r="AJ43" s="47"/>
      <c r="AK43" s="52"/>
      <c r="AL43" s="53"/>
      <c r="AM43" s="53"/>
      <c r="AN43" s="303"/>
      <c r="AO43" s="321"/>
      <c r="AP43" s="322"/>
      <c r="AQ43" s="322"/>
      <c r="AR43" s="323"/>
      <c r="AS43" s="321"/>
      <c r="AT43" s="322"/>
      <c r="AU43" s="322"/>
      <c r="AV43" s="323"/>
      <c r="AW43" s="321"/>
      <c r="AX43" s="322"/>
      <c r="AY43" s="322"/>
      <c r="AZ43" s="323"/>
      <c r="BA43" s="321"/>
      <c r="BB43" s="322"/>
      <c r="BC43" s="322"/>
      <c r="BD43" s="323"/>
      <c r="BE43" s="321"/>
      <c r="BF43" s="322"/>
      <c r="BG43" s="322"/>
      <c r="BH43" s="323"/>
      <c r="BI43" s="321"/>
      <c r="BJ43" s="322"/>
      <c r="BK43" s="322"/>
      <c r="BL43" s="324"/>
      <c r="BM43" s="321"/>
      <c r="BN43" s="322"/>
      <c r="BO43" s="322"/>
      <c r="BP43" s="323"/>
      <c r="BQ43" s="304"/>
      <c r="BR43" s="348"/>
      <c r="BS43" s="348"/>
      <c r="BT43" s="210"/>
      <c r="BU43" s="339"/>
      <c r="BV43" s="201"/>
      <c r="BW43" s="100"/>
      <c r="BX43" s="206"/>
      <c r="BY43" s="304"/>
      <c r="BZ43" s="348"/>
      <c r="CA43" s="348"/>
      <c r="CB43" s="210"/>
      <c r="CC43" s="349"/>
      <c r="CD43" s="354"/>
      <c r="CE43" s="354"/>
      <c r="CF43" s="246"/>
      <c r="CG43" s="355"/>
      <c r="CH43" s="354"/>
      <c r="CI43" s="355"/>
      <c r="CJ43" s="246"/>
      <c r="CK43" s="355"/>
      <c r="CL43" s="354"/>
      <c r="CM43" s="355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6"/>
      <c r="DD43" s="246"/>
      <c r="DE43" s="222"/>
      <c r="DF43" s="1051"/>
      <c r="DG43" s="1052"/>
      <c r="DH43" s="1052"/>
      <c r="DI43" s="1053">
        <f t="shared" si="4"/>
        <v>0</v>
      </c>
      <c r="DJ43" s="1052"/>
      <c r="DK43" s="1054"/>
      <c r="DL43" s="1055"/>
      <c r="DM43" s="1056"/>
      <c r="DN43" s="178"/>
      <c r="DO43" s="694">
        <f>COLUMN(I45:DD45)</f>
        <v>9</v>
      </c>
      <c r="DP43" s="694"/>
      <c r="DQ43" s="694">
        <v>5381577.6000000006</v>
      </c>
      <c r="DR43" s="179"/>
      <c r="DS43" s="231">
        <f>DQ43-Detailed[[#This Row],[Column66]]</f>
        <v>5381577.6000000006</v>
      </c>
      <c r="DT43" s="179"/>
      <c r="DU43" s="179"/>
      <c r="DV43" s="179"/>
      <c r="DW43" s="179"/>
      <c r="DX43" s="179"/>
      <c r="DY43" s="179"/>
      <c r="DZ43" s="179"/>
      <c r="EA43" s="179"/>
      <c r="EB43" s="179"/>
      <c r="EC43" s="179"/>
      <c r="ED43" s="179"/>
      <c r="EE43" s="179"/>
      <c r="EF43" s="179"/>
      <c r="EG43" s="179"/>
      <c r="EH43" s="179"/>
      <c r="EI43" s="179"/>
      <c r="EJ43" s="179"/>
      <c r="EK43" s="179"/>
      <c r="EL43" s="179"/>
      <c r="EM43" s="179"/>
      <c r="EN43" s="179"/>
      <c r="EO43" s="179"/>
      <c r="EP43" s="179"/>
      <c r="EQ43" s="179"/>
      <c r="ER43" s="179"/>
      <c r="ES43" s="179"/>
      <c r="ET43" s="179"/>
      <c r="EU43" s="179"/>
      <c r="EV43" s="179"/>
      <c r="EW43" s="179"/>
      <c r="EX43" s="179"/>
      <c r="EY43" s="179"/>
      <c r="EZ43" s="179"/>
      <c r="FA43" s="179"/>
      <c r="FB43" s="179"/>
      <c r="FC43" s="179"/>
      <c r="FD43" s="179"/>
      <c r="FE43" s="179"/>
      <c r="FF43" s="179"/>
      <c r="FG43" s="179"/>
      <c r="FH43" s="179"/>
      <c r="FI43" s="179"/>
      <c r="FJ43" s="179"/>
      <c r="FK43" s="179"/>
      <c r="FL43" s="179"/>
      <c r="FM43" s="179"/>
      <c r="FN43" s="179"/>
      <c r="FO43" s="179"/>
      <c r="FP43" s="179"/>
      <c r="FQ43" s="179"/>
      <c r="FR43" s="179"/>
      <c r="FS43" s="179"/>
      <c r="FT43" s="179"/>
      <c r="FU43" s="179"/>
      <c r="FV43" s="179"/>
      <c r="FW43" s="179"/>
      <c r="FX43" s="179"/>
      <c r="FY43" s="179"/>
      <c r="FZ43" s="179"/>
      <c r="GA43" s="179"/>
      <c r="GB43" s="179"/>
      <c r="GC43" s="179"/>
      <c r="GD43" s="179"/>
      <c r="GE43" s="179"/>
      <c r="GF43" s="179"/>
      <c r="GG43" s="179"/>
      <c r="GH43" s="179"/>
      <c r="GI43" s="179"/>
      <c r="GJ43" s="179"/>
      <c r="GK43" s="179"/>
      <c r="GL43" s="179"/>
      <c r="GM43" s="179"/>
      <c r="GN43" s="179"/>
      <c r="GO43" s="179"/>
      <c r="GP43" s="179"/>
      <c r="GQ43" s="179"/>
      <c r="GR43" s="179"/>
      <c r="GS43" s="179"/>
      <c r="GT43" s="179"/>
      <c r="GU43" s="179"/>
      <c r="GV43" s="179"/>
      <c r="GW43" s="179"/>
      <c r="GX43" s="179"/>
      <c r="GY43" s="179"/>
      <c r="GZ43" s="179"/>
      <c r="HA43" s="179"/>
      <c r="HB43" s="179"/>
      <c r="HC43" s="179"/>
      <c r="HD43" s="179"/>
      <c r="HE43" s="179"/>
      <c r="HF43" s="179"/>
      <c r="HG43" s="179"/>
      <c r="HH43" s="179"/>
      <c r="HI43" s="179"/>
      <c r="HJ43" s="179"/>
      <c r="HK43" s="179"/>
      <c r="HL43" s="179"/>
      <c r="HM43" s="179"/>
      <c r="HN43" s="179"/>
      <c r="HO43" s="179"/>
      <c r="HP43" s="179"/>
      <c r="HQ43" s="179"/>
      <c r="HR43" s="179"/>
      <c r="HS43" s="179"/>
      <c r="HT43" s="179"/>
      <c r="HU43" s="179"/>
      <c r="HV43" s="179"/>
      <c r="HW43" s="179"/>
      <c r="HX43" s="179"/>
      <c r="HY43" s="179"/>
      <c r="HZ43" s="179"/>
      <c r="IA43" s="179"/>
      <c r="IB43" s="179"/>
      <c r="IC43" s="179"/>
      <c r="ID43" s="179"/>
      <c r="IE43" s="179"/>
      <c r="IF43" s="179"/>
      <c r="IG43" s="179"/>
      <c r="IH43" s="179"/>
      <c r="II43" s="179"/>
      <c r="IJ43" s="179"/>
      <c r="IK43" s="179"/>
      <c r="IL43" s="179"/>
      <c r="IM43" s="179"/>
      <c r="IN43" s="179"/>
      <c r="IO43" s="179"/>
      <c r="IP43" s="179"/>
      <c r="IQ43" s="179"/>
      <c r="IR43" s="179"/>
      <c r="IS43" s="179"/>
      <c r="IT43" s="179"/>
      <c r="IU43" s="179"/>
      <c r="IV43" s="179"/>
      <c r="IW43" s="179"/>
      <c r="IX43" s="179"/>
      <c r="IY43" s="179"/>
      <c r="IZ43" s="179"/>
      <c r="JA43" s="179"/>
      <c r="JB43" s="179"/>
      <c r="JC43" s="179"/>
      <c r="JD43" s="179"/>
      <c r="JE43" s="179"/>
      <c r="JF43" s="179"/>
      <c r="JG43" s="179"/>
      <c r="JH43" s="179"/>
      <c r="JI43" s="179"/>
    </row>
    <row r="44" spans="1:269" ht="16.8" thickTop="1" thickBot="1">
      <c r="A44" s="147" t="s">
        <v>113</v>
      </c>
      <c r="B44" s="38">
        <v>1</v>
      </c>
      <c r="C44" s="765" t="s">
        <v>115</v>
      </c>
      <c r="D44" s="176"/>
      <c r="E44" s="176"/>
      <c r="F44" s="177"/>
      <c r="G44" s="42" t="s">
        <v>116</v>
      </c>
      <c r="H44" s="43">
        <v>6726972</v>
      </c>
      <c r="I44" s="318">
        <v>45504</v>
      </c>
      <c r="J44" s="55">
        <f>SYSTRA!H12</f>
        <v>672697.82000000007</v>
      </c>
      <c r="K44" s="202">
        <f>J44*15%</f>
        <v>100904.67300000001</v>
      </c>
      <c r="L44" s="67">
        <f>J44+K44</f>
        <v>773602.49300000002</v>
      </c>
      <c r="M44" s="318">
        <v>45511</v>
      </c>
      <c r="N44" s="55">
        <f>SYSTRA!J12</f>
        <v>1681772</v>
      </c>
      <c r="O44" s="55">
        <f>N44*15%</f>
        <v>252265.8</v>
      </c>
      <c r="P44" s="56">
        <f>N44+O44</f>
        <v>1934037.8</v>
      </c>
      <c r="Q44" s="318">
        <v>45641</v>
      </c>
      <c r="R44" s="55">
        <f>SYSTRA!L12</f>
        <v>1345449</v>
      </c>
      <c r="S44" s="55">
        <f>R44*15%</f>
        <v>201817.35</v>
      </c>
      <c r="T44" s="56">
        <f>R44+S44</f>
        <v>1547266.35</v>
      </c>
      <c r="U44" s="318">
        <v>45727</v>
      </c>
      <c r="V44" s="63">
        <f>SYSTRA!N12</f>
        <v>1681658.78</v>
      </c>
      <c r="W44" s="202">
        <f>V44*15%</f>
        <v>252248.81699999998</v>
      </c>
      <c r="X44" s="47">
        <f>V44+W44</f>
        <v>1933907.5970000001</v>
      </c>
      <c r="Y44" s="50"/>
      <c r="Z44" s="51"/>
      <c r="AA44" s="51"/>
      <c r="AB44" s="47"/>
      <c r="AC44" s="318">
        <v>45839</v>
      </c>
      <c r="AD44" s="51">
        <f>SYSTRA!R12</f>
        <v>1345394.4</v>
      </c>
      <c r="AE44" s="44">
        <f>AD44*15%</f>
        <v>201809.15999999997</v>
      </c>
      <c r="AF44" s="45">
        <f>AD44+AE44</f>
        <v>1547203.5599999998</v>
      </c>
      <c r="AG44" s="50"/>
      <c r="AH44" s="46"/>
      <c r="AI44" s="46"/>
      <c r="AJ44" s="47"/>
      <c r="AK44" s="52"/>
      <c r="AL44" s="53"/>
      <c r="AM44" s="53"/>
      <c r="AN44" s="303"/>
      <c r="AO44" s="321"/>
      <c r="AP44" s="322"/>
      <c r="AQ44" s="322"/>
      <c r="AR44" s="323"/>
      <c r="AS44" s="321"/>
      <c r="AT44" s="322"/>
      <c r="AU44" s="322"/>
      <c r="AV44" s="323"/>
      <c r="AW44" s="321"/>
      <c r="AX44" s="322"/>
      <c r="AY44" s="322"/>
      <c r="AZ44" s="323"/>
      <c r="BA44" s="321"/>
      <c r="BB44" s="322"/>
      <c r="BC44" s="322"/>
      <c r="BD44" s="323"/>
      <c r="BE44" s="321"/>
      <c r="BF44" s="322"/>
      <c r="BG44" s="322"/>
      <c r="BH44" s="323"/>
      <c r="BI44" s="321"/>
      <c r="BJ44" s="322"/>
      <c r="BK44" s="322"/>
      <c r="BL44" s="324"/>
      <c r="BM44" s="321"/>
      <c r="BN44" s="322"/>
      <c r="BO44" s="322"/>
      <c r="BP44" s="323"/>
      <c r="BQ44" s="304"/>
      <c r="BR44" s="337"/>
      <c r="BS44" s="337"/>
      <c r="BT44" s="209"/>
      <c r="BU44" s="340"/>
      <c r="BV44" s="200"/>
      <c r="BW44" s="55"/>
      <c r="BX44" s="207"/>
      <c r="BY44" s="304"/>
      <c r="BZ44" s="337"/>
      <c r="CA44" s="337"/>
      <c r="CB44" s="209"/>
      <c r="CC44" s="350"/>
      <c r="CD44" s="351"/>
      <c r="CE44" s="351"/>
      <c r="CF44" s="246"/>
      <c r="CG44" s="356"/>
      <c r="CH44" s="351"/>
      <c r="CI44" s="356"/>
      <c r="CJ44" s="246"/>
      <c r="CK44" s="356"/>
      <c r="CL44" s="351"/>
      <c r="CM44" s="356"/>
      <c r="CN44" s="246"/>
      <c r="CO44" s="246"/>
      <c r="CP44" s="246"/>
      <c r="CQ44" s="246"/>
      <c r="CR44" s="246"/>
      <c r="CS44" s="246"/>
      <c r="CT44" s="246"/>
      <c r="CU44" s="246"/>
      <c r="CV44" s="246"/>
      <c r="CW44" s="246"/>
      <c r="CX44" s="246"/>
      <c r="CY44" s="246"/>
      <c r="CZ44" s="246"/>
      <c r="DA44" s="246"/>
      <c r="DB44" s="246"/>
      <c r="DC44" s="246"/>
      <c r="DD44" s="246"/>
      <c r="DE44" s="161"/>
      <c r="DF44" s="152">
        <f>H44</f>
        <v>6726972</v>
      </c>
      <c r="DG44" s="152">
        <f>DF44*15%</f>
        <v>1009045.7999999999</v>
      </c>
      <c r="DH44" s="152">
        <f>DF44+DG44</f>
        <v>7736017.7999999998</v>
      </c>
      <c r="DI44" s="1042">
        <f t="shared" si="4"/>
        <v>6726972</v>
      </c>
      <c r="DJ44" s="152">
        <f>Detailed[[#This Row],[Column12]]+Detailed[[#This Row],[Column16]]+Detailed[[#This Row],[Column20]]+Detailed[[#This Row],[Column24]]+Detailed[[#This Row],[Column28]]+Detailed[[#This Row],[Column32]]+Detailed[[#This Row],[Column36]]+Detailed[[#This Row],[Column40]]+Detailed[[#This Row],[Column44]]+Detailed[[#This Row],[Column48]]+Detailed[[#This Row],[Column52]]</f>
        <v>7736017.7999999998</v>
      </c>
      <c r="DK44" s="1045">
        <v>1</v>
      </c>
      <c r="DL44" s="1046">
        <f>DK44*DF44</f>
        <v>6726972</v>
      </c>
      <c r="DM44" s="377">
        <f>DL44-DI44</f>
        <v>0</v>
      </c>
      <c r="DN44" s="692"/>
      <c r="DO44" s="179"/>
      <c r="DP44" s="179"/>
      <c r="DQ44" s="694">
        <v>330043.5</v>
      </c>
      <c r="DR44" s="179"/>
      <c r="DS44" s="231">
        <f>DQ44-Detailed[[#This Row],[Column66]]</f>
        <v>-6396928.5</v>
      </c>
      <c r="DT44" s="179"/>
      <c r="DU44" s="179"/>
      <c r="DV44" s="179"/>
      <c r="DW44" s="179"/>
      <c r="DX44" s="179"/>
      <c r="DY44" s="179"/>
      <c r="DZ44" s="179"/>
      <c r="EA44" s="179"/>
      <c r="EB44" s="179"/>
      <c r="EC44" s="179"/>
      <c r="ED44" s="179"/>
      <c r="EE44" s="179"/>
      <c r="EF44" s="179"/>
      <c r="EG44" s="179"/>
      <c r="EH44" s="179"/>
      <c r="EI44" s="179"/>
      <c r="EJ44" s="179"/>
      <c r="EK44" s="179"/>
      <c r="EL44" s="179"/>
      <c r="EM44" s="179"/>
      <c r="EN44" s="179"/>
      <c r="EO44" s="179"/>
      <c r="EP44" s="179"/>
      <c r="EQ44" s="179"/>
      <c r="ER44" s="179"/>
      <c r="ES44" s="179"/>
      <c r="ET44" s="179"/>
      <c r="EU44" s="179"/>
      <c r="EV44" s="179"/>
      <c r="EW44" s="179"/>
      <c r="EX44" s="179"/>
      <c r="EY44" s="179"/>
      <c r="EZ44" s="179"/>
      <c r="FA44" s="179"/>
      <c r="FB44" s="179"/>
      <c r="FC44" s="179"/>
      <c r="FD44" s="179"/>
      <c r="FE44" s="179"/>
      <c r="FF44" s="179"/>
      <c r="FG44" s="179"/>
      <c r="FH44" s="179"/>
      <c r="FI44" s="179"/>
      <c r="FJ44" s="179"/>
      <c r="FK44" s="179"/>
      <c r="FL44" s="179"/>
      <c r="FM44" s="179"/>
      <c r="FN44" s="179"/>
      <c r="FO44" s="179"/>
      <c r="FP44" s="179"/>
      <c r="FQ44" s="179"/>
      <c r="FR44" s="179"/>
      <c r="FS44" s="179"/>
      <c r="FT44" s="179"/>
      <c r="FU44" s="179"/>
      <c r="FV44" s="179"/>
      <c r="FW44" s="179"/>
      <c r="FX44" s="179"/>
      <c r="FY44" s="179"/>
      <c r="FZ44" s="179"/>
      <c r="GA44" s="179"/>
      <c r="GB44" s="179"/>
      <c r="GC44" s="179"/>
      <c r="GD44" s="179"/>
      <c r="GE44" s="179"/>
      <c r="GF44" s="179"/>
      <c r="GG44" s="179"/>
      <c r="GH44" s="179"/>
      <c r="GI44" s="179"/>
      <c r="GJ44" s="179"/>
      <c r="GK44" s="179"/>
      <c r="GL44" s="179"/>
      <c r="GM44" s="179"/>
      <c r="GN44" s="179"/>
      <c r="GO44" s="179"/>
      <c r="GP44" s="179"/>
      <c r="GQ44" s="179"/>
      <c r="GR44" s="179"/>
      <c r="GS44" s="179"/>
      <c r="GT44" s="179"/>
      <c r="GU44" s="179"/>
      <c r="GV44" s="179"/>
      <c r="GW44" s="179"/>
      <c r="GX44" s="179"/>
      <c r="GY44" s="179"/>
      <c r="GZ44" s="179"/>
      <c r="HA44" s="179"/>
      <c r="HB44" s="179"/>
      <c r="HC44" s="179"/>
      <c r="HD44" s="179"/>
      <c r="HE44" s="179"/>
      <c r="HF44" s="179"/>
      <c r="HG44" s="179"/>
      <c r="HH44" s="179"/>
      <c r="HI44" s="179"/>
      <c r="HJ44" s="179"/>
      <c r="HK44" s="179"/>
      <c r="HL44" s="179"/>
      <c r="HM44" s="179"/>
      <c r="HN44" s="179"/>
      <c r="HO44" s="179"/>
      <c r="HP44" s="179"/>
      <c r="HQ44" s="179"/>
      <c r="HR44" s="179"/>
      <c r="HS44" s="179"/>
      <c r="HT44" s="179"/>
      <c r="HU44" s="179"/>
      <c r="HV44" s="179"/>
      <c r="HW44" s="179"/>
      <c r="HX44" s="179"/>
      <c r="HY44" s="179"/>
      <c r="HZ44" s="179"/>
      <c r="IA44" s="179"/>
      <c r="IB44" s="179"/>
      <c r="IC44" s="179"/>
      <c r="ID44" s="179"/>
      <c r="IE44" s="179"/>
      <c r="IF44" s="179"/>
      <c r="IG44" s="179"/>
      <c r="IH44" s="179"/>
      <c r="II44" s="179"/>
      <c r="IJ44" s="179"/>
      <c r="IK44" s="179"/>
      <c r="IL44" s="179"/>
      <c r="IM44" s="179"/>
      <c r="IN44" s="179"/>
      <c r="IO44" s="179"/>
      <c r="IP44" s="179"/>
      <c r="IQ44" s="179"/>
      <c r="IR44" s="179"/>
      <c r="IS44" s="179"/>
      <c r="IT44" s="179"/>
      <c r="IU44" s="179"/>
      <c r="IV44" s="179"/>
      <c r="IW44" s="179"/>
      <c r="IX44" s="179"/>
      <c r="IY44" s="179"/>
      <c r="IZ44" s="179"/>
      <c r="JA44" s="179"/>
      <c r="JB44" s="179"/>
      <c r="JC44" s="179"/>
      <c r="JD44" s="179"/>
      <c r="JE44" s="179"/>
      <c r="JF44" s="179"/>
      <c r="JG44" s="179"/>
      <c r="JH44" s="179"/>
      <c r="JI44" s="179"/>
    </row>
    <row r="45" spans="1:269" ht="16.8" thickTop="1" thickBot="1">
      <c r="A45" s="147" t="s">
        <v>113</v>
      </c>
      <c r="B45" s="38">
        <v>2</v>
      </c>
      <c r="C45" s="139" t="s">
        <v>250</v>
      </c>
      <c r="D45" s="521"/>
      <c r="E45" s="521"/>
      <c r="F45" s="522"/>
      <c r="G45" s="523" t="s">
        <v>251</v>
      </c>
      <c r="H45" s="524">
        <v>3300435</v>
      </c>
      <c r="I45" s="525"/>
      <c r="J45" s="526"/>
      <c r="K45" s="526"/>
      <c r="L45" s="527"/>
      <c r="M45" s="528"/>
      <c r="N45" s="529"/>
      <c r="O45" s="529"/>
      <c r="P45" s="530"/>
      <c r="Q45" s="528"/>
      <c r="R45" s="529"/>
      <c r="S45" s="529"/>
      <c r="T45" s="530"/>
      <c r="U45" s="318">
        <v>45727</v>
      </c>
      <c r="V45" s="533">
        <f>SYSTRA!N27</f>
        <v>330043.5</v>
      </c>
      <c r="W45" s="202">
        <f>V45*15%</f>
        <v>49506.525000000001</v>
      </c>
      <c r="X45" s="47">
        <f>V45+W45</f>
        <v>379550.02500000002</v>
      </c>
      <c r="Y45" s="297">
        <v>45788</v>
      </c>
      <c r="Z45" s="533">
        <f>SYSTRA!P27</f>
        <v>1072641.3699999999</v>
      </c>
      <c r="AA45" s="44">
        <f>Z45*15%</f>
        <v>160896.20549999998</v>
      </c>
      <c r="AB45" s="45">
        <f>Z45+AA45</f>
        <v>1233537.5754999998</v>
      </c>
      <c r="AC45" s="318">
        <v>45839</v>
      </c>
      <c r="AD45" s="533">
        <f>SYSTRA!R27</f>
        <v>577576.13</v>
      </c>
      <c r="AE45" s="44">
        <f>AD45*15%</f>
        <v>86636.419500000004</v>
      </c>
      <c r="AF45" s="45">
        <f>AD45+AE45</f>
        <v>664212.54949999996</v>
      </c>
      <c r="AG45" s="534"/>
      <c r="AH45" s="526"/>
      <c r="AI45" s="526"/>
      <c r="AJ45" s="530"/>
      <c r="AK45" s="528"/>
      <c r="AL45" s="529"/>
      <c r="AM45" s="529"/>
      <c r="AN45" s="535"/>
      <c r="AO45" s="536"/>
      <c r="AP45" s="537"/>
      <c r="AQ45" s="537"/>
      <c r="AR45" s="538"/>
      <c r="AS45" s="536"/>
      <c r="AT45" s="537"/>
      <c r="AU45" s="537"/>
      <c r="AV45" s="538"/>
      <c r="AW45" s="536"/>
      <c r="AX45" s="537"/>
      <c r="AY45" s="537"/>
      <c r="AZ45" s="538"/>
      <c r="BA45" s="536"/>
      <c r="BB45" s="537"/>
      <c r="BC45" s="537"/>
      <c r="BD45" s="538"/>
      <c r="BE45" s="536"/>
      <c r="BF45" s="537"/>
      <c r="BG45" s="537"/>
      <c r="BH45" s="538"/>
      <c r="BI45" s="536"/>
      <c r="BJ45" s="537"/>
      <c r="BK45" s="537"/>
      <c r="BL45" s="539"/>
      <c r="BM45" s="536"/>
      <c r="BN45" s="537"/>
      <c r="BO45" s="537"/>
      <c r="BP45" s="539"/>
      <c r="BQ45" s="540"/>
      <c r="BR45" s="541"/>
      <c r="BS45" s="541"/>
      <c r="BT45" s="542"/>
      <c r="BU45" s="543"/>
      <c r="BV45" s="544"/>
      <c r="BW45" s="545"/>
      <c r="BX45" s="546"/>
      <c r="BY45" s="540"/>
      <c r="BZ45" s="541"/>
      <c r="CA45" s="541"/>
      <c r="CB45" s="542"/>
      <c r="CC45" s="247"/>
      <c r="CD45" s="351"/>
      <c r="CE45" s="351"/>
      <c r="CF45" s="246"/>
      <c r="CG45" s="356"/>
      <c r="CH45" s="351"/>
      <c r="CI45" s="356"/>
      <c r="CJ45" s="246"/>
      <c r="CK45" s="547"/>
      <c r="CL45" s="548"/>
      <c r="CM45" s="547"/>
      <c r="CN45" s="547"/>
      <c r="CO45" s="547"/>
      <c r="CP45" s="547"/>
      <c r="CQ45" s="547"/>
      <c r="CR45" s="547"/>
      <c r="CS45" s="547"/>
      <c r="CT45" s="547"/>
      <c r="CU45" s="547"/>
      <c r="CV45" s="547"/>
      <c r="CW45" s="547"/>
      <c r="CX45" s="547"/>
      <c r="CY45" s="547"/>
      <c r="CZ45" s="547"/>
      <c r="DA45" s="547"/>
      <c r="DB45" s="547"/>
      <c r="DC45" s="547"/>
      <c r="DD45" s="547"/>
      <c r="DE45" s="222"/>
      <c r="DF45" s="1057">
        <f>H45</f>
        <v>3300435</v>
      </c>
      <c r="DG45" s="1058">
        <f>DF45*15%</f>
        <v>495065.25</v>
      </c>
      <c r="DH45" s="1058">
        <f>DF45+DG45</f>
        <v>3795500.25</v>
      </c>
      <c r="DI45" s="1059">
        <f>SUMPRODUCT((MOD(COLUMN(I45:DD45)-COLUMN(I45),4)=1)*I45:DD45)</f>
        <v>1980261</v>
      </c>
      <c r="DJ45" s="1059">
        <f>SUMPRODUCT((MOD(COLUMN(I45:DD45)-COLUMN(J45),4)=2)*I45:DD45)</f>
        <v>2277300.1499999994</v>
      </c>
      <c r="DK45" s="1060">
        <v>1</v>
      </c>
      <c r="DL45" s="1061">
        <f>DK45*DF45</f>
        <v>3300435</v>
      </c>
      <c r="DM45" s="1062">
        <f>DL45-DI45</f>
        <v>1320174</v>
      </c>
      <c r="DN45" s="178"/>
      <c r="DO45" s="694">
        <f>SUMPRODUCT((MOD(COLUMN(I45:DD45)-COLUMN(I45),4)=1)*I45:DD45)</f>
        <v>1980261</v>
      </c>
      <c r="DP45" s="694">
        <f>DO45-Detailed[[#This Row],[Column66]]</f>
        <v>0</v>
      </c>
      <c r="DQ45" s="694">
        <v>330043.5</v>
      </c>
      <c r="DR45" s="179"/>
      <c r="DS45" s="231">
        <f>DQ45-Detailed[[#This Row],[Column66]]</f>
        <v>-1650217.5</v>
      </c>
      <c r="DT45" s="179"/>
      <c r="DU45" s="179"/>
      <c r="DV45" s="179"/>
      <c r="DW45" s="179"/>
      <c r="DX45" s="179"/>
      <c r="DY45" s="179"/>
      <c r="DZ45" s="179"/>
      <c r="EA45" s="179"/>
      <c r="EB45" s="179"/>
      <c r="EC45" s="179"/>
      <c r="ED45" s="179"/>
      <c r="EE45" s="179"/>
      <c r="EF45" s="179"/>
      <c r="EG45" s="179"/>
      <c r="EH45" s="179"/>
      <c r="EI45" s="179"/>
      <c r="EJ45" s="179"/>
      <c r="EK45" s="179"/>
      <c r="EL45" s="179"/>
      <c r="EM45" s="179"/>
      <c r="EN45" s="179"/>
      <c r="EO45" s="179"/>
      <c r="EP45" s="179"/>
      <c r="EQ45" s="179"/>
      <c r="ER45" s="179"/>
      <c r="ES45" s="179"/>
      <c r="ET45" s="179"/>
      <c r="EU45" s="179"/>
      <c r="EV45" s="179"/>
      <c r="EW45" s="179"/>
      <c r="EX45" s="179"/>
      <c r="EY45" s="179"/>
      <c r="EZ45" s="179"/>
      <c r="FA45" s="179"/>
      <c r="FB45" s="179"/>
      <c r="FC45" s="179"/>
      <c r="FD45" s="179"/>
      <c r="FE45" s="179"/>
      <c r="FF45" s="179"/>
      <c r="FG45" s="179"/>
      <c r="FH45" s="179"/>
      <c r="FI45" s="179"/>
      <c r="FJ45" s="179"/>
      <c r="FK45" s="179"/>
      <c r="FL45" s="179"/>
      <c r="FM45" s="179"/>
      <c r="FN45" s="179"/>
      <c r="FO45" s="179"/>
      <c r="FP45" s="179"/>
      <c r="FQ45" s="179"/>
      <c r="FR45" s="179"/>
      <c r="FS45" s="179"/>
      <c r="FT45" s="179"/>
      <c r="FU45" s="179"/>
      <c r="FV45" s="179"/>
      <c r="FW45" s="179"/>
      <c r="FX45" s="179"/>
      <c r="FY45" s="179"/>
      <c r="FZ45" s="179"/>
      <c r="GA45" s="179"/>
      <c r="GB45" s="179"/>
      <c r="GC45" s="179"/>
      <c r="GD45" s="179"/>
      <c r="GE45" s="179"/>
      <c r="GF45" s="179"/>
      <c r="GG45" s="179"/>
      <c r="GH45" s="179"/>
      <c r="GI45" s="179"/>
      <c r="GJ45" s="179"/>
      <c r="GK45" s="179"/>
      <c r="GL45" s="179"/>
      <c r="GM45" s="179"/>
      <c r="GN45" s="179"/>
      <c r="GO45" s="179"/>
      <c r="GP45" s="179"/>
      <c r="GQ45" s="179"/>
      <c r="GR45" s="179"/>
      <c r="GS45" s="179"/>
      <c r="GT45" s="179"/>
      <c r="GU45" s="179"/>
      <c r="GV45" s="179"/>
      <c r="GW45" s="179"/>
      <c r="GX45" s="179"/>
      <c r="GY45" s="179"/>
      <c r="GZ45" s="179"/>
      <c r="HA45" s="179"/>
      <c r="HB45" s="179"/>
      <c r="HC45" s="179"/>
      <c r="HD45" s="179"/>
      <c r="HE45" s="179"/>
      <c r="HF45" s="179"/>
      <c r="HG45" s="179"/>
      <c r="HH45" s="179"/>
      <c r="HI45" s="179"/>
      <c r="HJ45" s="179"/>
      <c r="HK45" s="179"/>
      <c r="HL45" s="179"/>
      <c r="HM45" s="179"/>
      <c r="HN45" s="179"/>
      <c r="HO45" s="179"/>
      <c r="HP45" s="179"/>
      <c r="HQ45" s="179"/>
      <c r="HR45" s="179"/>
      <c r="HS45" s="179"/>
      <c r="HT45" s="179"/>
      <c r="HU45" s="179"/>
      <c r="HV45" s="179"/>
      <c r="HW45" s="179"/>
      <c r="HX45" s="179"/>
      <c r="HY45" s="179"/>
      <c r="HZ45" s="179"/>
      <c r="IA45" s="179"/>
      <c r="IB45" s="179"/>
      <c r="IC45" s="179"/>
      <c r="ID45" s="179"/>
      <c r="IE45" s="179"/>
      <c r="IF45" s="179"/>
      <c r="IG45" s="179"/>
      <c r="IH45" s="179"/>
      <c r="II45" s="179"/>
      <c r="IJ45" s="179"/>
      <c r="IK45" s="179"/>
      <c r="IL45" s="179"/>
      <c r="IM45" s="179"/>
      <c r="IN45" s="179"/>
      <c r="IO45" s="179"/>
      <c r="IP45" s="179"/>
      <c r="IQ45" s="179"/>
      <c r="IR45" s="179"/>
      <c r="IS45" s="179"/>
      <c r="IT45" s="179"/>
      <c r="IU45" s="179"/>
      <c r="IV45" s="179"/>
      <c r="IW45" s="179"/>
      <c r="IX45" s="179"/>
      <c r="IY45" s="179"/>
      <c r="IZ45" s="179"/>
      <c r="JA45" s="179"/>
      <c r="JB45" s="179"/>
      <c r="JC45" s="179"/>
      <c r="JD45" s="179"/>
      <c r="JE45" s="179"/>
      <c r="JF45" s="179"/>
      <c r="JG45" s="179"/>
      <c r="JH45" s="179"/>
      <c r="JI45" s="179"/>
    </row>
    <row r="46" spans="1:269" ht="16.8" thickTop="1" thickBot="1">
      <c r="A46" s="147" t="s">
        <v>113</v>
      </c>
      <c r="B46" s="38">
        <v>3</v>
      </c>
      <c r="C46" s="139" t="s">
        <v>252</v>
      </c>
      <c r="D46" s="521"/>
      <c r="E46" s="521"/>
      <c r="F46" s="522"/>
      <c r="G46" s="523" t="s">
        <v>253</v>
      </c>
      <c r="H46" s="524">
        <v>3300435</v>
      </c>
      <c r="I46" s="525"/>
      <c r="J46" s="526"/>
      <c r="K46" s="526"/>
      <c r="L46" s="527"/>
      <c r="M46" s="528"/>
      <c r="N46" s="529"/>
      <c r="O46" s="529"/>
      <c r="P46" s="530"/>
      <c r="Q46" s="528"/>
      <c r="R46" s="529"/>
      <c r="S46" s="529"/>
      <c r="T46" s="530"/>
      <c r="U46" s="318">
        <v>45727</v>
      </c>
      <c r="V46" s="533">
        <f>SYSTRA!N42</f>
        <v>330043.5</v>
      </c>
      <c r="W46" s="202">
        <f>V46*15%</f>
        <v>49506.525000000001</v>
      </c>
      <c r="X46" s="47">
        <f>V46+W46</f>
        <v>379550.02500000002</v>
      </c>
      <c r="Y46" s="297">
        <v>45788</v>
      </c>
      <c r="Z46" s="533">
        <f>SYSTRA!P42</f>
        <v>1072641.3799999999</v>
      </c>
      <c r="AA46" s="44">
        <f>Z46*15%</f>
        <v>160896.20699999997</v>
      </c>
      <c r="AB46" s="45">
        <f>Z46+AA46</f>
        <v>1233537.5869999998</v>
      </c>
      <c r="AC46" s="318">
        <v>45839</v>
      </c>
      <c r="AD46" s="533">
        <f>SYSTRA!R42</f>
        <v>577576.12</v>
      </c>
      <c r="AE46" s="44">
        <f>AD46*15%</f>
        <v>86636.417999999991</v>
      </c>
      <c r="AF46" s="45">
        <f>AD46+AE46</f>
        <v>664212.53799999994</v>
      </c>
      <c r="AG46" s="534"/>
      <c r="AH46" s="526"/>
      <c r="AI46" s="526"/>
      <c r="AJ46" s="530"/>
      <c r="AK46" s="528"/>
      <c r="AL46" s="529"/>
      <c r="AM46" s="529"/>
      <c r="AN46" s="535"/>
      <c r="AO46" s="536"/>
      <c r="AP46" s="537"/>
      <c r="AQ46" s="537"/>
      <c r="AR46" s="538"/>
      <c r="AS46" s="536"/>
      <c r="AT46" s="537"/>
      <c r="AU46" s="537"/>
      <c r="AV46" s="538"/>
      <c r="AW46" s="536"/>
      <c r="AX46" s="537"/>
      <c r="AY46" s="537"/>
      <c r="AZ46" s="538"/>
      <c r="BA46" s="536"/>
      <c r="BB46" s="537"/>
      <c r="BC46" s="537"/>
      <c r="BD46" s="538"/>
      <c r="BE46" s="536"/>
      <c r="BF46" s="537"/>
      <c r="BG46" s="537"/>
      <c r="BH46" s="538"/>
      <c r="BI46" s="536"/>
      <c r="BJ46" s="537"/>
      <c r="BK46" s="537"/>
      <c r="BL46" s="539"/>
      <c r="BM46" s="536"/>
      <c r="BN46" s="537"/>
      <c r="BO46" s="537"/>
      <c r="BP46" s="539"/>
      <c r="BQ46" s="540"/>
      <c r="BR46" s="541"/>
      <c r="BS46" s="541"/>
      <c r="BT46" s="542"/>
      <c r="BU46" s="543"/>
      <c r="BV46" s="544"/>
      <c r="BW46" s="545"/>
      <c r="BX46" s="546"/>
      <c r="BY46" s="540"/>
      <c r="BZ46" s="541"/>
      <c r="CA46" s="541"/>
      <c r="CB46" s="542"/>
      <c r="CC46" s="247"/>
      <c r="CD46" s="351"/>
      <c r="CE46" s="351"/>
      <c r="CF46" s="246"/>
      <c r="CG46" s="356"/>
      <c r="CH46" s="351"/>
      <c r="CI46" s="356"/>
      <c r="CJ46" s="246"/>
      <c r="CK46" s="547"/>
      <c r="CL46" s="548"/>
      <c r="CM46" s="547"/>
      <c r="CN46" s="547"/>
      <c r="CO46" s="547"/>
      <c r="CP46" s="547"/>
      <c r="CQ46" s="547"/>
      <c r="CR46" s="547"/>
      <c r="CS46" s="547"/>
      <c r="CT46" s="547"/>
      <c r="CU46" s="547"/>
      <c r="CV46" s="547"/>
      <c r="CW46" s="547"/>
      <c r="CX46" s="547"/>
      <c r="CY46" s="547"/>
      <c r="CZ46" s="547"/>
      <c r="DA46" s="547"/>
      <c r="DB46" s="547"/>
      <c r="DC46" s="547"/>
      <c r="DD46" s="547"/>
      <c r="DE46" s="222"/>
      <c r="DF46" s="1063">
        <f>H46</f>
        <v>3300435</v>
      </c>
      <c r="DG46" s="1064">
        <f>DF46*15%</f>
        <v>495065.25</v>
      </c>
      <c r="DH46" s="1064">
        <f>DF46+DG46</f>
        <v>3795500.25</v>
      </c>
      <c r="DI46" s="1059">
        <f>SUMPRODUCT((MOD(COLUMN(I46:DD46)-COLUMN(I46),4)=1)*I46:DD46)</f>
        <v>1980261</v>
      </c>
      <c r="DJ46" s="1059">
        <f>SUMPRODUCT((MOD(COLUMN(I46:DD46)-COLUMN(J46),4)=2)*I46:DD46)</f>
        <v>2277300.1499999994</v>
      </c>
      <c r="DK46" s="1067">
        <v>1</v>
      </c>
      <c r="DL46" s="1068">
        <f>DK46*DF46</f>
        <v>3300435</v>
      </c>
      <c r="DM46" s="1069">
        <f>DL46-DI46</f>
        <v>1320174</v>
      </c>
      <c r="DN46" s="731"/>
      <c r="DO46" s="694">
        <f>SUMPRODUCT((MOD(COLUMN(I46:DD46)-COLUMN(I46),4)=1)*I46:DD46)</f>
        <v>1980261</v>
      </c>
      <c r="DP46" s="694">
        <f>DO46-Detailed[[#This Row],[Column66]]</f>
        <v>0</v>
      </c>
      <c r="DQ46" s="694"/>
      <c r="DR46" s="179"/>
      <c r="DS46" s="231">
        <f>DQ46-Detailed[[#This Row],[Column66]]</f>
        <v>-1980261</v>
      </c>
      <c r="DT46" s="179"/>
      <c r="DU46" s="179"/>
      <c r="DV46" s="179"/>
      <c r="DW46" s="179"/>
      <c r="DX46" s="179"/>
      <c r="DY46" s="179"/>
      <c r="DZ46" s="179"/>
      <c r="EA46" s="179"/>
      <c r="EB46" s="179"/>
      <c r="EC46" s="179"/>
      <c r="ED46" s="179"/>
      <c r="EE46" s="179"/>
      <c r="EF46" s="179"/>
      <c r="EG46" s="179"/>
      <c r="EH46" s="179"/>
      <c r="EI46" s="179"/>
      <c r="EJ46" s="179"/>
      <c r="EK46" s="179"/>
      <c r="EL46" s="179"/>
      <c r="EM46" s="179"/>
      <c r="EN46" s="179"/>
      <c r="EO46" s="179"/>
      <c r="EP46" s="179"/>
      <c r="EQ46" s="179"/>
      <c r="ER46" s="179"/>
      <c r="ES46" s="179"/>
      <c r="ET46" s="179"/>
      <c r="EU46" s="179"/>
      <c r="EV46" s="179"/>
      <c r="EW46" s="179"/>
      <c r="EX46" s="179"/>
      <c r="EY46" s="179"/>
      <c r="EZ46" s="179"/>
      <c r="FA46" s="179"/>
      <c r="FB46" s="179"/>
      <c r="FC46" s="179"/>
      <c r="FD46" s="179"/>
      <c r="FE46" s="179"/>
      <c r="FF46" s="179"/>
      <c r="FG46" s="179"/>
      <c r="FH46" s="179"/>
      <c r="FI46" s="179"/>
      <c r="FJ46" s="179"/>
      <c r="FK46" s="179"/>
      <c r="FL46" s="179"/>
      <c r="FM46" s="179"/>
      <c r="FN46" s="179"/>
      <c r="FO46" s="179"/>
      <c r="FP46" s="179"/>
      <c r="FQ46" s="179"/>
      <c r="FR46" s="179"/>
      <c r="FS46" s="179"/>
      <c r="FT46" s="179"/>
      <c r="FU46" s="179"/>
      <c r="FV46" s="179"/>
      <c r="FW46" s="179"/>
      <c r="FX46" s="179"/>
      <c r="FY46" s="179"/>
      <c r="FZ46" s="179"/>
      <c r="GA46" s="179"/>
      <c r="GB46" s="179"/>
      <c r="GC46" s="179"/>
      <c r="GD46" s="179"/>
      <c r="GE46" s="179"/>
      <c r="GF46" s="179"/>
      <c r="GG46" s="179"/>
      <c r="GH46" s="179"/>
      <c r="GI46" s="179"/>
      <c r="GJ46" s="179"/>
      <c r="GK46" s="179"/>
      <c r="GL46" s="179"/>
      <c r="GM46" s="179"/>
      <c r="GN46" s="179"/>
      <c r="GO46" s="179"/>
      <c r="GP46" s="179"/>
      <c r="GQ46" s="179"/>
      <c r="GR46" s="179"/>
      <c r="GS46" s="179"/>
      <c r="GT46" s="179"/>
      <c r="GU46" s="179"/>
      <c r="GV46" s="179"/>
      <c r="GW46" s="179"/>
      <c r="GX46" s="179"/>
      <c r="GY46" s="179"/>
      <c r="GZ46" s="179"/>
      <c r="HA46" s="179"/>
      <c r="HB46" s="179"/>
      <c r="HC46" s="179"/>
      <c r="HD46" s="179"/>
      <c r="HE46" s="179"/>
      <c r="HF46" s="179"/>
      <c r="HG46" s="179"/>
      <c r="HH46" s="179"/>
      <c r="HI46" s="179"/>
      <c r="HJ46" s="179"/>
      <c r="HK46" s="179"/>
      <c r="HL46" s="179"/>
      <c r="HM46" s="179"/>
      <c r="HN46" s="179"/>
      <c r="HO46" s="179"/>
      <c r="HP46" s="179"/>
      <c r="HQ46" s="179"/>
      <c r="HR46" s="179"/>
      <c r="HS46" s="179"/>
      <c r="HT46" s="179"/>
      <c r="HU46" s="179"/>
      <c r="HV46" s="179"/>
      <c r="HW46" s="179"/>
      <c r="HX46" s="179"/>
      <c r="HY46" s="179"/>
      <c r="HZ46" s="179"/>
      <c r="IA46" s="179"/>
      <c r="IB46" s="179"/>
      <c r="IC46" s="179"/>
      <c r="ID46" s="179"/>
      <c r="IE46" s="179"/>
      <c r="IF46" s="179"/>
      <c r="IG46" s="179"/>
      <c r="IH46" s="179"/>
      <c r="II46" s="179"/>
      <c r="IJ46" s="179"/>
      <c r="IK46" s="179"/>
      <c r="IL46" s="179"/>
      <c r="IM46" s="179"/>
      <c r="IN46" s="179"/>
      <c r="IO46" s="179"/>
      <c r="IP46" s="179"/>
      <c r="IQ46" s="179"/>
      <c r="IR46" s="179"/>
      <c r="IS46" s="179"/>
      <c r="IT46" s="179"/>
      <c r="IU46" s="179"/>
      <c r="IV46" s="179"/>
      <c r="IW46" s="179"/>
      <c r="IX46" s="179"/>
      <c r="IY46" s="179"/>
      <c r="IZ46" s="179"/>
      <c r="JA46" s="179"/>
      <c r="JB46" s="179"/>
      <c r="JC46" s="179"/>
      <c r="JD46" s="179"/>
      <c r="JE46" s="179"/>
      <c r="JF46" s="179"/>
      <c r="JG46" s="179"/>
      <c r="JH46" s="179"/>
      <c r="JI46" s="179"/>
    </row>
    <row r="47" spans="1:269" ht="16.8" thickTop="1" thickBot="1">
      <c r="A47" s="147" t="s">
        <v>113</v>
      </c>
      <c r="B47" s="38">
        <v>4</v>
      </c>
      <c r="C47" s="139" t="s">
        <v>254</v>
      </c>
      <c r="D47" s="521"/>
      <c r="E47" s="521"/>
      <c r="F47" s="522"/>
      <c r="G47" s="523" t="s">
        <v>255</v>
      </c>
      <c r="H47" s="524">
        <v>1726247</v>
      </c>
      <c r="I47" s="55"/>
      <c r="J47" s="526"/>
      <c r="K47" s="526"/>
      <c r="L47" s="527"/>
      <c r="M47" s="528"/>
      <c r="N47" s="529"/>
      <c r="O47" s="529"/>
      <c r="P47" s="530"/>
      <c r="Q47" s="528"/>
      <c r="R47" s="529"/>
      <c r="S47" s="529"/>
      <c r="T47" s="530"/>
      <c r="U47" s="534"/>
      <c r="V47" s="533"/>
      <c r="W47" s="533"/>
      <c r="X47" s="530"/>
      <c r="Y47" s="297">
        <v>45788</v>
      </c>
      <c r="Z47" s="533">
        <f>SYSTRA!P57</f>
        <v>1208357.98</v>
      </c>
      <c r="AA47" s="44">
        <f>Z47*15%</f>
        <v>181253.69699999999</v>
      </c>
      <c r="AB47" s="45">
        <f>Z47+AA47</f>
        <v>1389611.6769999999</v>
      </c>
      <c r="AC47" s="318">
        <v>45839</v>
      </c>
      <c r="AD47" s="533">
        <f>SYSTRA!R57</f>
        <v>517889.02</v>
      </c>
      <c r="AE47" s="44">
        <f>AD47*15%</f>
        <v>77683.353000000003</v>
      </c>
      <c r="AF47" s="45">
        <f>AD47+AE47</f>
        <v>595572.37300000002</v>
      </c>
      <c r="AG47" s="534"/>
      <c r="AH47" s="526"/>
      <c r="AI47" s="526"/>
      <c r="AJ47" s="530"/>
      <c r="AK47" s="528"/>
      <c r="AL47" s="529"/>
      <c r="AM47" s="529"/>
      <c r="AN47" s="535"/>
      <c r="AO47" s="536"/>
      <c r="AP47" s="537"/>
      <c r="AQ47" s="537"/>
      <c r="AR47" s="538"/>
      <c r="AS47" s="536"/>
      <c r="AT47" s="537"/>
      <c r="AU47" s="537"/>
      <c r="AV47" s="538"/>
      <c r="AW47" s="536"/>
      <c r="AX47" s="537"/>
      <c r="AY47" s="537"/>
      <c r="AZ47" s="538"/>
      <c r="BA47" s="536"/>
      <c r="BB47" s="537"/>
      <c r="BC47" s="537"/>
      <c r="BD47" s="538"/>
      <c r="BE47" s="536"/>
      <c r="BF47" s="537"/>
      <c r="BG47" s="537"/>
      <c r="BH47" s="538"/>
      <c r="BI47" s="536"/>
      <c r="BJ47" s="537"/>
      <c r="BK47" s="537"/>
      <c r="BL47" s="539"/>
      <c r="BM47" s="536"/>
      <c r="BN47" s="537"/>
      <c r="BO47" s="537"/>
      <c r="BP47" s="539"/>
      <c r="BQ47" s="540"/>
      <c r="BR47" s="541"/>
      <c r="BS47" s="541"/>
      <c r="BT47" s="542"/>
      <c r="BU47" s="543"/>
      <c r="BV47" s="544"/>
      <c r="BW47" s="545"/>
      <c r="BX47" s="546"/>
      <c r="BY47" s="540"/>
      <c r="BZ47" s="541"/>
      <c r="CA47" s="541"/>
      <c r="CB47" s="542"/>
      <c r="CC47" s="247"/>
      <c r="CD47" s="351"/>
      <c r="CE47" s="351"/>
      <c r="CF47" s="246"/>
      <c r="CG47" s="356"/>
      <c r="CH47" s="351"/>
      <c r="CI47" s="356"/>
      <c r="CJ47" s="246"/>
      <c r="CK47" s="547"/>
      <c r="CL47" s="548"/>
      <c r="CM47" s="547"/>
      <c r="CN47" s="547"/>
      <c r="CO47" s="547"/>
      <c r="CP47" s="547"/>
      <c r="CQ47" s="547"/>
      <c r="CR47" s="547"/>
      <c r="CS47" s="547"/>
      <c r="CT47" s="547"/>
      <c r="CU47" s="547"/>
      <c r="CV47" s="547"/>
      <c r="CW47" s="547"/>
      <c r="CX47" s="547"/>
      <c r="CY47" s="547"/>
      <c r="CZ47" s="547"/>
      <c r="DA47" s="547"/>
      <c r="DB47" s="547"/>
      <c r="DC47" s="547"/>
      <c r="DD47" s="547"/>
      <c r="DE47" s="172"/>
      <c r="DF47" s="152">
        <f>H47</f>
        <v>1726247</v>
      </c>
      <c r="DG47" s="152">
        <f>DF47*15%</f>
        <v>258937.05</v>
      </c>
      <c r="DH47" s="152">
        <f>DF47+DG47</f>
        <v>1985184.05</v>
      </c>
      <c r="DI47" s="1042">
        <f t="shared" si="4"/>
        <v>1726247</v>
      </c>
      <c r="DJ47" s="152">
        <f>Detailed[[#This Row],[Column12]]+Detailed[[#This Row],[Column16]]+Detailed[[#This Row],[Column20]]+Detailed[[#This Row],[Column24]]+Detailed[[#This Row],[Column28]]+Detailed[[#This Row],[Column32]]+Detailed[[#This Row],[Column36]]+Detailed[[#This Row],[Column40]]+Detailed[[#This Row],[Column44]]+Detailed[[#This Row],[Column48]]+Detailed[[#This Row],[Column52]]</f>
        <v>1985184.0499999998</v>
      </c>
      <c r="DK47" s="1045">
        <v>1</v>
      </c>
      <c r="DL47" s="1046">
        <f>DK47*DF47</f>
        <v>1726247</v>
      </c>
      <c r="DM47" s="377">
        <f>DL47-DI47</f>
        <v>0</v>
      </c>
      <c r="DN47" s="178"/>
      <c r="DO47" s="179"/>
      <c r="DP47" s="694">
        <f>DO47-Detailed[[#This Row],[Column66]]</f>
        <v>-1726247</v>
      </c>
      <c r="DQ47" s="694"/>
      <c r="DR47" s="179"/>
      <c r="DS47" s="231">
        <f>DQ47-Detailed[[#This Row],[Column66]]</f>
        <v>-1726247</v>
      </c>
      <c r="DT47" s="179"/>
      <c r="DU47" s="179"/>
      <c r="DV47" s="179"/>
      <c r="DW47" s="179"/>
      <c r="DX47" s="179"/>
      <c r="DY47" s="179"/>
      <c r="DZ47" s="179"/>
      <c r="EA47" s="179"/>
      <c r="EB47" s="179"/>
      <c r="EC47" s="179"/>
      <c r="ED47" s="179"/>
      <c r="EE47" s="179"/>
      <c r="EF47" s="179"/>
      <c r="EG47" s="179"/>
      <c r="EH47" s="179"/>
      <c r="EI47" s="179"/>
      <c r="EJ47" s="179"/>
      <c r="EK47" s="179"/>
      <c r="EL47" s="179"/>
      <c r="EM47" s="179"/>
      <c r="EN47" s="179"/>
      <c r="EO47" s="179"/>
      <c r="EP47" s="179"/>
      <c r="EQ47" s="179"/>
      <c r="ER47" s="179"/>
      <c r="ES47" s="179"/>
      <c r="ET47" s="179"/>
      <c r="EU47" s="179"/>
      <c r="EV47" s="179"/>
      <c r="EW47" s="179"/>
      <c r="EX47" s="179"/>
      <c r="EY47" s="179"/>
      <c r="EZ47" s="179"/>
      <c r="FA47" s="179"/>
      <c r="FB47" s="179"/>
      <c r="FC47" s="179"/>
      <c r="FD47" s="179"/>
      <c r="FE47" s="179"/>
      <c r="FF47" s="179"/>
      <c r="FG47" s="179"/>
      <c r="FH47" s="179"/>
      <c r="FI47" s="179"/>
      <c r="FJ47" s="179"/>
      <c r="FK47" s="179"/>
      <c r="FL47" s="179"/>
      <c r="FM47" s="179"/>
      <c r="FN47" s="179"/>
      <c r="FO47" s="179"/>
      <c r="FP47" s="179"/>
      <c r="FQ47" s="179"/>
      <c r="FR47" s="179"/>
      <c r="FS47" s="179"/>
      <c r="FT47" s="179"/>
      <c r="FU47" s="179"/>
      <c r="FV47" s="179"/>
      <c r="FW47" s="179"/>
      <c r="FX47" s="179"/>
      <c r="FY47" s="179"/>
      <c r="FZ47" s="179"/>
      <c r="GA47" s="179"/>
      <c r="GB47" s="179"/>
      <c r="GC47" s="179"/>
      <c r="GD47" s="179"/>
      <c r="GE47" s="179"/>
      <c r="GF47" s="179"/>
      <c r="GG47" s="179"/>
      <c r="GH47" s="179"/>
      <c r="GI47" s="179"/>
      <c r="GJ47" s="179"/>
      <c r="GK47" s="179"/>
      <c r="GL47" s="179"/>
      <c r="GM47" s="179"/>
      <c r="GN47" s="179"/>
      <c r="GO47" s="179"/>
      <c r="GP47" s="179"/>
      <c r="GQ47" s="179"/>
      <c r="GR47" s="179"/>
      <c r="GS47" s="179"/>
      <c r="GT47" s="179"/>
      <c r="GU47" s="179"/>
      <c r="GV47" s="179"/>
      <c r="GW47" s="179"/>
      <c r="GX47" s="179"/>
      <c r="GY47" s="179"/>
      <c r="GZ47" s="179"/>
      <c r="HA47" s="179"/>
      <c r="HB47" s="179"/>
      <c r="HC47" s="179"/>
      <c r="HD47" s="179"/>
      <c r="HE47" s="179"/>
      <c r="HF47" s="179"/>
      <c r="HG47" s="179"/>
      <c r="HH47" s="179"/>
      <c r="HI47" s="179"/>
      <c r="HJ47" s="179"/>
      <c r="HK47" s="179"/>
      <c r="HL47" s="179"/>
      <c r="HM47" s="179"/>
      <c r="HN47" s="179"/>
      <c r="HO47" s="179"/>
      <c r="HP47" s="179"/>
      <c r="HQ47" s="179"/>
      <c r="HR47" s="179"/>
      <c r="HS47" s="179"/>
      <c r="HT47" s="179"/>
      <c r="HU47" s="179"/>
      <c r="HV47" s="179"/>
      <c r="HW47" s="179"/>
      <c r="HX47" s="179"/>
      <c r="HY47" s="179"/>
      <c r="HZ47" s="179"/>
      <c r="IA47" s="179"/>
      <c r="IB47" s="179"/>
      <c r="IC47" s="179"/>
      <c r="ID47" s="179"/>
      <c r="IE47" s="179"/>
      <c r="IF47" s="179"/>
      <c r="IG47" s="179"/>
      <c r="IH47" s="179"/>
      <c r="II47" s="179"/>
      <c r="IJ47" s="179"/>
      <c r="IK47" s="179"/>
      <c r="IL47" s="179"/>
      <c r="IM47" s="179"/>
      <c r="IN47" s="179"/>
      <c r="IO47" s="179"/>
      <c r="IP47" s="179"/>
      <c r="IQ47" s="179"/>
      <c r="IR47" s="179"/>
      <c r="IS47" s="179"/>
      <c r="IT47" s="179"/>
      <c r="IU47" s="179"/>
      <c r="IV47" s="179"/>
      <c r="IW47" s="179"/>
      <c r="IX47" s="179"/>
      <c r="IY47" s="179"/>
      <c r="IZ47" s="179"/>
      <c r="JA47" s="179"/>
      <c r="JB47" s="179"/>
      <c r="JC47" s="179"/>
      <c r="JD47" s="179"/>
      <c r="JE47" s="179"/>
      <c r="JF47" s="179"/>
      <c r="JG47" s="179"/>
      <c r="JH47" s="179"/>
      <c r="JI47" s="179"/>
    </row>
    <row r="48" spans="1:269" s="175" customFormat="1" ht="16.8" thickTop="1" thickBot="1">
      <c r="A48" s="147" t="s">
        <v>113</v>
      </c>
      <c r="B48" s="57"/>
      <c r="C48" s="140"/>
      <c r="D48" s="141"/>
      <c r="E48" s="141"/>
      <c r="F48" s="142"/>
      <c r="G48" s="58"/>
      <c r="H48" s="524"/>
      <c r="I48" s="318"/>
      <c r="J48" s="55"/>
      <c r="K48" s="202"/>
      <c r="L48" s="67"/>
      <c r="M48" s="318"/>
      <c r="N48" s="55"/>
      <c r="O48" s="202"/>
      <c r="P48" s="56"/>
      <c r="Q48" s="318"/>
      <c r="R48" s="55"/>
      <c r="S48" s="202"/>
      <c r="T48" s="56"/>
      <c r="U48" s="54"/>
      <c r="V48" s="63"/>
      <c r="W48" s="63"/>
      <c r="X48" s="56"/>
      <c r="Y48" s="54"/>
      <c r="Z48" s="63"/>
      <c r="AA48" s="63"/>
      <c r="AB48" s="56"/>
      <c r="AC48" s="54"/>
      <c r="AD48" s="63"/>
      <c r="AE48" s="63"/>
      <c r="AF48" s="56"/>
      <c r="AG48" s="54"/>
      <c r="AH48" s="55"/>
      <c r="AI48" s="55"/>
      <c r="AJ48" s="56"/>
      <c r="AK48" s="64"/>
      <c r="AL48" s="65"/>
      <c r="AM48" s="65"/>
      <c r="AN48" s="305"/>
      <c r="AO48" s="306"/>
      <c r="AP48" s="307"/>
      <c r="AQ48" s="307"/>
      <c r="AR48" s="308"/>
      <c r="AS48" s="306"/>
      <c r="AT48" s="307"/>
      <c r="AU48" s="307"/>
      <c r="AV48" s="308"/>
      <c r="AW48" s="306"/>
      <c r="AX48" s="307"/>
      <c r="AY48" s="307"/>
      <c r="AZ48" s="308"/>
      <c r="BA48" s="306"/>
      <c r="BB48" s="307"/>
      <c r="BC48" s="307"/>
      <c r="BD48" s="308"/>
      <c r="BE48" s="306"/>
      <c r="BF48" s="307"/>
      <c r="BG48" s="307"/>
      <c r="BH48" s="308"/>
      <c r="BI48" s="306"/>
      <c r="BJ48" s="307"/>
      <c r="BK48" s="307"/>
      <c r="BL48" s="309"/>
      <c r="BM48" s="306"/>
      <c r="BN48" s="307"/>
      <c r="BO48" s="307"/>
      <c r="BP48" s="308"/>
      <c r="BQ48" s="304"/>
      <c r="BR48" s="337"/>
      <c r="BS48" s="337"/>
      <c r="BT48" s="310"/>
      <c r="BU48" s="341"/>
      <c r="BV48" s="325"/>
      <c r="BW48" s="335"/>
      <c r="BX48" s="363"/>
      <c r="BY48" s="304"/>
      <c r="BZ48" s="337"/>
      <c r="CA48" s="337"/>
      <c r="CB48" s="310"/>
      <c r="CC48" s="328"/>
      <c r="CD48" s="352"/>
      <c r="CE48" s="352"/>
      <c r="CF48" s="311"/>
      <c r="CG48" s="357"/>
      <c r="CH48" s="352"/>
      <c r="CI48" s="357"/>
      <c r="CJ48" s="311"/>
      <c r="CK48" s="357"/>
      <c r="CL48" s="352"/>
      <c r="CM48" s="357"/>
      <c r="CN48" s="311"/>
      <c r="CO48" s="311"/>
      <c r="CP48" s="311"/>
      <c r="CQ48" s="311"/>
      <c r="CR48" s="311"/>
      <c r="CS48" s="311"/>
      <c r="CT48" s="311"/>
      <c r="CU48" s="311"/>
      <c r="CV48" s="311"/>
      <c r="CW48" s="311"/>
      <c r="CX48" s="311"/>
      <c r="CY48" s="311"/>
      <c r="CZ48" s="311"/>
      <c r="DA48" s="311"/>
      <c r="DB48" s="311"/>
      <c r="DC48" s="311"/>
      <c r="DD48" s="311"/>
      <c r="DE48" s="222"/>
      <c r="DF48" s="1070"/>
      <c r="DG48" s="1071"/>
      <c r="DH48" s="1071"/>
      <c r="DI48" s="1059">
        <f t="shared" si="4"/>
        <v>0</v>
      </c>
      <c r="DJ48" s="1071"/>
      <c r="DK48" s="1072"/>
      <c r="DL48" s="1073"/>
      <c r="DM48" s="1062"/>
      <c r="DN48" s="178"/>
      <c r="DO48" s="179"/>
      <c r="DP48" s="694">
        <f>DO48-Detailed[[#This Row],[Column66]]</f>
        <v>0</v>
      </c>
      <c r="DQ48" s="694">
        <v>6041664.6000000006</v>
      </c>
      <c r="DR48" s="179"/>
      <c r="DS48" s="231">
        <f>DQ48-Detailed[[#This Row],[Column66]]</f>
        <v>6041664.6000000006</v>
      </c>
      <c r="DT48" s="179"/>
      <c r="DU48" s="179"/>
      <c r="DV48" s="179"/>
      <c r="DW48" s="179"/>
      <c r="DX48" s="179"/>
      <c r="DY48" s="179"/>
      <c r="DZ48" s="179"/>
      <c r="EA48" s="179"/>
      <c r="EB48" s="179"/>
      <c r="EC48" s="179"/>
      <c r="ED48" s="179"/>
      <c r="EE48" s="179"/>
      <c r="EF48" s="179"/>
      <c r="EG48" s="179"/>
      <c r="EH48" s="179"/>
      <c r="EI48" s="179"/>
      <c r="EJ48" s="179"/>
      <c r="EK48" s="179"/>
      <c r="EL48" s="179"/>
      <c r="EM48" s="179"/>
      <c r="EN48" s="179"/>
      <c r="EO48" s="179"/>
      <c r="EP48" s="179"/>
      <c r="EQ48" s="179"/>
      <c r="ER48" s="179"/>
      <c r="ES48" s="179"/>
      <c r="ET48" s="179"/>
      <c r="EU48" s="179"/>
      <c r="EV48" s="179"/>
      <c r="EW48" s="179"/>
      <c r="EX48" s="179"/>
      <c r="EY48" s="179"/>
      <c r="EZ48" s="179"/>
      <c r="FA48" s="179"/>
      <c r="FB48" s="179"/>
      <c r="FC48" s="179"/>
      <c r="FD48" s="179"/>
      <c r="FE48" s="179"/>
      <c r="FF48" s="179"/>
      <c r="FG48" s="179"/>
      <c r="FH48" s="179"/>
      <c r="FI48" s="179"/>
      <c r="FJ48" s="179"/>
      <c r="FK48" s="179"/>
      <c r="FL48" s="179"/>
      <c r="FM48" s="179"/>
      <c r="FN48" s="179"/>
      <c r="FO48" s="179"/>
      <c r="FP48" s="179"/>
      <c r="FQ48" s="179"/>
      <c r="FR48" s="179"/>
      <c r="FS48" s="179"/>
      <c r="FT48" s="179"/>
      <c r="FU48" s="179"/>
      <c r="FV48" s="179"/>
      <c r="FW48" s="179"/>
      <c r="FX48" s="179"/>
      <c r="FY48" s="179"/>
      <c r="FZ48" s="179"/>
      <c r="GA48" s="179"/>
      <c r="GB48" s="179"/>
      <c r="GC48" s="179"/>
      <c r="GD48" s="179"/>
      <c r="GE48" s="179"/>
      <c r="GF48" s="179"/>
      <c r="GG48" s="179"/>
      <c r="GH48" s="179"/>
      <c r="GI48" s="179"/>
      <c r="GJ48" s="179"/>
      <c r="GK48" s="179"/>
      <c r="GL48" s="179"/>
      <c r="GM48" s="179"/>
      <c r="GN48" s="179"/>
      <c r="GO48" s="179"/>
      <c r="GP48" s="179"/>
      <c r="GQ48" s="179"/>
      <c r="GR48" s="179"/>
      <c r="GS48" s="179"/>
      <c r="GT48" s="179"/>
      <c r="GU48" s="179"/>
      <c r="GV48" s="179"/>
      <c r="GW48" s="179"/>
      <c r="GX48" s="179"/>
      <c r="GY48" s="179"/>
      <c r="GZ48" s="179"/>
      <c r="HA48" s="179"/>
      <c r="HB48" s="179"/>
      <c r="HC48" s="179"/>
      <c r="HD48" s="179"/>
      <c r="HE48" s="179"/>
      <c r="HF48" s="179"/>
      <c r="HG48" s="179"/>
      <c r="HH48" s="179"/>
      <c r="HI48" s="179"/>
      <c r="HJ48" s="179"/>
      <c r="HK48" s="179"/>
      <c r="HL48" s="179"/>
      <c r="HM48" s="179"/>
      <c r="HN48" s="179"/>
      <c r="HO48" s="179"/>
      <c r="HP48" s="179"/>
      <c r="HQ48" s="179"/>
      <c r="HR48" s="179"/>
      <c r="HS48" s="179"/>
      <c r="HT48" s="179"/>
      <c r="HU48" s="179"/>
      <c r="HV48" s="179"/>
      <c r="HW48" s="179"/>
      <c r="HX48" s="179"/>
      <c r="HY48" s="179"/>
      <c r="HZ48" s="179"/>
      <c r="IA48" s="179"/>
      <c r="IB48" s="179"/>
      <c r="IC48" s="179"/>
      <c r="ID48" s="179"/>
      <c r="IE48" s="179"/>
      <c r="IF48" s="179"/>
      <c r="IG48" s="179"/>
      <c r="IH48" s="179"/>
      <c r="II48" s="179"/>
      <c r="IJ48" s="179"/>
      <c r="IK48" s="179"/>
      <c r="IL48" s="179"/>
      <c r="IM48" s="179"/>
      <c r="IN48" s="179"/>
      <c r="IO48" s="179"/>
      <c r="IP48" s="179"/>
      <c r="IQ48" s="179"/>
      <c r="IR48" s="179"/>
      <c r="IS48" s="179"/>
      <c r="IT48" s="179"/>
      <c r="IU48" s="179"/>
      <c r="IV48" s="179"/>
      <c r="IW48" s="179"/>
      <c r="IX48" s="179"/>
      <c r="IY48" s="179"/>
      <c r="IZ48" s="179"/>
      <c r="JA48" s="179"/>
      <c r="JB48" s="179"/>
      <c r="JC48" s="179"/>
      <c r="JD48" s="179"/>
      <c r="JE48" s="179"/>
      <c r="JF48" s="179"/>
      <c r="JG48" s="179"/>
      <c r="JH48" s="179"/>
      <c r="JI48" s="179"/>
    </row>
    <row r="49" spans="1:269" s="179" customFormat="1" ht="16.8" thickTop="1" thickBot="1">
      <c r="A49" s="147" t="s">
        <v>113</v>
      </c>
      <c r="B49" s="85"/>
      <c r="C49" s="766"/>
      <c r="D49" s="767"/>
      <c r="E49" s="186"/>
      <c r="F49" s="187"/>
      <c r="G49" s="86"/>
      <c r="H49" s="87"/>
      <c r="I49" s="319"/>
      <c r="J49" s="345">
        <f>SUM(J43:J48)</f>
        <v>672697.82000000007</v>
      </c>
      <c r="K49" s="203"/>
      <c r="L49" s="320">
        <f>SUM(L43:L48)</f>
        <v>773602.49300000002</v>
      </c>
      <c r="M49" s="319"/>
      <c r="N49" s="345">
        <f>SUM(N43:N48)</f>
        <v>1681772</v>
      </c>
      <c r="O49" s="203"/>
      <c r="P49" s="320">
        <f>SUM(P43:P48)</f>
        <v>1934037.8</v>
      </c>
      <c r="Q49" s="319"/>
      <c r="R49" s="345">
        <f>SUM(R43:R48)</f>
        <v>1345449</v>
      </c>
      <c r="S49" s="203"/>
      <c r="T49" s="320">
        <f>SUM(T43:T48)</f>
        <v>1547266.35</v>
      </c>
      <c r="U49" s="91"/>
      <c r="V49" s="345">
        <f>SUM(V43:V48)</f>
        <v>2341745.7800000003</v>
      </c>
      <c r="W49" s="203"/>
      <c r="X49" s="345">
        <f>SUM(X43:X48)</f>
        <v>2693007.6469999999</v>
      </c>
      <c r="Y49" s="91"/>
      <c r="Z49" s="345">
        <f>SUM(Z43:Z48)</f>
        <v>3353640.73</v>
      </c>
      <c r="AA49" s="203"/>
      <c r="AB49" s="345">
        <f>SUM(AB43:AB48)</f>
        <v>3856686.8394999998</v>
      </c>
      <c r="AC49" s="91"/>
      <c r="AD49" s="345">
        <f>SUM(AD43:AD48)</f>
        <v>3018435.67</v>
      </c>
      <c r="AE49" s="203"/>
      <c r="AF49" s="345">
        <f>SUM(AF43:AF48)</f>
        <v>3471201.0205000001</v>
      </c>
      <c r="AG49" s="91"/>
      <c r="AH49" s="93"/>
      <c r="AI49" s="93"/>
      <c r="AJ49" s="94"/>
      <c r="AK49" s="88"/>
      <c r="AL49" s="89"/>
      <c r="AM49" s="89"/>
      <c r="AN49" s="312"/>
      <c r="AO49" s="313"/>
      <c r="AP49" s="314"/>
      <c r="AQ49" s="314"/>
      <c r="AR49" s="315"/>
      <c r="AS49" s="313"/>
      <c r="AT49" s="314"/>
      <c r="AU49" s="314"/>
      <c r="AV49" s="315"/>
      <c r="AW49" s="313"/>
      <c r="AX49" s="314"/>
      <c r="AY49" s="314"/>
      <c r="AZ49" s="315"/>
      <c r="BA49" s="313"/>
      <c r="BB49" s="314"/>
      <c r="BC49" s="314"/>
      <c r="BD49" s="315"/>
      <c r="BE49" s="313"/>
      <c r="BF49" s="314"/>
      <c r="BG49" s="314"/>
      <c r="BH49" s="315"/>
      <c r="BI49" s="313"/>
      <c r="BJ49" s="314"/>
      <c r="BK49" s="314"/>
      <c r="BL49" s="316"/>
      <c r="BM49" s="313"/>
      <c r="BN49" s="314"/>
      <c r="BO49" s="314"/>
      <c r="BP49" s="315"/>
      <c r="BQ49" s="317"/>
      <c r="BR49" s="347"/>
      <c r="BS49" s="347"/>
      <c r="BT49" s="211"/>
      <c r="BU49" s="342"/>
      <c r="BV49" s="338"/>
      <c r="BW49" s="93"/>
      <c r="BX49" s="364"/>
      <c r="BY49" s="317"/>
      <c r="BZ49" s="347"/>
      <c r="CA49" s="347"/>
      <c r="CB49" s="211"/>
      <c r="CC49" s="249"/>
      <c r="CD49" s="353"/>
      <c r="CE49" s="353"/>
      <c r="CF49" s="360"/>
      <c r="CG49" s="358"/>
      <c r="CH49" s="353"/>
      <c r="CI49" s="358"/>
      <c r="CJ49" s="249"/>
      <c r="CK49" s="358"/>
      <c r="CL49" s="353"/>
      <c r="CM49" s="358"/>
      <c r="CN49" s="249"/>
      <c r="CO49" s="249"/>
      <c r="CP49" s="249"/>
      <c r="CQ49" s="249"/>
      <c r="CR49" s="249"/>
      <c r="CS49" s="249"/>
      <c r="CT49" s="249"/>
      <c r="CU49" s="249"/>
      <c r="CV49" s="249"/>
      <c r="CW49" s="249"/>
      <c r="CX49" s="249"/>
      <c r="CY49" s="249"/>
      <c r="CZ49" s="249"/>
      <c r="DA49" s="249"/>
      <c r="DB49" s="249"/>
      <c r="DC49" s="249"/>
      <c r="DD49" s="249"/>
      <c r="DE49" s="1031"/>
      <c r="DF49" s="1074">
        <f>SUM(DF43:DF47)</f>
        <v>15054089</v>
      </c>
      <c r="DG49" s="393">
        <f>SUM(DG43:DG47)</f>
        <v>2258113.3499999996</v>
      </c>
      <c r="DH49" s="393">
        <f>SUM(DH43:DH47)</f>
        <v>17312202.350000001</v>
      </c>
      <c r="DI49" s="393">
        <f t="shared" si="4"/>
        <v>12413741</v>
      </c>
      <c r="DJ49" s="393">
        <f>SUM(DJ43:DJ47)</f>
        <v>14275802.149999999</v>
      </c>
      <c r="DK49" s="394"/>
      <c r="DL49" s="393">
        <f>SUM(DL43:DL47)</f>
        <v>15054089</v>
      </c>
      <c r="DM49" s="1075">
        <f>SUM(DM43:DM47)</f>
        <v>2640348</v>
      </c>
      <c r="DN49" s="178"/>
      <c r="DP49" s="694"/>
      <c r="DQ49" s="694"/>
      <c r="DS49" s="231">
        <f>DQ49-Detailed[[#This Row],[Column66]]</f>
        <v>-12413741</v>
      </c>
    </row>
    <row r="50" spans="1:269" ht="16.8" thickTop="1" thickBot="1">
      <c r="A50" s="145" t="s">
        <v>235</v>
      </c>
      <c r="B50" s="57"/>
      <c r="C50" s="768"/>
      <c r="D50" s="180"/>
      <c r="E50" s="180"/>
      <c r="F50" s="180"/>
      <c r="G50" s="464" t="s">
        <v>117</v>
      </c>
      <c r="H50" s="98">
        <f>F9</f>
        <v>19979840</v>
      </c>
      <c r="I50" s="318"/>
      <c r="J50" s="55"/>
      <c r="K50" s="202"/>
      <c r="L50" s="67"/>
      <c r="M50" s="64"/>
      <c r="N50" s="65"/>
      <c r="O50" s="68"/>
      <c r="P50" s="56"/>
      <c r="Q50" s="68"/>
      <c r="R50" s="69"/>
      <c r="S50" s="69"/>
      <c r="T50" s="63"/>
      <c r="U50" s="54"/>
      <c r="V50" s="63"/>
      <c r="W50" s="63"/>
      <c r="X50" s="56"/>
      <c r="Y50" s="54"/>
      <c r="Z50" s="63"/>
      <c r="AA50" s="63"/>
      <c r="AB50" s="56"/>
      <c r="AC50" s="54"/>
      <c r="AD50" s="63"/>
      <c r="AE50" s="63"/>
      <c r="AF50" s="56"/>
      <c r="AG50" s="54"/>
      <c r="AH50" s="55"/>
      <c r="AI50" s="55"/>
      <c r="AJ50" s="56"/>
      <c r="AK50" s="64"/>
      <c r="AL50" s="65"/>
      <c r="AM50" s="65"/>
      <c r="AN50" s="305"/>
      <c r="AO50" s="306"/>
      <c r="AP50" s="307"/>
      <c r="AQ50" s="307"/>
      <c r="AR50" s="308"/>
      <c r="AS50" s="306"/>
      <c r="AT50" s="307"/>
      <c r="AU50" s="307"/>
      <c r="AV50" s="308"/>
      <c r="AW50" s="306"/>
      <c r="AX50" s="307"/>
      <c r="AY50" s="307"/>
      <c r="AZ50" s="308"/>
      <c r="BA50" s="306"/>
      <c r="BB50" s="307"/>
      <c r="BC50" s="307"/>
      <c r="BD50" s="308"/>
      <c r="BE50" s="306"/>
      <c r="BF50" s="307"/>
      <c r="BG50" s="307"/>
      <c r="BH50" s="308"/>
      <c r="BI50" s="306"/>
      <c r="BJ50" s="307"/>
      <c r="BK50" s="307"/>
      <c r="BL50" s="309"/>
      <c r="BM50" s="306"/>
      <c r="BN50" s="307"/>
      <c r="BO50" s="307"/>
      <c r="BP50" s="308"/>
      <c r="BQ50" s="304"/>
      <c r="BR50" s="337"/>
      <c r="BS50" s="337"/>
      <c r="BT50" s="210"/>
      <c r="BU50" s="50"/>
      <c r="BV50" s="201"/>
      <c r="BW50" s="46"/>
      <c r="BX50" s="208"/>
      <c r="BY50" s="304"/>
      <c r="BZ50" s="337"/>
      <c r="CA50" s="337"/>
      <c r="CB50" s="210"/>
      <c r="CC50" s="247"/>
      <c r="CD50" s="351"/>
      <c r="CE50" s="351"/>
      <c r="CF50" s="245"/>
      <c r="CG50" s="356"/>
      <c r="CH50" s="351"/>
      <c r="CI50" s="356"/>
      <c r="CJ50" s="246"/>
      <c r="CK50" s="356"/>
      <c r="CL50" s="351"/>
      <c r="CM50" s="356"/>
      <c r="CN50" s="246"/>
      <c r="CO50" s="246"/>
      <c r="CP50" s="246"/>
      <c r="CQ50" s="246"/>
      <c r="CR50" s="246"/>
      <c r="CS50" s="246"/>
      <c r="CT50" s="246"/>
      <c r="CU50" s="246"/>
      <c r="CV50" s="246"/>
      <c r="CW50" s="246"/>
      <c r="CX50" s="246"/>
      <c r="CY50" s="246"/>
      <c r="CZ50" s="246"/>
      <c r="DA50" s="246"/>
      <c r="DB50" s="246"/>
      <c r="DC50" s="246"/>
      <c r="DD50" s="246"/>
      <c r="DE50" s="222"/>
      <c r="DF50" s="1076"/>
      <c r="DG50" s="1066"/>
      <c r="DH50" s="1066"/>
      <c r="DI50" s="1065">
        <f t="shared" si="4"/>
        <v>0</v>
      </c>
      <c r="DJ50" s="1066"/>
      <c r="DK50" s="1077"/>
      <c r="DL50" s="1078"/>
      <c r="DM50" s="1079"/>
      <c r="DN50" s="178"/>
      <c r="DO50" s="179"/>
      <c r="DP50" s="694">
        <f>DO50-Detailed[[#This Row],[Column66]]</f>
        <v>0</v>
      </c>
      <c r="DQ50" s="694">
        <v>4360269.9999949997</v>
      </c>
      <c r="DR50" s="179"/>
      <c r="DS50" s="231">
        <f>DQ50-Detailed[[#This Row],[Column66]]</f>
        <v>4360269.9999949997</v>
      </c>
      <c r="DT50" s="179"/>
      <c r="DU50" s="179"/>
      <c r="DV50" s="179"/>
      <c r="DW50" s="179"/>
      <c r="DX50" s="179"/>
      <c r="DY50" s="179"/>
      <c r="DZ50" s="179"/>
      <c r="EA50" s="179"/>
      <c r="EB50" s="179"/>
      <c r="EC50" s="179"/>
      <c r="ED50" s="179"/>
      <c r="EE50" s="179"/>
      <c r="EF50" s="179"/>
      <c r="EG50" s="179"/>
      <c r="EH50" s="179"/>
      <c r="EI50" s="179"/>
      <c r="EJ50" s="179"/>
      <c r="EK50" s="179"/>
      <c r="EL50" s="179"/>
      <c r="EM50" s="179"/>
      <c r="EN50" s="179"/>
      <c r="EO50" s="179"/>
      <c r="EP50" s="179"/>
      <c r="EQ50" s="179"/>
      <c r="ER50" s="179"/>
      <c r="ES50" s="179"/>
      <c r="ET50" s="179"/>
      <c r="EU50" s="179"/>
      <c r="EV50" s="179"/>
      <c r="EW50" s="179"/>
      <c r="EX50" s="179"/>
      <c r="EY50" s="179"/>
      <c r="EZ50" s="179"/>
      <c r="FA50" s="179"/>
      <c r="FB50" s="179"/>
      <c r="FC50" s="179"/>
      <c r="FD50" s="179"/>
      <c r="FE50" s="179"/>
      <c r="FF50" s="179"/>
      <c r="FG50" s="179"/>
      <c r="FH50" s="179"/>
      <c r="FI50" s="179"/>
      <c r="FJ50" s="179"/>
      <c r="FK50" s="179"/>
      <c r="FL50" s="179"/>
      <c r="FM50" s="179"/>
      <c r="FN50" s="179"/>
      <c r="FO50" s="179"/>
      <c r="FP50" s="179"/>
      <c r="FQ50" s="179"/>
      <c r="FR50" s="179"/>
      <c r="FS50" s="179"/>
      <c r="FT50" s="179"/>
      <c r="FU50" s="179"/>
      <c r="FV50" s="179"/>
      <c r="FW50" s="179"/>
      <c r="FX50" s="179"/>
      <c r="FY50" s="179"/>
      <c r="FZ50" s="179"/>
      <c r="GA50" s="179"/>
      <c r="GB50" s="179"/>
      <c r="GC50" s="179"/>
      <c r="GD50" s="179"/>
      <c r="GE50" s="179"/>
      <c r="GF50" s="179"/>
      <c r="GG50" s="179"/>
      <c r="GH50" s="179"/>
      <c r="GI50" s="179"/>
      <c r="GJ50" s="179"/>
      <c r="GK50" s="179"/>
      <c r="GL50" s="179"/>
      <c r="GM50" s="179"/>
      <c r="GN50" s="179"/>
      <c r="GO50" s="179"/>
      <c r="GP50" s="179"/>
      <c r="GQ50" s="179"/>
      <c r="GR50" s="179"/>
      <c r="GS50" s="179"/>
      <c r="GT50" s="179"/>
      <c r="GU50" s="179"/>
      <c r="GV50" s="179"/>
      <c r="GW50" s="179"/>
      <c r="GX50" s="179"/>
      <c r="GY50" s="179"/>
      <c r="GZ50" s="179"/>
      <c r="HA50" s="179"/>
      <c r="HB50" s="179"/>
      <c r="HC50" s="179"/>
      <c r="HD50" s="179"/>
      <c r="HE50" s="179"/>
      <c r="HF50" s="179"/>
      <c r="HG50" s="179"/>
      <c r="HH50" s="179"/>
      <c r="HI50" s="179"/>
      <c r="HJ50" s="179"/>
      <c r="HK50" s="179"/>
      <c r="HL50" s="179"/>
      <c r="HM50" s="179"/>
      <c r="HN50" s="179"/>
      <c r="HO50" s="179"/>
      <c r="HP50" s="179"/>
      <c r="HQ50" s="179"/>
      <c r="HR50" s="179"/>
      <c r="HS50" s="179"/>
      <c r="HT50" s="179"/>
      <c r="HU50" s="179"/>
      <c r="HV50" s="179"/>
      <c r="HW50" s="179"/>
      <c r="HX50" s="179"/>
      <c r="HY50" s="179"/>
      <c r="HZ50" s="179"/>
      <c r="IA50" s="179"/>
      <c r="IB50" s="179"/>
      <c r="IC50" s="179"/>
      <c r="ID50" s="179"/>
      <c r="IE50" s="179"/>
      <c r="IF50" s="179"/>
      <c r="IG50" s="179"/>
      <c r="IH50" s="179"/>
      <c r="II50" s="179"/>
      <c r="IJ50" s="179"/>
      <c r="IK50" s="179"/>
      <c r="IL50" s="179"/>
      <c r="IM50" s="179"/>
      <c r="IN50" s="179"/>
      <c r="IO50" s="179"/>
      <c r="IP50" s="179"/>
      <c r="IQ50" s="179"/>
      <c r="IR50" s="179"/>
      <c r="IS50" s="179"/>
      <c r="IT50" s="179"/>
      <c r="IU50" s="179"/>
      <c r="IV50" s="179"/>
      <c r="IW50" s="179"/>
      <c r="IX50" s="179"/>
      <c r="IY50" s="179"/>
      <c r="IZ50" s="179"/>
      <c r="JA50" s="179"/>
      <c r="JB50" s="179"/>
      <c r="JC50" s="179"/>
      <c r="JD50" s="179"/>
      <c r="JE50" s="179"/>
      <c r="JF50" s="179"/>
      <c r="JG50" s="179"/>
      <c r="JH50" s="179"/>
      <c r="JI50" s="179"/>
    </row>
    <row r="51" spans="1:269" ht="18" customHeight="1" thickTop="1">
      <c r="A51" s="194" t="s">
        <v>235</v>
      </c>
      <c r="B51" s="38">
        <v>1</v>
      </c>
      <c r="C51" s="765" t="s">
        <v>118</v>
      </c>
      <c r="D51" s="176"/>
      <c r="E51" s="176"/>
      <c r="F51" s="177"/>
      <c r="G51" s="42" t="s">
        <v>119</v>
      </c>
      <c r="H51" s="43">
        <v>4360270</v>
      </c>
      <c r="I51" s="318">
        <v>45496</v>
      </c>
      <c r="J51" s="55">
        <f>'EGEC - NIS2'!M17</f>
        <v>1395290.5</v>
      </c>
      <c r="K51" s="202">
        <f>J51*15%</f>
        <v>209293.57499999998</v>
      </c>
      <c r="L51" s="67">
        <f>J51+K51</f>
        <v>1604584.075</v>
      </c>
      <c r="M51" s="318">
        <v>45532</v>
      </c>
      <c r="N51" s="55">
        <f>'EGEC - NIS2'!O17</f>
        <v>1874916.3899949999</v>
      </c>
      <c r="O51" s="202">
        <f>N51*15%</f>
        <v>281237.45849924994</v>
      </c>
      <c r="P51" s="47">
        <f>N51+O51</f>
        <v>2156153.8484942499</v>
      </c>
      <c r="Q51" s="120"/>
      <c r="R51" s="131"/>
      <c r="S51" s="131"/>
      <c r="T51" s="51"/>
      <c r="U51" s="50"/>
      <c r="V51" s="51"/>
      <c r="W51" s="51"/>
      <c r="X51" s="47"/>
      <c r="Y51" s="318">
        <v>45626</v>
      </c>
      <c r="Z51" s="51">
        <f>'EGEC - NIS2'!Q17</f>
        <v>872049.61</v>
      </c>
      <c r="AA51" s="202">
        <f>Z51*15%</f>
        <v>130807.44149999999</v>
      </c>
      <c r="AB51" s="47">
        <f>Z51+AA51</f>
        <v>1002857.0514999999</v>
      </c>
      <c r="AC51" s="318">
        <v>45651</v>
      </c>
      <c r="AD51" s="51">
        <f>'EGEC - NIS2'!S17</f>
        <v>218013.5</v>
      </c>
      <c r="AE51" s="202">
        <f>AD51*15%</f>
        <v>32702.024999999998</v>
      </c>
      <c r="AF51" s="47">
        <f>AD51+AE51</f>
        <v>250715.52499999999</v>
      </c>
      <c r="AG51" s="50"/>
      <c r="AH51" s="46"/>
      <c r="AI51" s="46"/>
      <c r="AJ51" s="47"/>
      <c r="AK51" s="52"/>
      <c r="AL51" s="53"/>
      <c r="AM51" s="53"/>
      <c r="AN51" s="303"/>
      <c r="AO51" s="321"/>
      <c r="AP51" s="322"/>
      <c r="AQ51" s="322"/>
      <c r="AR51" s="323"/>
      <c r="AS51" s="321"/>
      <c r="AT51" s="322"/>
      <c r="AU51" s="322"/>
      <c r="AV51" s="323"/>
      <c r="AW51" s="321"/>
      <c r="AX51" s="322"/>
      <c r="AY51" s="322"/>
      <c r="AZ51" s="323"/>
      <c r="BA51" s="321"/>
      <c r="BB51" s="322"/>
      <c r="BC51" s="322"/>
      <c r="BD51" s="323"/>
      <c r="BE51" s="321"/>
      <c r="BF51" s="322"/>
      <c r="BG51" s="322"/>
      <c r="BH51" s="323"/>
      <c r="BI51" s="321"/>
      <c r="BJ51" s="322"/>
      <c r="BK51" s="322"/>
      <c r="BL51" s="324"/>
      <c r="BM51" s="321"/>
      <c r="BN51" s="322"/>
      <c r="BO51" s="322"/>
      <c r="BP51" s="323"/>
      <c r="BQ51" s="304"/>
      <c r="BR51" s="337"/>
      <c r="BS51" s="337"/>
      <c r="BT51" s="209"/>
      <c r="BU51" s="54"/>
      <c r="BV51" s="200"/>
      <c r="BW51" s="55"/>
      <c r="BX51" s="207"/>
      <c r="BY51" s="304"/>
      <c r="BZ51" s="337"/>
      <c r="CA51" s="337"/>
      <c r="CB51" s="209"/>
      <c r="CC51" s="247"/>
      <c r="CD51" s="351"/>
      <c r="CE51" s="351"/>
      <c r="CF51" s="245"/>
      <c r="CG51" s="356"/>
      <c r="CH51" s="351"/>
      <c r="CI51" s="356"/>
      <c r="CJ51" s="246"/>
      <c r="CK51" s="356"/>
      <c r="CL51" s="351"/>
      <c r="CM51" s="356"/>
      <c r="CN51" s="246"/>
      <c r="CO51" s="246"/>
      <c r="CP51" s="246"/>
      <c r="CQ51" s="246"/>
      <c r="CR51" s="246"/>
      <c r="CS51" s="246"/>
      <c r="CT51" s="246"/>
      <c r="CU51" s="246"/>
      <c r="CV51" s="246"/>
      <c r="CW51" s="246"/>
      <c r="CX51" s="246"/>
      <c r="CY51" s="246"/>
      <c r="CZ51" s="246"/>
      <c r="DA51" s="246"/>
      <c r="DB51" s="246"/>
      <c r="DC51" s="246"/>
      <c r="DD51" s="246"/>
      <c r="DE51" s="161"/>
      <c r="DF51" s="128">
        <f t="shared" ref="DF51:DF64" si="9">H51</f>
        <v>4360270</v>
      </c>
      <c r="DG51" s="128">
        <f t="shared" ref="DG51:DG66" si="10">DF51*15%</f>
        <v>654040.5</v>
      </c>
      <c r="DH51" s="128">
        <f t="shared" ref="DH51:DH66" si="11">DF51+DG51</f>
        <v>5014310.5</v>
      </c>
      <c r="DI51" s="391">
        <f t="shared" si="4"/>
        <v>4360269.9999949997</v>
      </c>
      <c r="DJ51" s="128">
        <f>L51+P51+T51+X51+AB51+AF51+AJ51+AN51+AR51+Detailed[[#This Row],[Column48]]+Detailed[[#This Row],[Column52]]+Detailed[[#This Row],[Column56]]+Detailed[[#This Row],[Column60]]+Detailed[[#This Row],[Column64]]+Detailed[[#This Row],[Column71]]+Detailed[[#This Row],[Column75]]+Detailed[[#This Row],[Column80]]</f>
        <v>5014310.49999425</v>
      </c>
      <c r="DK51" s="183">
        <v>1</v>
      </c>
      <c r="DL51" s="184">
        <f t="shared" ref="DL51:DL66" si="12">DK51*DF51</f>
        <v>4360270</v>
      </c>
      <c r="DM51" s="377">
        <f t="shared" ref="DM51:DM66" si="13">DL51-DI51</f>
        <v>5.0002709031105042E-6</v>
      </c>
      <c r="DN51" s="178"/>
      <c r="DO51" s="179"/>
      <c r="DP51" s="694">
        <f>DO51-Detailed[[#This Row],[Column66]]</f>
        <v>-4360269.9999949997</v>
      </c>
      <c r="DQ51" s="694">
        <v>1116225</v>
      </c>
      <c r="DR51" s="179"/>
      <c r="DS51" s="231">
        <f>DQ51-Detailed[[#This Row],[Column66]]</f>
        <v>-3244044.9999949997</v>
      </c>
      <c r="DT51" s="179"/>
      <c r="DU51" s="179"/>
      <c r="DV51" s="179"/>
      <c r="DW51" s="179"/>
      <c r="DX51" s="179"/>
      <c r="DY51" s="179"/>
      <c r="DZ51" s="179"/>
      <c r="EA51" s="179"/>
      <c r="EB51" s="179"/>
      <c r="EC51" s="179"/>
      <c r="ED51" s="179"/>
      <c r="EE51" s="179"/>
      <c r="EF51" s="179"/>
      <c r="EG51" s="179"/>
      <c r="EH51" s="179"/>
      <c r="EI51" s="179"/>
      <c r="EJ51" s="179"/>
      <c r="EK51" s="179"/>
      <c r="EL51" s="179"/>
      <c r="EM51" s="179"/>
      <c r="EN51" s="179"/>
      <c r="EO51" s="179"/>
      <c r="EP51" s="179"/>
      <c r="EQ51" s="179"/>
      <c r="ER51" s="179"/>
      <c r="ES51" s="179"/>
      <c r="ET51" s="179"/>
      <c r="EU51" s="179"/>
      <c r="EV51" s="179"/>
      <c r="EW51" s="179"/>
      <c r="EX51" s="179"/>
      <c r="EY51" s="179"/>
      <c r="EZ51" s="179"/>
      <c r="FA51" s="179"/>
      <c r="FB51" s="179"/>
      <c r="FC51" s="179"/>
      <c r="FD51" s="179"/>
      <c r="FE51" s="179"/>
      <c r="FF51" s="179"/>
      <c r="FG51" s="179"/>
      <c r="FH51" s="179"/>
      <c r="FI51" s="179"/>
      <c r="FJ51" s="179"/>
      <c r="FK51" s="179"/>
      <c r="FL51" s="179"/>
      <c r="FM51" s="179"/>
      <c r="FN51" s="179"/>
      <c r="FO51" s="179"/>
      <c r="FP51" s="179"/>
      <c r="FQ51" s="179"/>
      <c r="FR51" s="179"/>
      <c r="FS51" s="179"/>
      <c r="FT51" s="179"/>
      <c r="FU51" s="179"/>
      <c r="FV51" s="179"/>
      <c r="FW51" s="179"/>
      <c r="FX51" s="179"/>
      <c r="FY51" s="179"/>
      <c r="FZ51" s="179"/>
      <c r="GA51" s="179"/>
      <c r="GB51" s="179"/>
      <c r="GC51" s="179"/>
      <c r="GD51" s="179"/>
      <c r="GE51" s="179"/>
      <c r="GF51" s="179"/>
      <c r="GG51" s="179"/>
      <c r="GH51" s="179"/>
      <c r="GI51" s="179"/>
      <c r="GJ51" s="179"/>
      <c r="GK51" s="179"/>
      <c r="GL51" s="179"/>
      <c r="GM51" s="179"/>
      <c r="GN51" s="179"/>
      <c r="GO51" s="179"/>
      <c r="GP51" s="179"/>
      <c r="GQ51" s="179"/>
      <c r="GR51" s="179"/>
      <c r="GS51" s="179"/>
      <c r="GT51" s="179"/>
      <c r="GU51" s="179"/>
      <c r="GV51" s="179"/>
      <c r="GW51" s="179"/>
      <c r="GX51" s="179"/>
      <c r="GY51" s="179"/>
      <c r="GZ51" s="179"/>
      <c r="HA51" s="179"/>
      <c r="HB51" s="179"/>
      <c r="HC51" s="179"/>
      <c r="HD51" s="179"/>
      <c r="HE51" s="179"/>
      <c r="HF51" s="179"/>
      <c r="HG51" s="179"/>
      <c r="HH51" s="179"/>
      <c r="HI51" s="179"/>
      <c r="HJ51" s="179"/>
      <c r="HK51" s="179"/>
      <c r="HL51" s="179"/>
      <c r="HM51" s="179"/>
      <c r="HN51" s="179"/>
      <c r="HO51" s="179"/>
      <c r="HP51" s="179"/>
      <c r="HQ51" s="179"/>
      <c r="HR51" s="179"/>
      <c r="HS51" s="179"/>
      <c r="HT51" s="179"/>
      <c r="HU51" s="179"/>
      <c r="HV51" s="179"/>
      <c r="HW51" s="179"/>
      <c r="HX51" s="179"/>
      <c r="HY51" s="179"/>
      <c r="HZ51" s="179"/>
      <c r="IA51" s="179"/>
      <c r="IB51" s="179"/>
      <c r="IC51" s="179"/>
      <c r="ID51" s="179"/>
      <c r="IE51" s="179"/>
      <c r="IF51" s="179"/>
      <c r="IG51" s="179"/>
      <c r="IH51" s="179"/>
      <c r="II51" s="179"/>
      <c r="IJ51" s="179"/>
      <c r="IK51" s="179"/>
      <c r="IL51" s="179"/>
      <c r="IM51" s="179"/>
      <c r="IN51" s="179"/>
      <c r="IO51" s="179"/>
      <c r="IP51" s="179"/>
      <c r="IQ51" s="179"/>
      <c r="IR51" s="179"/>
      <c r="IS51" s="179"/>
      <c r="IT51" s="179"/>
      <c r="IU51" s="179"/>
      <c r="IV51" s="179"/>
      <c r="IW51" s="179"/>
      <c r="IX51" s="179"/>
      <c r="IY51" s="179"/>
      <c r="IZ51" s="179"/>
      <c r="JA51" s="179"/>
      <c r="JB51" s="179"/>
      <c r="JC51" s="179"/>
      <c r="JD51" s="179"/>
      <c r="JE51" s="179"/>
      <c r="JF51" s="179"/>
      <c r="JG51" s="179"/>
      <c r="JH51" s="179"/>
      <c r="JI51" s="179"/>
    </row>
    <row r="52" spans="1:269" ht="15.6">
      <c r="A52" s="194" t="s">
        <v>235</v>
      </c>
      <c r="B52" s="38">
        <v>2</v>
      </c>
      <c r="C52" s="139" t="s">
        <v>120</v>
      </c>
      <c r="D52" s="141"/>
      <c r="E52" s="141"/>
      <c r="F52" s="730"/>
      <c r="G52" s="58"/>
      <c r="H52" s="59">
        <v>744150</v>
      </c>
      <c r="I52" s="318"/>
      <c r="J52" s="55"/>
      <c r="K52" s="202"/>
      <c r="L52" s="67"/>
      <c r="M52" s="318">
        <v>45532</v>
      </c>
      <c r="N52" s="55">
        <f>'EGEC - NIS2'!O32</f>
        <v>372075</v>
      </c>
      <c r="O52" s="202">
        <f>N52*15%</f>
        <v>55811.25</v>
      </c>
      <c r="P52" s="47">
        <f>N52+O52</f>
        <v>427886.25</v>
      </c>
      <c r="Q52" s="68"/>
      <c r="R52" s="69"/>
      <c r="S52" s="69"/>
      <c r="T52" s="63"/>
      <c r="U52" s="318">
        <v>45596</v>
      </c>
      <c r="V52" s="63">
        <f>'EGEC - NIS2'!Q32</f>
        <v>372075</v>
      </c>
      <c r="W52" s="202">
        <f>V52*15%</f>
        <v>55811.25</v>
      </c>
      <c r="X52" s="47">
        <f>V52+W52</f>
        <v>427886.25</v>
      </c>
      <c r="Y52" s="54"/>
      <c r="Z52" s="63"/>
      <c r="AA52" s="63"/>
      <c r="AB52" s="56"/>
      <c r="AC52" s="54"/>
      <c r="AD52" s="63"/>
      <c r="AE52" s="63"/>
      <c r="AF52" s="56"/>
      <c r="AG52" s="318"/>
      <c r="AH52" s="55"/>
      <c r="AI52" s="202"/>
      <c r="AJ52" s="47"/>
      <c r="AK52" s="64"/>
      <c r="AL52" s="65"/>
      <c r="AM52" s="65"/>
      <c r="AN52" s="305"/>
      <c r="AO52" s="306"/>
      <c r="AP52" s="307"/>
      <c r="AQ52" s="307"/>
      <c r="AR52" s="308"/>
      <c r="AS52" s="306"/>
      <c r="AT52" s="307"/>
      <c r="AU52" s="307"/>
      <c r="AV52" s="308"/>
      <c r="AW52" s="318"/>
      <c r="AX52" s="307"/>
      <c r="AY52" s="202"/>
      <c r="AZ52" s="47"/>
      <c r="BA52" s="306"/>
      <c r="BB52" s="307"/>
      <c r="BC52" s="307"/>
      <c r="BD52" s="308"/>
      <c r="BE52" s="306"/>
      <c r="BF52" s="307"/>
      <c r="BG52" s="307"/>
      <c r="BH52" s="308"/>
      <c r="BI52" s="306"/>
      <c r="BJ52" s="307"/>
      <c r="BK52" s="307"/>
      <c r="BL52" s="309"/>
      <c r="BM52" s="306"/>
      <c r="BN52" s="307"/>
      <c r="BO52" s="307"/>
      <c r="BP52" s="308"/>
      <c r="BQ52" s="304"/>
      <c r="BR52" s="337"/>
      <c r="BS52" s="337"/>
      <c r="BT52" s="209"/>
      <c r="BU52" s="54"/>
      <c r="BV52" s="200"/>
      <c r="BW52" s="55"/>
      <c r="BX52" s="207"/>
      <c r="BY52" s="304"/>
      <c r="BZ52" s="337"/>
      <c r="CA52" s="337"/>
      <c r="CB52" s="209"/>
      <c r="CC52" s="247"/>
      <c r="CD52" s="351"/>
      <c r="CE52" s="351"/>
      <c r="CF52" s="245"/>
      <c r="CG52" s="356"/>
      <c r="CH52" s="351"/>
      <c r="CI52" s="356"/>
      <c r="CJ52" s="246"/>
      <c r="CK52" s="356"/>
      <c r="CL52" s="351"/>
      <c r="CM52" s="356"/>
      <c r="CN52" s="246"/>
      <c r="CO52" s="246"/>
      <c r="CP52" s="246"/>
      <c r="CQ52" s="246"/>
      <c r="CR52" s="246"/>
      <c r="CS52" s="246"/>
      <c r="CT52" s="246"/>
      <c r="CU52" s="246"/>
      <c r="CV52" s="246"/>
      <c r="CW52" s="246"/>
      <c r="CX52" s="246"/>
      <c r="CY52" s="246"/>
      <c r="CZ52" s="246"/>
      <c r="DA52" s="246"/>
      <c r="DB52" s="246"/>
      <c r="DC52" s="246"/>
      <c r="DD52" s="246"/>
      <c r="DE52" s="161"/>
      <c r="DF52" s="126">
        <f t="shared" si="9"/>
        <v>744150</v>
      </c>
      <c r="DG52" s="126">
        <f t="shared" si="10"/>
        <v>111622.5</v>
      </c>
      <c r="DH52" s="126">
        <f t="shared" si="11"/>
        <v>855772.5</v>
      </c>
      <c r="DI52" s="391">
        <f t="shared" si="4"/>
        <v>744150</v>
      </c>
      <c r="DJ52" s="126">
        <f>L52+P52+T52+X52+AB52+AF52+AJ52+AN52+AV52</f>
        <v>855772.5</v>
      </c>
      <c r="DK52" s="183">
        <v>1</v>
      </c>
      <c r="DL52" s="154">
        <f t="shared" si="12"/>
        <v>744150</v>
      </c>
      <c r="DM52" s="376">
        <f t="shared" si="13"/>
        <v>0</v>
      </c>
      <c r="DN52" s="178"/>
      <c r="DO52" s="179"/>
      <c r="DP52" s="694">
        <f>DO52-Detailed[[#This Row],[Column66]]</f>
        <v>-744150</v>
      </c>
      <c r="DQ52" s="694">
        <v>0</v>
      </c>
      <c r="DR52" s="179"/>
      <c r="DS52" s="231">
        <f>DQ52-Detailed[[#This Row],[Column66]]</f>
        <v>-744150</v>
      </c>
      <c r="DT52" s="179"/>
      <c r="DU52" s="179"/>
      <c r="DV52" s="179"/>
      <c r="DW52" s="179"/>
      <c r="DX52" s="179"/>
      <c r="DY52" s="179"/>
      <c r="DZ52" s="179"/>
      <c r="EA52" s="179"/>
      <c r="EB52" s="179"/>
      <c r="EC52" s="179"/>
      <c r="ED52" s="179"/>
      <c r="EE52" s="179"/>
      <c r="EF52" s="179"/>
      <c r="EG52" s="179"/>
      <c r="EH52" s="179"/>
      <c r="EI52" s="179"/>
      <c r="EJ52" s="179"/>
      <c r="EK52" s="179"/>
      <c r="EL52" s="179"/>
      <c r="EM52" s="179"/>
      <c r="EN52" s="179"/>
      <c r="EO52" s="179"/>
      <c r="EP52" s="179"/>
      <c r="EQ52" s="179"/>
      <c r="ER52" s="179"/>
      <c r="ES52" s="179"/>
      <c r="ET52" s="179"/>
      <c r="EU52" s="179"/>
      <c r="EV52" s="179"/>
      <c r="EW52" s="179"/>
      <c r="EX52" s="179"/>
      <c r="EY52" s="179"/>
      <c r="EZ52" s="179"/>
      <c r="FA52" s="179"/>
      <c r="FB52" s="179"/>
      <c r="FC52" s="179"/>
      <c r="FD52" s="179"/>
      <c r="FE52" s="179"/>
      <c r="FF52" s="179"/>
      <c r="FG52" s="179"/>
      <c r="FH52" s="179"/>
      <c r="FI52" s="179"/>
      <c r="FJ52" s="179"/>
      <c r="FK52" s="179"/>
      <c r="FL52" s="179"/>
      <c r="FM52" s="179"/>
      <c r="FN52" s="179"/>
      <c r="FO52" s="179"/>
      <c r="FP52" s="179"/>
      <c r="FQ52" s="179"/>
      <c r="FR52" s="179"/>
      <c r="FS52" s="179"/>
      <c r="FT52" s="179"/>
      <c r="FU52" s="179"/>
      <c r="FV52" s="179"/>
      <c r="FW52" s="179"/>
      <c r="FX52" s="179"/>
      <c r="FY52" s="179"/>
      <c r="FZ52" s="179"/>
      <c r="GA52" s="179"/>
      <c r="GB52" s="179"/>
      <c r="GC52" s="179"/>
      <c r="GD52" s="179"/>
      <c r="GE52" s="179"/>
      <c r="GF52" s="179"/>
      <c r="GG52" s="179"/>
      <c r="GH52" s="179"/>
      <c r="GI52" s="179"/>
      <c r="GJ52" s="179"/>
      <c r="GK52" s="179"/>
      <c r="GL52" s="179"/>
      <c r="GM52" s="179"/>
      <c r="GN52" s="179"/>
      <c r="GO52" s="179"/>
      <c r="GP52" s="179"/>
      <c r="GQ52" s="179"/>
      <c r="GR52" s="179"/>
      <c r="GS52" s="179"/>
      <c r="GT52" s="179"/>
      <c r="GU52" s="179"/>
      <c r="GV52" s="179"/>
      <c r="GW52" s="179"/>
      <c r="GX52" s="179"/>
      <c r="GY52" s="179"/>
      <c r="GZ52" s="179"/>
      <c r="HA52" s="179"/>
      <c r="HB52" s="179"/>
      <c r="HC52" s="179"/>
      <c r="HD52" s="179"/>
      <c r="HE52" s="179"/>
      <c r="HF52" s="179"/>
      <c r="HG52" s="179"/>
      <c r="HH52" s="179"/>
      <c r="HI52" s="179"/>
      <c r="HJ52" s="179"/>
      <c r="HK52" s="179"/>
      <c r="HL52" s="179"/>
      <c r="HM52" s="179"/>
      <c r="HN52" s="179"/>
      <c r="HO52" s="179"/>
      <c r="HP52" s="179"/>
      <c r="HQ52" s="179"/>
      <c r="HR52" s="179"/>
      <c r="HS52" s="179"/>
      <c r="HT52" s="179"/>
      <c r="HU52" s="179"/>
      <c r="HV52" s="179"/>
      <c r="HW52" s="179"/>
      <c r="HX52" s="179"/>
      <c r="HY52" s="179"/>
      <c r="HZ52" s="179"/>
      <c r="IA52" s="179"/>
      <c r="IB52" s="179"/>
      <c r="IC52" s="179"/>
      <c r="ID52" s="179"/>
      <c r="IE52" s="179"/>
      <c r="IF52" s="179"/>
      <c r="IG52" s="179"/>
      <c r="IH52" s="179"/>
      <c r="II52" s="179"/>
      <c r="IJ52" s="179"/>
      <c r="IK52" s="179"/>
      <c r="IL52" s="179"/>
      <c r="IM52" s="179"/>
      <c r="IN52" s="179"/>
      <c r="IO52" s="179"/>
      <c r="IP52" s="179"/>
      <c r="IQ52" s="179"/>
      <c r="IR52" s="179"/>
      <c r="IS52" s="179"/>
      <c r="IT52" s="179"/>
      <c r="IU52" s="179"/>
      <c r="IV52" s="179"/>
      <c r="IW52" s="179"/>
      <c r="IX52" s="179"/>
      <c r="IY52" s="179"/>
      <c r="IZ52" s="179"/>
      <c r="JA52" s="179"/>
      <c r="JB52" s="179"/>
      <c r="JC52" s="179"/>
      <c r="JD52" s="179"/>
      <c r="JE52" s="179"/>
      <c r="JF52" s="179"/>
      <c r="JG52" s="179"/>
      <c r="JH52" s="179"/>
      <c r="JI52" s="179"/>
    </row>
    <row r="53" spans="1:269" ht="15.6">
      <c r="A53" s="194" t="s">
        <v>235</v>
      </c>
      <c r="B53" s="38">
        <v>3</v>
      </c>
      <c r="C53" s="139" t="s">
        <v>121</v>
      </c>
      <c r="D53" s="141"/>
      <c r="E53" s="141"/>
      <c r="F53" s="522"/>
      <c r="G53" s="58"/>
      <c r="H53" s="59">
        <v>744150</v>
      </c>
      <c r="I53" s="318"/>
      <c r="J53" s="55"/>
      <c r="K53" s="202"/>
      <c r="L53" s="67"/>
      <c r="M53" s="318"/>
      <c r="N53" s="65"/>
      <c r="O53" s="68"/>
      <c r="P53" s="47"/>
      <c r="Q53" s="68"/>
      <c r="R53" s="69"/>
      <c r="S53" s="69"/>
      <c r="T53" s="63"/>
      <c r="U53" s="54"/>
      <c r="V53" s="63"/>
      <c r="W53" s="63"/>
      <c r="X53" s="56"/>
      <c r="Y53" s="54"/>
      <c r="Z53" s="63"/>
      <c r="AA53" s="63"/>
      <c r="AB53" s="56"/>
      <c r="AC53" s="54"/>
      <c r="AD53" s="63"/>
      <c r="AE53" s="63"/>
      <c r="AF53" s="56"/>
      <c r="AG53" s="318">
        <v>45688</v>
      </c>
      <c r="AH53" s="55">
        <f>'EGEC - NIS2'!U32</f>
        <v>372075</v>
      </c>
      <c r="AI53" s="202">
        <f>AH53*15%</f>
        <v>55811.25</v>
      </c>
      <c r="AJ53" s="47">
        <f>AH53+AI53</f>
        <v>427886.25</v>
      </c>
      <c r="AK53" s="64"/>
      <c r="AL53" s="65"/>
      <c r="AM53" s="65"/>
      <c r="AN53" s="305"/>
      <c r="AO53" s="306"/>
      <c r="AP53" s="307"/>
      <c r="AQ53" s="307"/>
      <c r="AR53" s="308"/>
      <c r="AS53" s="306"/>
      <c r="AT53" s="307"/>
      <c r="AU53" s="307"/>
      <c r="AV53" s="308"/>
      <c r="AW53" s="318">
        <v>45807</v>
      </c>
      <c r="AX53" s="307">
        <f>'EGEC - NIS2'!W32</f>
        <v>372075</v>
      </c>
      <c r="AY53" s="202">
        <f>AX53*15%</f>
        <v>55811.25</v>
      </c>
      <c r="AZ53" s="47">
        <f>AX53+AY53</f>
        <v>427886.25</v>
      </c>
      <c r="BA53" s="306"/>
      <c r="BB53" s="307"/>
      <c r="BC53" s="307"/>
      <c r="BD53" s="308"/>
      <c r="BE53" s="306"/>
      <c r="BF53" s="307"/>
      <c r="BG53" s="307"/>
      <c r="BH53" s="308"/>
      <c r="BI53" s="306"/>
      <c r="BJ53" s="307"/>
      <c r="BK53" s="307"/>
      <c r="BL53" s="309"/>
      <c r="BM53" s="306"/>
      <c r="BN53" s="307"/>
      <c r="BO53" s="307"/>
      <c r="BP53" s="308"/>
      <c r="BQ53" s="304"/>
      <c r="BR53" s="337"/>
      <c r="BS53" s="337"/>
      <c r="BT53" s="209"/>
      <c r="BU53" s="54"/>
      <c r="BV53" s="200"/>
      <c r="BW53" s="55"/>
      <c r="BX53" s="207"/>
      <c r="BY53" s="304"/>
      <c r="BZ53" s="337"/>
      <c r="CA53" s="337"/>
      <c r="CB53" s="209"/>
      <c r="CC53" s="247"/>
      <c r="CD53" s="351"/>
      <c r="CE53" s="351"/>
      <c r="CF53" s="245"/>
      <c r="CG53" s="356"/>
      <c r="CH53" s="351"/>
      <c r="CI53" s="356"/>
      <c r="CJ53" s="246"/>
      <c r="CK53" s="356"/>
      <c r="CL53" s="351"/>
      <c r="CM53" s="356"/>
      <c r="CN53" s="246"/>
      <c r="CO53" s="246"/>
      <c r="CP53" s="246"/>
      <c r="CQ53" s="246"/>
      <c r="CR53" s="246"/>
      <c r="CS53" s="246"/>
      <c r="CT53" s="246"/>
      <c r="CU53" s="246"/>
      <c r="CV53" s="246"/>
      <c r="CW53" s="246"/>
      <c r="CX53" s="246"/>
      <c r="CY53" s="246"/>
      <c r="CZ53" s="246"/>
      <c r="DA53" s="246"/>
      <c r="DB53" s="246"/>
      <c r="DC53" s="246"/>
      <c r="DD53" s="246"/>
      <c r="DE53" s="331"/>
      <c r="DF53" s="126">
        <f t="shared" si="9"/>
        <v>744150</v>
      </c>
      <c r="DG53" s="126">
        <f t="shared" si="10"/>
        <v>111622.5</v>
      </c>
      <c r="DH53" s="126">
        <f t="shared" si="11"/>
        <v>855772.5</v>
      </c>
      <c r="DI53" s="391">
        <f t="shared" si="4"/>
        <v>744150</v>
      </c>
      <c r="DJ53" s="126">
        <f>L53+P53+T53+X53+AB53+AF53+AJ53+AN53+AV53+Detailed[[#This Row],[Column52]]</f>
        <v>855772.5</v>
      </c>
      <c r="DK53" s="183">
        <v>1</v>
      </c>
      <c r="DL53" s="154">
        <f t="shared" si="12"/>
        <v>744150</v>
      </c>
      <c r="DM53" s="376">
        <f t="shared" si="13"/>
        <v>0</v>
      </c>
      <c r="DN53" s="178"/>
      <c r="DO53" s="179"/>
      <c r="DP53" s="694">
        <f>DO53-Detailed[[#This Row],[Column66]]</f>
        <v>-744150</v>
      </c>
      <c r="DQ53" s="694">
        <v>153002.20000000001</v>
      </c>
      <c r="DR53" s="179"/>
      <c r="DS53" s="231">
        <f>DQ53-Detailed[[#This Row],[Column66]]</f>
        <v>-591147.80000000005</v>
      </c>
      <c r="DT53" s="179"/>
      <c r="DU53" s="179"/>
      <c r="DV53" s="179"/>
      <c r="DW53" s="179"/>
      <c r="DX53" s="179"/>
      <c r="DY53" s="179"/>
      <c r="DZ53" s="179"/>
      <c r="EA53" s="179"/>
      <c r="EB53" s="179"/>
      <c r="EC53" s="179"/>
      <c r="ED53" s="179"/>
      <c r="EE53" s="179"/>
      <c r="EF53" s="179"/>
      <c r="EG53" s="179"/>
      <c r="EH53" s="179"/>
      <c r="EI53" s="179"/>
      <c r="EJ53" s="179"/>
      <c r="EK53" s="179"/>
      <c r="EL53" s="179"/>
      <c r="EM53" s="179"/>
      <c r="EN53" s="179"/>
      <c r="EO53" s="179"/>
      <c r="EP53" s="179"/>
      <c r="EQ53" s="179"/>
      <c r="ER53" s="179"/>
      <c r="ES53" s="179"/>
      <c r="ET53" s="179"/>
      <c r="EU53" s="179"/>
      <c r="EV53" s="179"/>
      <c r="EW53" s="179"/>
      <c r="EX53" s="179"/>
      <c r="EY53" s="179"/>
      <c r="EZ53" s="179"/>
      <c r="FA53" s="179"/>
      <c r="FB53" s="179"/>
      <c r="FC53" s="179"/>
      <c r="FD53" s="179"/>
      <c r="FE53" s="179"/>
      <c r="FF53" s="179"/>
      <c r="FG53" s="179"/>
      <c r="FH53" s="179"/>
      <c r="FI53" s="179"/>
      <c r="FJ53" s="179"/>
      <c r="FK53" s="179"/>
      <c r="FL53" s="179"/>
      <c r="FM53" s="179"/>
      <c r="FN53" s="179"/>
      <c r="FO53" s="179"/>
      <c r="FP53" s="179"/>
      <c r="FQ53" s="179"/>
      <c r="FR53" s="179"/>
      <c r="FS53" s="179"/>
      <c r="FT53" s="179"/>
      <c r="FU53" s="179"/>
      <c r="FV53" s="179"/>
      <c r="FW53" s="179"/>
      <c r="FX53" s="179"/>
      <c r="FY53" s="179"/>
      <c r="FZ53" s="179"/>
      <c r="GA53" s="179"/>
      <c r="GB53" s="179"/>
      <c r="GC53" s="179"/>
      <c r="GD53" s="179"/>
      <c r="GE53" s="179"/>
      <c r="GF53" s="179"/>
      <c r="GG53" s="179"/>
      <c r="GH53" s="179"/>
      <c r="GI53" s="179"/>
      <c r="GJ53" s="179"/>
      <c r="GK53" s="179"/>
      <c r="GL53" s="179"/>
      <c r="GM53" s="179"/>
      <c r="GN53" s="179"/>
      <c r="GO53" s="179"/>
      <c r="GP53" s="179"/>
      <c r="GQ53" s="179"/>
      <c r="GR53" s="179"/>
      <c r="GS53" s="179"/>
      <c r="GT53" s="179"/>
      <c r="GU53" s="179"/>
      <c r="GV53" s="179"/>
      <c r="GW53" s="179"/>
      <c r="GX53" s="179"/>
      <c r="GY53" s="179"/>
      <c r="GZ53" s="179"/>
      <c r="HA53" s="179"/>
      <c r="HB53" s="179"/>
      <c r="HC53" s="179"/>
      <c r="HD53" s="179"/>
      <c r="HE53" s="179"/>
      <c r="HF53" s="179"/>
      <c r="HG53" s="179"/>
      <c r="HH53" s="179"/>
      <c r="HI53" s="179"/>
      <c r="HJ53" s="179"/>
      <c r="HK53" s="179"/>
      <c r="HL53" s="179"/>
      <c r="HM53" s="179"/>
      <c r="HN53" s="179"/>
      <c r="HO53" s="179"/>
      <c r="HP53" s="179"/>
      <c r="HQ53" s="179"/>
      <c r="HR53" s="179"/>
      <c r="HS53" s="179"/>
      <c r="HT53" s="179"/>
      <c r="HU53" s="179"/>
      <c r="HV53" s="179"/>
      <c r="HW53" s="179"/>
      <c r="HX53" s="179"/>
      <c r="HY53" s="179"/>
      <c r="HZ53" s="179"/>
      <c r="IA53" s="179"/>
      <c r="IB53" s="179"/>
      <c r="IC53" s="179"/>
      <c r="ID53" s="179"/>
      <c r="IE53" s="179"/>
      <c r="IF53" s="179"/>
      <c r="IG53" s="179"/>
      <c r="IH53" s="179"/>
      <c r="II53" s="179"/>
      <c r="IJ53" s="179"/>
      <c r="IK53" s="179"/>
      <c r="IL53" s="179"/>
      <c r="IM53" s="179"/>
      <c r="IN53" s="179"/>
      <c r="IO53" s="179"/>
      <c r="IP53" s="179"/>
      <c r="IQ53" s="179"/>
      <c r="IR53" s="179"/>
      <c r="IS53" s="179"/>
      <c r="IT53" s="179"/>
      <c r="IU53" s="179"/>
      <c r="IV53" s="179"/>
      <c r="IW53" s="179"/>
      <c r="IX53" s="179"/>
      <c r="IY53" s="179"/>
      <c r="IZ53" s="179"/>
      <c r="JA53" s="179"/>
      <c r="JB53" s="179"/>
      <c r="JC53" s="179"/>
      <c r="JD53" s="179"/>
      <c r="JE53" s="179"/>
      <c r="JF53" s="179"/>
      <c r="JG53" s="179"/>
      <c r="JH53" s="179"/>
      <c r="JI53" s="179"/>
    </row>
    <row r="54" spans="1:269" ht="15.6">
      <c r="A54" s="194" t="s">
        <v>235</v>
      </c>
      <c r="B54" s="38">
        <v>4</v>
      </c>
      <c r="C54" s="139" t="s">
        <v>173</v>
      </c>
      <c r="D54" s="141"/>
      <c r="E54" s="141"/>
      <c r="F54" s="142"/>
      <c r="G54" s="58"/>
      <c r="H54" s="59">
        <v>153002</v>
      </c>
      <c r="I54" s="318"/>
      <c r="J54" s="55"/>
      <c r="K54" s="202"/>
      <c r="L54" s="67"/>
      <c r="M54" s="318">
        <v>45532</v>
      </c>
      <c r="N54" s="55">
        <f>'EGEC - NIS2'!O47</f>
        <v>107101.54000000001</v>
      </c>
      <c r="O54" s="202">
        <f>N54*15%</f>
        <v>16065.231</v>
      </c>
      <c r="P54" s="47">
        <f>N54+O54</f>
        <v>123166.77100000001</v>
      </c>
      <c r="Q54" s="318">
        <v>45586</v>
      </c>
      <c r="R54" s="55">
        <f>'EGEC - NIS2'!Q47</f>
        <v>45900.66</v>
      </c>
      <c r="S54" s="202">
        <f>R54*15%</f>
        <v>6885.0990000000002</v>
      </c>
      <c r="T54" s="47">
        <f>R54+S54</f>
        <v>52785.759000000005</v>
      </c>
      <c r="U54" s="54"/>
      <c r="V54" s="63"/>
      <c r="W54" s="63"/>
      <c r="X54" s="56"/>
      <c r="Y54" s="54"/>
      <c r="Z54" s="63"/>
      <c r="AA54" s="63"/>
      <c r="AB54" s="56"/>
      <c r="AC54" s="54"/>
      <c r="AD54" s="63"/>
      <c r="AE54" s="63"/>
      <c r="AF54" s="56"/>
      <c r="AG54" s="54"/>
      <c r="AH54" s="55"/>
      <c r="AI54" s="55"/>
      <c r="AJ54" s="56"/>
      <c r="AK54" s="64"/>
      <c r="AL54" s="65"/>
      <c r="AM54" s="65"/>
      <c r="AN54" s="305"/>
      <c r="AO54" s="306"/>
      <c r="AP54" s="307"/>
      <c r="AQ54" s="307"/>
      <c r="AR54" s="308"/>
      <c r="AS54" s="306"/>
      <c r="AT54" s="307"/>
      <c r="AU54" s="307"/>
      <c r="AV54" s="308"/>
      <c r="AW54" s="306"/>
      <c r="AX54" s="307"/>
      <c r="AY54" s="307"/>
      <c r="AZ54" s="308"/>
      <c r="BA54" s="306"/>
      <c r="BB54" s="307"/>
      <c r="BC54" s="307"/>
      <c r="BD54" s="308"/>
      <c r="BE54" s="306"/>
      <c r="BF54" s="307"/>
      <c r="BG54" s="307"/>
      <c r="BH54" s="308"/>
      <c r="BI54" s="306"/>
      <c r="BJ54" s="307"/>
      <c r="BK54" s="307"/>
      <c r="BL54" s="309"/>
      <c r="BM54" s="306"/>
      <c r="BN54" s="307"/>
      <c r="BO54" s="307"/>
      <c r="BP54" s="308"/>
      <c r="BQ54" s="304"/>
      <c r="BR54" s="337"/>
      <c r="BS54" s="337"/>
      <c r="BT54" s="310"/>
      <c r="BU54" s="343"/>
      <c r="BV54" s="325"/>
      <c r="BW54" s="335"/>
      <c r="BX54" s="363"/>
      <c r="BY54" s="304"/>
      <c r="BZ54" s="337"/>
      <c r="CA54" s="337"/>
      <c r="CB54" s="310"/>
      <c r="CC54" s="247"/>
      <c r="CD54" s="351"/>
      <c r="CE54" s="351"/>
      <c r="CF54" s="245"/>
      <c r="CG54" s="356"/>
      <c r="CH54" s="351"/>
      <c r="CI54" s="356"/>
      <c r="CJ54" s="246"/>
      <c r="CK54" s="356"/>
      <c r="CL54" s="351"/>
      <c r="CM54" s="356"/>
      <c r="CN54" s="246"/>
      <c r="CO54" s="246"/>
      <c r="CP54" s="246"/>
      <c r="CQ54" s="246"/>
      <c r="CR54" s="246"/>
      <c r="CS54" s="246"/>
      <c r="CT54" s="246"/>
      <c r="CU54" s="246"/>
      <c r="CV54" s="246"/>
      <c r="CW54" s="246"/>
      <c r="CX54" s="246"/>
      <c r="CY54" s="246"/>
      <c r="CZ54" s="246"/>
      <c r="DA54" s="246"/>
      <c r="DB54" s="246"/>
      <c r="DC54" s="246"/>
      <c r="DD54" s="246"/>
      <c r="DE54" s="332"/>
      <c r="DF54" s="126">
        <f t="shared" si="9"/>
        <v>153002</v>
      </c>
      <c r="DG54" s="126">
        <f t="shared" si="10"/>
        <v>22950.3</v>
      </c>
      <c r="DH54" s="126">
        <f t="shared" si="11"/>
        <v>175952.3</v>
      </c>
      <c r="DI54" s="391">
        <f t="shared" si="4"/>
        <v>153002.20000000001</v>
      </c>
      <c r="DJ54" s="126">
        <f>L54+P54+T54+X54+AB54+AF54+AJ54+AN54+AV54</f>
        <v>175952.53000000003</v>
      </c>
      <c r="DK54" s="183">
        <v>1</v>
      </c>
      <c r="DL54" s="154">
        <f t="shared" si="12"/>
        <v>153002</v>
      </c>
      <c r="DM54" s="376">
        <f t="shared" si="13"/>
        <v>-0.20000000001164153</v>
      </c>
      <c r="DN54" s="178"/>
      <c r="DO54" s="179"/>
      <c r="DP54" s="694">
        <f>DO54-Detailed[[#This Row],[Column66]]</f>
        <v>-153002.20000000001</v>
      </c>
      <c r="DQ54" s="694">
        <v>156177</v>
      </c>
      <c r="DR54" s="179"/>
      <c r="DS54" s="231">
        <f>DQ54-Detailed[[#This Row],[Column66]]</f>
        <v>3174.7999999999884</v>
      </c>
      <c r="DT54" s="179"/>
      <c r="DU54" s="179"/>
      <c r="DV54" s="179"/>
      <c r="DW54" s="179"/>
      <c r="DX54" s="179"/>
      <c r="DY54" s="179"/>
      <c r="DZ54" s="179"/>
      <c r="EA54" s="179"/>
      <c r="EB54" s="179"/>
      <c r="EC54" s="179"/>
      <c r="ED54" s="179"/>
      <c r="EE54" s="179"/>
      <c r="EF54" s="179"/>
      <c r="EG54" s="179"/>
      <c r="EH54" s="179"/>
      <c r="EI54" s="179"/>
      <c r="EJ54" s="179"/>
      <c r="EK54" s="179"/>
      <c r="EL54" s="179"/>
      <c r="EM54" s="179"/>
      <c r="EN54" s="179"/>
      <c r="EO54" s="179"/>
      <c r="EP54" s="179"/>
      <c r="EQ54" s="179"/>
      <c r="ER54" s="179"/>
      <c r="ES54" s="179"/>
      <c r="ET54" s="179"/>
      <c r="EU54" s="179"/>
      <c r="EV54" s="179"/>
      <c r="EW54" s="179"/>
      <c r="EX54" s="179"/>
      <c r="EY54" s="179"/>
      <c r="EZ54" s="179"/>
      <c r="FA54" s="179"/>
      <c r="FB54" s="179"/>
      <c r="FC54" s="179"/>
      <c r="FD54" s="179"/>
      <c r="FE54" s="179"/>
      <c r="FF54" s="179"/>
      <c r="FG54" s="179"/>
      <c r="FH54" s="179"/>
      <c r="FI54" s="179"/>
      <c r="FJ54" s="179"/>
      <c r="FK54" s="179"/>
      <c r="FL54" s="179"/>
      <c r="FM54" s="179"/>
      <c r="FN54" s="179"/>
      <c r="FO54" s="179"/>
      <c r="FP54" s="179"/>
      <c r="FQ54" s="179"/>
      <c r="FR54" s="179"/>
      <c r="FS54" s="179"/>
      <c r="FT54" s="179"/>
      <c r="FU54" s="179"/>
      <c r="FV54" s="179"/>
      <c r="FW54" s="179"/>
      <c r="FX54" s="179"/>
      <c r="FY54" s="179"/>
      <c r="FZ54" s="179"/>
      <c r="GA54" s="179"/>
      <c r="GB54" s="179"/>
      <c r="GC54" s="179"/>
      <c r="GD54" s="179"/>
      <c r="GE54" s="179"/>
      <c r="GF54" s="179"/>
      <c r="GG54" s="179"/>
      <c r="GH54" s="179"/>
      <c r="GI54" s="179"/>
      <c r="GJ54" s="179"/>
      <c r="GK54" s="179"/>
      <c r="GL54" s="179"/>
      <c r="GM54" s="179"/>
      <c r="GN54" s="179"/>
      <c r="GO54" s="179"/>
      <c r="GP54" s="179"/>
      <c r="GQ54" s="179"/>
      <c r="GR54" s="179"/>
      <c r="GS54" s="179"/>
      <c r="GT54" s="179"/>
      <c r="GU54" s="179"/>
      <c r="GV54" s="179"/>
      <c r="GW54" s="179"/>
      <c r="GX54" s="179"/>
      <c r="GY54" s="179"/>
      <c r="GZ54" s="179"/>
      <c r="HA54" s="179"/>
      <c r="HB54" s="179"/>
      <c r="HC54" s="179"/>
      <c r="HD54" s="179"/>
      <c r="HE54" s="179"/>
      <c r="HF54" s="179"/>
      <c r="HG54" s="179"/>
      <c r="HH54" s="179"/>
      <c r="HI54" s="179"/>
      <c r="HJ54" s="179"/>
      <c r="HK54" s="179"/>
      <c r="HL54" s="179"/>
      <c r="HM54" s="179"/>
      <c r="HN54" s="179"/>
      <c r="HO54" s="179"/>
      <c r="HP54" s="179"/>
      <c r="HQ54" s="179"/>
      <c r="HR54" s="179"/>
      <c r="HS54" s="179"/>
      <c r="HT54" s="179"/>
      <c r="HU54" s="179"/>
      <c r="HV54" s="179"/>
      <c r="HW54" s="179"/>
      <c r="HX54" s="179"/>
      <c r="HY54" s="179"/>
      <c r="HZ54" s="179"/>
      <c r="IA54" s="179"/>
      <c r="IB54" s="179"/>
      <c r="IC54" s="179"/>
      <c r="ID54" s="179"/>
      <c r="IE54" s="179"/>
      <c r="IF54" s="179"/>
      <c r="IG54" s="179"/>
      <c r="IH54" s="179"/>
      <c r="II54" s="179"/>
      <c r="IJ54" s="179"/>
      <c r="IK54" s="179"/>
      <c r="IL54" s="179"/>
      <c r="IM54" s="179"/>
      <c r="IN54" s="179"/>
      <c r="IO54" s="179"/>
      <c r="IP54" s="179"/>
      <c r="IQ54" s="179"/>
      <c r="IR54" s="179"/>
      <c r="IS54" s="179"/>
      <c r="IT54" s="179"/>
      <c r="IU54" s="179"/>
      <c r="IV54" s="179"/>
      <c r="IW54" s="179"/>
      <c r="IX54" s="179"/>
      <c r="IY54" s="179"/>
      <c r="IZ54" s="179"/>
      <c r="JA54" s="179"/>
      <c r="JB54" s="179"/>
      <c r="JC54" s="179"/>
      <c r="JD54" s="179"/>
      <c r="JE54" s="179"/>
      <c r="JF54" s="179"/>
      <c r="JG54" s="179"/>
      <c r="JH54" s="179"/>
      <c r="JI54" s="179"/>
    </row>
    <row r="55" spans="1:269" ht="15.6">
      <c r="A55" s="194" t="s">
        <v>235</v>
      </c>
      <c r="B55" s="38">
        <v>5</v>
      </c>
      <c r="C55" s="139" t="s">
        <v>221</v>
      </c>
      <c r="D55" s="141"/>
      <c r="E55" s="141"/>
      <c r="F55" s="142"/>
      <c r="G55" s="58"/>
      <c r="H55" s="59">
        <v>156177</v>
      </c>
      <c r="I55" s="66"/>
      <c r="J55" s="55"/>
      <c r="K55" s="55"/>
      <c r="L55" s="67"/>
      <c r="M55" s="64"/>
      <c r="N55" s="65"/>
      <c r="O55" s="65"/>
      <c r="P55" s="56"/>
      <c r="Q55" s="318">
        <v>45586</v>
      </c>
      <c r="R55" s="55">
        <f>'EGEC - NIS2'!Q64</f>
        <v>109323.9</v>
      </c>
      <c r="S55" s="202">
        <f>R55*15%</f>
        <v>16398.584999999999</v>
      </c>
      <c r="T55" s="47">
        <f>R55+S55</f>
        <v>125722.48499999999</v>
      </c>
      <c r="U55" s="54"/>
      <c r="V55" s="63"/>
      <c r="W55" s="63"/>
      <c r="X55" s="56"/>
      <c r="Y55" s="318">
        <v>45626</v>
      </c>
      <c r="Z55" s="63">
        <v>46853.1</v>
      </c>
      <c r="AA55" s="202">
        <f>Z55*15%</f>
        <v>7027.9649999999992</v>
      </c>
      <c r="AB55" s="47">
        <f>Z55+AA55</f>
        <v>53881.064999999995</v>
      </c>
      <c r="AC55" s="318"/>
      <c r="AD55" s="63"/>
      <c r="AE55" s="202"/>
      <c r="AF55" s="47"/>
      <c r="AG55" s="54"/>
      <c r="AH55" s="55"/>
      <c r="AI55" s="55"/>
      <c r="AJ55" s="56"/>
      <c r="AK55" s="64"/>
      <c r="AL55" s="65"/>
      <c r="AM55" s="65"/>
      <c r="AN55" s="125"/>
      <c r="AO55" s="123"/>
      <c r="AP55" s="124"/>
      <c r="AQ55" s="124"/>
      <c r="AR55" s="121"/>
      <c r="AS55" s="123"/>
      <c r="AT55" s="124"/>
      <c r="AU55" s="124"/>
      <c r="AV55" s="121"/>
      <c r="AW55" s="123"/>
      <c r="AX55" s="124"/>
      <c r="AY55" s="124"/>
      <c r="AZ55" s="121"/>
      <c r="BA55" s="123"/>
      <c r="BB55" s="124"/>
      <c r="BC55" s="124"/>
      <c r="BD55" s="121"/>
      <c r="BE55" s="123"/>
      <c r="BF55" s="124"/>
      <c r="BG55" s="124"/>
      <c r="BH55" s="121"/>
      <c r="BI55" s="123"/>
      <c r="BJ55" s="124"/>
      <c r="BK55" s="124"/>
      <c r="BL55" s="122"/>
      <c r="BM55" s="123"/>
      <c r="BN55" s="124"/>
      <c r="BO55" s="124"/>
      <c r="BP55" s="122"/>
      <c r="BQ55" s="158"/>
      <c r="BR55" s="434"/>
      <c r="BS55" s="434"/>
      <c r="BT55" s="435"/>
      <c r="BU55" s="170"/>
      <c r="BV55" s="436"/>
      <c r="BW55" s="171"/>
      <c r="BX55" s="205"/>
      <c r="BY55" s="158"/>
      <c r="BZ55" s="434"/>
      <c r="CA55" s="434"/>
      <c r="CB55" s="435"/>
      <c r="CC55" s="247"/>
      <c r="CD55" s="351"/>
      <c r="CE55" s="351"/>
      <c r="CF55" s="245"/>
      <c r="CG55" s="356"/>
      <c r="CH55" s="351"/>
      <c r="CI55" s="356"/>
      <c r="CJ55" s="246"/>
      <c r="CK55" s="356"/>
      <c r="CL55" s="351"/>
      <c r="CM55" s="356"/>
      <c r="CN55" s="246"/>
      <c r="CO55" s="246"/>
      <c r="CP55" s="246"/>
      <c r="CQ55" s="246"/>
      <c r="CR55" s="246"/>
      <c r="CS55" s="246"/>
      <c r="CT55" s="246"/>
      <c r="CU55" s="246"/>
      <c r="CV55" s="246"/>
      <c r="CW55" s="246"/>
      <c r="CX55" s="246"/>
      <c r="CY55" s="246"/>
      <c r="CZ55" s="246"/>
      <c r="DA55" s="246"/>
      <c r="DB55" s="246"/>
      <c r="DC55" s="246"/>
      <c r="DD55" s="246"/>
      <c r="DE55" s="172"/>
      <c r="DF55" s="126">
        <f t="shared" si="9"/>
        <v>156177</v>
      </c>
      <c r="DG55" s="126">
        <f t="shared" si="10"/>
        <v>23426.55</v>
      </c>
      <c r="DH55" s="126">
        <f t="shared" si="11"/>
        <v>179603.55</v>
      </c>
      <c r="DI55" s="391">
        <f t="shared" si="4"/>
        <v>156177</v>
      </c>
      <c r="DJ55" s="126">
        <f>L55+P55+T55+X55+AB55+AF55+AJ55+AN55+AV55</f>
        <v>179603.55</v>
      </c>
      <c r="DK55" s="183">
        <v>1</v>
      </c>
      <c r="DL55" s="154">
        <f t="shared" si="12"/>
        <v>156177</v>
      </c>
      <c r="DM55" s="376">
        <f t="shared" si="13"/>
        <v>0</v>
      </c>
      <c r="DN55" s="178"/>
      <c r="DO55" s="179"/>
      <c r="DP55" s="694">
        <f>DO55-Detailed[[#This Row],[Column66]]</f>
        <v>-156177</v>
      </c>
      <c r="DQ55" s="694">
        <v>1656100</v>
      </c>
      <c r="DR55" s="179"/>
      <c r="DS55" s="231">
        <f>DQ55-Detailed[[#This Row],[Column66]]</f>
        <v>1499923</v>
      </c>
      <c r="DT55" s="179"/>
      <c r="DU55" s="179"/>
      <c r="DV55" s="179"/>
      <c r="DW55" s="179"/>
      <c r="DX55" s="179"/>
      <c r="DY55" s="179"/>
      <c r="DZ55" s="179"/>
      <c r="EA55" s="179"/>
      <c r="EB55" s="179"/>
      <c r="EC55" s="179"/>
      <c r="ED55" s="179"/>
      <c r="EE55" s="179"/>
      <c r="EF55" s="179"/>
      <c r="EG55" s="179"/>
      <c r="EH55" s="179"/>
      <c r="EI55" s="179"/>
      <c r="EJ55" s="179"/>
      <c r="EK55" s="179"/>
      <c r="EL55" s="179"/>
      <c r="EM55" s="179"/>
      <c r="EN55" s="179"/>
      <c r="EO55" s="179"/>
      <c r="EP55" s="179"/>
      <c r="EQ55" s="179"/>
      <c r="ER55" s="179"/>
      <c r="ES55" s="179"/>
      <c r="ET55" s="179"/>
      <c r="EU55" s="179"/>
      <c r="EV55" s="179"/>
      <c r="EW55" s="179"/>
      <c r="EX55" s="179"/>
      <c r="EY55" s="179"/>
      <c r="EZ55" s="179"/>
      <c r="FA55" s="179"/>
      <c r="FB55" s="179"/>
      <c r="FC55" s="179"/>
      <c r="FD55" s="179"/>
      <c r="FE55" s="179"/>
      <c r="FF55" s="179"/>
      <c r="FG55" s="179"/>
      <c r="FH55" s="179"/>
      <c r="FI55" s="179"/>
      <c r="FJ55" s="179"/>
      <c r="FK55" s="179"/>
      <c r="FL55" s="179"/>
      <c r="FM55" s="179"/>
      <c r="FN55" s="179"/>
      <c r="FO55" s="179"/>
      <c r="FP55" s="179"/>
      <c r="FQ55" s="179"/>
      <c r="FR55" s="179"/>
      <c r="FS55" s="179"/>
      <c r="FT55" s="179"/>
      <c r="FU55" s="179"/>
      <c r="FV55" s="179"/>
      <c r="FW55" s="179"/>
      <c r="FX55" s="179"/>
      <c r="FY55" s="179"/>
      <c r="FZ55" s="179"/>
      <c r="GA55" s="179"/>
      <c r="GB55" s="179"/>
      <c r="GC55" s="179"/>
      <c r="GD55" s="179"/>
      <c r="GE55" s="179"/>
      <c r="GF55" s="179"/>
      <c r="GG55" s="179"/>
      <c r="GH55" s="179"/>
      <c r="GI55" s="179"/>
      <c r="GJ55" s="179"/>
      <c r="GK55" s="179"/>
      <c r="GL55" s="179"/>
      <c r="GM55" s="179"/>
      <c r="GN55" s="179"/>
      <c r="GO55" s="179"/>
      <c r="GP55" s="179"/>
      <c r="GQ55" s="179"/>
      <c r="GR55" s="179"/>
      <c r="GS55" s="179"/>
      <c r="GT55" s="179"/>
      <c r="GU55" s="179"/>
      <c r="GV55" s="179"/>
      <c r="GW55" s="179"/>
      <c r="GX55" s="179"/>
      <c r="GY55" s="179"/>
      <c r="GZ55" s="179"/>
      <c r="HA55" s="179"/>
      <c r="HB55" s="179"/>
      <c r="HC55" s="179"/>
      <c r="HD55" s="179"/>
      <c r="HE55" s="179"/>
      <c r="HF55" s="179"/>
      <c r="HG55" s="179"/>
      <c r="HH55" s="179"/>
      <c r="HI55" s="179"/>
      <c r="HJ55" s="179"/>
      <c r="HK55" s="179"/>
      <c r="HL55" s="179"/>
      <c r="HM55" s="179"/>
      <c r="HN55" s="179"/>
      <c r="HO55" s="179"/>
      <c r="HP55" s="179"/>
      <c r="HQ55" s="179"/>
      <c r="HR55" s="179"/>
      <c r="HS55" s="179"/>
      <c r="HT55" s="179"/>
      <c r="HU55" s="179"/>
      <c r="HV55" s="179"/>
      <c r="HW55" s="179"/>
      <c r="HX55" s="179"/>
      <c r="HY55" s="179"/>
      <c r="HZ55" s="179"/>
      <c r="IA55" s="179"/>
      <c r="IB55" s="179"/>
      <c r="IC55" s="179"/>
      <c r="ID55" s="179"/>
      <c r="IE55" s="179"/>
      <c r="IF55" s="179"/>
      <c r="IG55" s="179"/>
      <c r="IH55" s="179"/>
      <c r="II55" s="179"/>
      <c r="IJ55" s="179"/>
      <c r="IK55" s="179"/>
      <c r="IL55" s="179"/>
      <c r="IM55" s="179"/>
      <c r="IN55" s="179"/>
      <c r="IO55" s="179"/>
      <c r="IP55" s="179"/>
      <c r="IQ55" s="179"/>
      <c r="IR55" s="179"/>
      <c r="IS55" s="179"/>
      <c r="IT55" s="179"/>
      <c r="IU55" s="179"/>
      <c r="IV55" s="179"/>
      <c r="IW55" s="179"/>
      <c r="IX55" s="179"/>
      <c r="IY55" s="179"/>
      <c r="IZ55" s="179"/>
      <c r="JA55" s="179"/>
      <c r="JB55" s="179"/>
      <c r="JC55" s="179"/>
      <c r="JD55" s="179"/>
      <c r="JE55" s="179"/>
      <c r="JF55" s="179"/>
      <c r="JG55" s="179"/>
      <c r="JH55" s="179"/>
      <c r="JI55" s="179"/>
    </row>
    <row r="56" spans="1:269" ht="15.6">
      <c r="A56" s="194" t="s">
        <v>235</v>
      </c>
      <c r="B56" s="38">
        <v>6</v>
      </c>
      <c r="C56" s="139" t="s">
        <v>226</v>
      </c>
      <c r="D56" s="141"/>
      <c r="E56" s="141"/>
      <c r="F56" s="142"/>
      <c r="G56" s="58" t="s">
        <v>227</v>
      </c>
      <c r="H56" s="59">
        <v>1656100</v>
      </c>
      <c r="I56" s="318"/>
      <c r="J56" s="55"/>
      <c r="K56" s="202"/>
      <c r="L56" s="67"/>
      <c r="M56" s="64"/>
      <c r="N56" s="65"/>
      <c r="O56" s="68"/>
      <c r="P56" s="56"/>
      <c r="Q56" s="68"/>
      <c r="R56" s="69"/>
      <c r="S56" s="69"/>
      <c r="T56" s="63"/>
      <c r="U56" s="54"/>
      <c r="V56" s="63"/>
      <c r="W56" s="63"/>
      <c r="X56" s="56"/>
      <c r="Y56" s="318">
        <v>45626</v>
      </c>
      <c r="Z56" s="63">
        <v>248415</v>
      </c>
      <c r="AA56" s="202">
        <f>Z56*15%</f>
        <v>37262.25</v>
      </c>
      <c r="AB56" s="47">
        <f>Z56+AA56</f>
        <v>285677.25</v>
      </c>
      <c r="AC56" s="318">
        <v>45651</v>
      </c>
      <c r="AD56" s="63">
        <f>'EGEC - NIS2'!M82</f>
        <v>828050</v>
      </c>
      <c r="AE56" s="202">
        <f>AD56*15%</f>
        <v>124207.5</v>
      </c>
      <c r="AF56" s="47">
        <f>AD56+AE56</f>
        <v>952257.5</v>
      </c>
      <c r="AG56" s="318">
        <v>45688</v>
      </c>
      <c r="AH56" s="63">
        <f>'EGEC - NIS2'!O82</f>
        <v>579635</v>
      </c>
      <c r="AI56" s="202">
        <f>AH56*15%</f>
        <v>86945.25</v>
      </c>
      <c r="AJ56" s="47">
        <f>AH56+AI56</f>
        <v>666580.25</v>
      </c>
      <c r="AK56" s="64"/>
      <c r="AL56" s="65"/>
      <c r="AM56" s="65"/>
      <c r="AN56" s="305"/>
      <c r="AO56" s="306"/>
      <c r="AP56" s="307"/>
      <c r="AQ56" s="307"/>
      <c r="AR56" s="308"/>
      <c r="AS56" s="306"/>
      <c r="AT56" s="307"/>
      <c r="AU56" s="307"/>
      <c r="AV56" s="308"/>
      <c r="AW56" s="306"/>
      <c r="AX56" s="307"/>
      <c r="AY56" s="307"/>
      <c r="AZ56" s="308"/>
      <c r="BA56" s="306"/>
      <c r="BB56" s="307"/>
      <c r="BC56" s="307"/>
      <c r="BD56" s="308"/>
      <c r="BE56" s="306"/>
      <c r="BF56" s="307"/>
      <c r="BG56" s="307"/>
      <c r="BH56" s="308"/>
      <c r="BI56" s="306"/>
      <c r="BJ56" s="307"/>
      <c r="BK56" s="307"/>
      <c r="BL56" s="309"/>
      <c r="BM56" s="306"/>
      <c r="BN56" s="307"/>
      <c r="BO56" s="307"/>
      <c r="BP56" s="308"/>
      <c r="BQ56" s="304"/>
      <c r="BR56" s="337"/>
      <c r="BS56" s="337"/>
      <c r="BT56" s="310"/>
      <c r="BU56" s="343"/>
      <c r="BV56" s="325"/>
      <c r="BW56" s="335"/>
      <c r="BX56" s="363"/>
      <c r="BY56" s="304"/>
      <c r="BZ56" s="337"/>
      <c r="CA56" s="337"/>
      <c r="CB56" s="310"/>
      <c r="CC56" s="328"/>
      <c r="CD56" s="352"/>
      <c r="CE56" s="352"/>
      <c r="CF56" s="361"/>
      <c r="CG56" s="357"/>
      <c r="CH56" s="352"/>
      <c r="CI56" s="357"/>
      <c r="CJ56" s="311"/>
      <c r="CK56" s="357"/>
      <c r="CL56" s="352"/>
      <c r="CM56" s="357"/>
      <c r="CN56" s="311"/>
      <c r="CO56" s="311"/>
      <c r="CP56" s="311"/>
      <c r="CQ56" s="311"/>
      <c r="CR56" s="311"/>
      <c r="CS56" s="311"/>
      <c r="CT56" s="311"/>
      <c r="CU56" s="311"/>
      <c r="CV56" s="311"/>
      <c r="CW56" s="311"/>
      <c r="CX56" s="311"/>
      <c r="CY56" s="311"/>
      <c r="CZ56" s="311"/>
      <c r="DA56" s="311"/>
      <c r="DB56" s="311"/>
      <c r="DC56" s="311"/>
      <c r="DD56" s="311"/>
      <c r="DE56" s="332"/>
      <c r="DF56" s="126">
        <f t="shared" si="9"/>
        <v>1656100</v>
      </c>
      <c r="DG56" s="126">
        <f t="shared" si="10"/>
        <v>248415</v>
      </c>
      <c r="DH56" s="126">
        <f t="shared" si="11"/>
        <v>1904515</v>
      </c>
      <c r="DI56" s="391">
        <f t="shared" si="4"/>
        <v>1656100</v>
      </c>
      <c r="DJ56" s="126">
        <f>Detailed[[#This Row],[Column28]]+Detailed[[#This Row],[Column32]]+Detailed[[#This Row],[Column36]]</f>
        <v>1904515</v>
      </c>
      <c r="DK56" s="183">
        <v>1</v>
      </c>
      <c r="DL56" s="154">
        <f t="shared" si="12"/>
        <v>1656100</v>
      </c>
      <c r="DM56" s="376">
        <f t="shared" si="13"/>
        <v>0</v>
      </c>
      <c r="DN56" s="178"/>
      <c r="DO56" s="179"/>
      <c r="DP56" s="694">
        <f>DO56-Detailed[[#This Row],[Column66]]</f>
        <v>-1656100</v>
      </c>
      <c r="DQ56" s="694">
        <v>768027</v>
      </c>
      <c r="DR56" s="179"/>
      <c r="DS56" s="231">
        <f>DQ56-Detailed[[#This Row],[Column66]]</f>
        <v>-888073</v>
      </c>
      <c r="DT56" s="179"/>
      <c r="DU56" s="179"/>
      <c r="DV56" s="179"/>
      <c r="DW56" s="179"/>
      <c r="DX56" s="179"/>
      <c r="DY56" s="179"/>
      <c r="DZ56" s="179"/>
      <c r="EA56" s="179"/>
      <c r="EB56" s="179"/>
      <c r="EC56" s="179"/>
      <c r="ED56" s="179"/>
      <c r="EE56" s="179"/>
      <c r="EF56" s="179"/>
      <c r="EG56" s="179"/>
      <c r="EH56" s="179"/>
      <c r="EI56" s="179"/>
      <c r="EJ56" s="179"/>
      <c r="EK56" s="179"/>
      <c r="EL56" s="179"/>
      <c r="EM56" s="179"/>
      <c r="EN56" s="179"/>
      <c r="EO56" s="179"/>
      <c r="EP56" s="179"/>
      <c r="EQ56" s="179"/>
      <c r="ER56" s="179"/>
      <c r="ES56" s="179"/>
      <c r="ET56" s="179"/>
      <c r="EU56" s="179"/>
      <c r="EV56" s="179"/>
      <c r="EW56" s="179"/>
      <c r="EX56" s="179"/>
      <c r="EY56" s="179"/>
      <c r="EZ56" s="179"/>
      <c r="FA56" s="179"/>
      <c r="FB56" s="179"/>
      <c r="FC56" s="179"/>
      <c r="FD56" s="179"/>
      <c r="FE56" s="179"/>
      <c r="FF56" s="179"/>
      <c r="FG56" s="179"/>
      <c r="FH56" s="179"/>
      <c r="FI56" s="179"/>
      <c r="FJ56" s="179"/>
      <c r="FK56" s="179"/>
      <c r="FL56" s="179"/>
      <c r="FM56" s="179"/>
      <c r="FN56" s="179"/>
      <c r="FO56" s="179"/>
      <c r="FP56" s="179"/>
      <c r="FQ56" s="179"/>
      <c r="FR56" s="179"/>
      <c r="FS56" s="179"/>
      <c r="FT56" s="179"/>
      <c r="FU56" s="179"/>
      <c r="FV56" s="179"/>
      <c r="FW56" s="179"/>
      <c r="FX56" s="179"/>
      <c r="FY56" s="179"/>
      <c r="FZ56" s="179"/>
      <c r="GA56" s="179"/>
      <c r="GB56" s="179"/>
      <c r="GC56" s="179"/>
      <c r="GD56" s="179"/>
      <c r="GE56" s="179"/>
      <c r="GF56" s="179"/>
      <c r="GG56" s="179"/>
      <c r="GH56" s="179"/>
      <c r="GI56" s="179"/>
      <c r="GJ56" s="179"/>
      <c r="GK56" s="179"/>
      <c r="GL56" s="179"/>
      <c r="GM56" s="179"/>
      <c r="GN56" s="179"/>
      <c r="GO56" s="179"/>
      <c r="GP56" s="179"/>
      <c r="GQ56" s="179"/>
      <c r="GR56" s="179"/>
      <c r="GS56" s="179"/>
      <c r="GT56" s="179"/>
      <c r="GU56" s="179"/>
      <c r="GV56" s="179"/>
      <c r="GW56" s="179"/>
      <c r="GX56" s="179"/>
      <c r="GY56" s="179"/>
      <c r="GZ56" s="179"/>
      <c r="HA56" s="179"/>
      <c r="HB56" s="179"/>
      <c r="HC56" s="179"/>
      <c r="HD56" s="179"/>
      <c r="HE56" s="179"/>
      <c r="HF56" s="179"/>
      <c r="HG56" s="179"/>
      <c r="HH56" s="179"/>
      <c r="HI56" s="179"/>
      <c r="HJ56" s="179"/>
      <c r="HK56" s="179"/>
      <c r="HL56" s="179"/>
      <c r="HM56" s="179"/>
      <c r="HN56" s="179"/>
      <c r="HO56" s="179"/>
      <c r="HP56" s="179"/>
      <c r="HQ56" s="179"/>
      <c r="HR56" s="179"/>
      <c r="HS56" s="179"/>
      <c r="HT56" s="179"/>
      <c r="HU56" s="179"/>
      <c r="HV56" s="179"/>
      <c r="HW56" s="179"/>
      <c r="HX56" s="179"/>
      <c r="HY56" s="179"/>
      <c r="HZ56" s="179"/>
      <c r="IA56" s="179"/>
      <c r="IB56" s="179"/>
      <c r="IC56" s="179"/>
      <c r="ID56" s="179"/>
      <c r="IE56" s="179"/>
      <c r="IF56" s="179"/>
      <c r="IG56" s="179"/>
      <c r="IH56" s="179"/>
      <c r="II56" s="179"/>
      <c r="IJ56" s="179"/>
      <c r="IK56" s="179"/>
      <c r="IL56" s="179"/>
      <c r="IM56" s="179"/>
      <c r="IN56" s="179"/>
      <c r="IO56" s="179"/>
      <c r="IP56" s="179"/>
      <c r="IQ56" s="179"/>
      <c r="IR56" s="179"/>
      <c r="IS56" s="179"/>
      <c r="IT56" s="179"/>
      <c r="IU56" s="179"/>
      <c r="IV56" s="179"/>
      <c r="IW56" s="179"/>
      <c r="IX56" s="179"/>
      <c r="IY56" s="179"/>
      <c r="IZ56" s="179"/>
      <c r="JA56" s="179"/>
      <c r="JB56" s="179"/>
      <c r="JC56" s="179"/>
      <c r="JD56" s="179"/>
      <c r="JE56" s="179"/>
      <c r="JF56" s="179"/>
      <c r="JG56" s="179"/>
      <c r="JH56" s="179"/>
      <c r="JI56" s="179"/>
    </row>
    <row r="57" spans="1:269" ht="15.6">
      <c r="A57" s="194" t="s">
        <v>235</v>
      </c>
      <c r="B57" s="38">
        <v>7</v>
      </c>
      <c r="C57" s="139" t="s">
        <v>297</v>
      </c>
      <c r="D57" s="521"/>
      <c r="E57" s="521"/>
      <c r="F57" s="522"/>
      <c r="G57" s="523" t="s">
        <v>301</v>
      </c>
      <c r="H57" s="524">
        <v>2560090</v>
      </c>
      <c r="I57" s="202"/>
      <c r="J57" s="526"/>
      <c r="K57" s="526"/>
      <c r="L57" s="527"/>
      <c r="M57" s="528"/>
      <c r="N57" s="529"/>
      <c r="O57" s="529"/>
      <c r="P57" s="530"/>
      <c r="Q57" s="531"/>
      <c r="R57" s="532"/>
      <c r="S57" s="532"/>
      <c r="T57" s="533"/>
      <c r="U57" s="534"/>
      <c r="V57" s="533"/>
      <c r="W57" s="533"/>
      <c r="X57" s="530"/>
      <c r="Y57" s="534"/>
      <c r="Z57" s="533"/>
      <c r="AA57" s="533"/>
      <c r="AB57" s="530"/>
      <c r="AC57" s="534"/>
      <c r="AD57" s="533"/>
      <c r="AE57" s="533"/>
      <c r="AF57" s="530"/>
      <c r="AG57" s="318">
        <v>45688</v>
      </c>
      <c r="AH57" s="526">
        <f>'EGEC - NIS2'!O101</f>
        <v>384013.5</v>
      </c>
      <c r="AI57" s="202">
        <f>AH57*15%</f>
        <v>57602.025000000001</v>
      </c>
      <c r="AJ57" s="47">
        <f>AH57+AI57</f>
        <v>441615.52500000002</v>
      </c>
      <c r="AK57" s="528"/>
      <c r="AL57" s="529"/>
      <c r="AM57" s="529"/>
      <c r="AN57" s="535"/>
      <c r="AO57" s="318">
        <v>45760</v>
      </c>
      <c r="AP57" s="537">
        <f>'EGEC - NIS2'!S101</f>
        <v>384013.5</v>
      </c>
      <c r="AQ57" s="202">
        <f>AP57*15%</f>
        <v>57602.025000000001</v>
      </c>
      <c r="AR57" s="47">
        <f>AP57+AQ57</f>
        <v>441615.52500000002</v>
      </c>
      <c r="AS57" s="318">
        <v>45777</v>
      </c>
      <c r="AT57" s="537">
        <f>'EGEC - NIS2'!U101</f>
        <v>640022.5</v>
      </c>
      <c r="AU57" s="202">
        <f>AT57*15%</f>
        <v>96003.375</v>
      </c>
      <c r="AV57" s="47">
        <f>AT57+AU57</f>
        <v>736025.875</v>
      </c>
      <c r="AW57" s="318">
        <v>45807</v>
      </c>
      <c r="AX57" s="537">
        <f>'EGEC - NIS2'!W101</f>
        <v>896032.00000000012</v>
      </c>
      <c r="AY57" s="202">
        <f>AX57*15%</f>
        <v>134404.80000000002</v>
      </c>
      <c r="AZ57" s="47">
        <f>AX57+AY57</f>
        <v>1030436.8000000002</v>
      </c>
      <c r="BA57" s="318">
        <v>45865</v>
      </c>
      <c r="BB57" s="537">
        <f>'EGEC - NIS2'!Y101</f>
        <v>256008.5</v>
      </c>
      <c r="BC57" s="202">
        <f>BB57*15%</f>
        <v>38401.275000000001</v>
      </c>
      <c r="BD57" s="47">
        <f>BB57+BC57</f>
        <v>294409.77500000002</v>
      </c>
      <c r="BE57" s="897"/>
      <c r="BF57" s="898"/>
      <c r="BG57" s="898"/>
      <c r="BH57" s="899"/>
      <c r="BI57" s="536"/>
      <c r="BJ57" s="537"/>
      <c r="BK57" s="537"/>
      <c r="BL57" s="539"/>
      <c r="BM57" s="536"/>
      <c r="BN57" s="537"/>
      <c r="BO57" s="537"/>
      <c r="BP57" s="539"/>
      <c r="BQ57" s="540"/>
      <c r="BR57" s="541"/>
      <c r="BS57" s="541"/>
      <c r="BT57" s="542"/>
      <c r="BU57" s="563"/>
      <c r="BV57" s="544"/>
      <c r="BW57" s="545"/>
      <c r="BX57" s="546"/>
      <c r="BY57" s="540"/>
      <c r="BZ57" s="541"/>
      <c r="CA57" s="541"/>
      <c r="CB57" s="542"/>
      <c r="CC57" s="328"/>
      <c r="CD57" s="352"/>
      <c r="CE57" s="352"/>
      <c r="CF57" s="361"/>
      <c r="CG57" s="357"/>
      <c r="CH57" s="352"/>
      <c r="CI57" s="357"/>
      <c r="CJ57" s="311"/>
      <c r="CK57" s="547"/>
      <c r="CL57" s="548"/>
      <c r="CM57" s="547"/>
      <c r="CN57" s="547"/>
      <c r="CO57" s="547"/>
      <c r="CP57" s="547"/>
      <c r="CQ57" s="547"/>
      <c r="CR57" s="547"/>
      <c r="CS57" s="547"/>
      <c r="CT57" s="547"/>
      <c r="CU57" s="547"/>
      <c r="CV57" s="547"/>
      <c r="CW57" s="547"/>
      <c r="CX57" s="547"/>
      <c r="CY57" s="547"/>
      <c r="CZ57" s="547"/>
      <c r="DA57" s="547"/>
      <c r="DB57" s="547"/>
      <c r="DC57" s="547"/>
      <c r="DD57" s="547"/>
      <c r="DE57" s="172"/>
      <c r="DF57" s="126">
        <f t="shared" si="9"/>
        <v>2560090</v>
      </c>
      <c r="DG57" s="126">
        <f t="shared" si="10"/>
        <v>384013.5</v>
      </c>
      <c r="DH57" s="126">
        <f t="shared" si="11"/>
        <v>2944103.5</v>
      </c>
      <c r="DI57" s="391">
        <f t="shared" si="4"/>
        <v>2560090</v>
      </c>
      <c r="DJ57" s="549">
        <f>Detailed[[#This Row],[Column36]]+Detailed[[#This Row],[Column44]]+Detailed[[#This Row],[Column48]]+Detailed[[#This Row],[Column52]]</f>
        <v>2649693.7250000001</v>
      </c>
      <c r="DK57" s="153">
        <v>1</v>
      </c>
      <c r="DL57" s="154">
        <f t="shared" si="12"/>
        <v>2560090</v>
      </c>
      <c r="DM57" s="376">
        <f t="shared" si="13"/>
        <v>0</v>
      </c>
      <c r="DN57" s="178"/>
      <c r="DO57" s="179"/>
      <c r="DP57" s="694">
        <f>DO57-Detailed[[#This Row],[Column66]]</f>
        <v>-2560090</v>
      </c>
      <c r="DQ57" s="694">
        <v>693000</v>
      </c>
      <c r="DR57" s="179"/>
      <c r="DS57" s="231">
        <f>DQ57-Detailed[[#This Row],[Column66]]</f>
        <v>-1867090</v>
      </c>
      <c r="DT57" s="179"/>
      <c r="DU57" s="179"/>
      <c r="DV57" s="179"/>
      <c r="DW57" s="179"/>
      <c r="DX57" s="179"/>
      <c r="DY57" s="179"/>
      <c r="DZ57" s="179"/>
      <c r="EA57" s="179"/>
      <c r="EB57" s="179"/>
      <c r="EC57" s="179"/>
      <c r="ED57" s="179"/>
      <c r="EE57" s="179"/>
      <c r="EF57" s="179"/>
      <c r="EG57" s="179"/>
      <c r="EH57" s="179"/>
      <c r="EI57" s="179"/>
      <c r="EJ57" s="179"/>
      <c r="EK57" s="179"/>
      <c r="EL57" s="179"/>
      <c r="EM57" s="179"/>
      <c r="EN57" s="179"/>
      <c r="EO57" s="179"/>
      <c r="EP57" s="179"/>
      <c r="EQ57" s="179"/>
      <c r="ER57" s="179"/>
      <c r="ES57" s="179"/>
      <c r="ET57" s="179"/>
      <c r="EU57" s="179"/>
      <c r="EV57" s="179"/>
      <c r="EW57" s="179"/>
      <c r="EX57" s="179"/>
      <c r="EY57" s="179"/>
      <c r="EZ57" s="179"/>
      <c r="FA57" s="179"/>
      <c r="FB57" s="179"/>
      <c r="FC57" s="179"/>
      <c r="FD57" s="179"/>
      <c r="FE57" s="179"/>
      <c r="FF57" s="179"/>
      <c r="FG57" s="179"/>
      <c r="FH57" s="179"/>
      <c r="FI57" s="179"/>
      <c r="FJ57" s="179"/>
      <c r="FK57" s="179"/>
      <c r="FL57" s="179"/>
      <c r="FM57" s="179"/>
      <c r="FN57" s="179"/>
      <c r="FO57" s="179"/>
      <c r="FP57" s="179"/>
      <c r="FQ57" s="179"/>
      <c r="FR57" s="179"/>
      <c r="FS57" s="179"/>
      <c r="FT57" s="179"/>
      <c r="FU57" s="179"/>
      <c r="FV57" s="179"/>
      <c r="FW57" s="179"/>
      <c r="FX57" s="179"/>
      <c r="FY57" s="179"/>
      <c r="FZ57" s="179"/>
      <c r="GA57" s="179"/>
      <c r="GB57" s="179"/>
      <c r="GC57" s="179"/>
      <c r="GD57" s="179"/>
      <c r="GE57" s="179"/>
      <c r="GF57" s="179"/>
      <c r="GG57" s="179"/>
      <c r="GH57" s="179"/>
      <c r="GI57" s="179"/>
      <c r="GJ57" s="179"/>
      <c r="GK57" s="179"/>
      <c r="GL57" s="179"/>
      <c r="GM57" s="179"/>
      <c r="GN57" s="179"/>
      <c r="GO57" s="179"/>
      <c r="GP57" s="179"/>
      <c r="GQ57" s="179"/>
      <c r="GR57" s="179"/>
      <c r="GS57" s="179"/>
      <c r="GT57" s="179"/>
      <c r="GU57" s="179"/>
      <c r="GV57" s="179"/>
      <c r="GW57" s="179"/>
      <c r="GX57" s="179"/>
      <c r="GY57" s="179"/>
      <c r="GZ57" s="179"/>
      <c r="HA57" s="179"/>
      <c r="HB57" s="179"/>
      <c r="HC57" s="179"/>
      <c r="HD57" s="179"/>
      <c r="HE57" s="179"/>
      <c r="HF57" s="179"/>
      <c r="HG57" s="179"/>
      <c r="HH57" s="179"/>
      <c r="HI57" s="179"/>
      <c r="HJ57" s="179"/>
      <c r="HK57" s="179"/>
      <c r="HL57" s="179"/>
      <c r="HM57" s="179"/>
      <c r="HN57" s="179"/>
      <c r="HO57" s="179"/>
      <c r="HP57" s="179"/>
      <c r="HQ57" s="179"/>
      <c r="HR57" s="179"/>
      <c r="HS57" s="179"/>
      <c r="HT57" s="179"/>
      <c r="HU57" s="179"/>
      <c r="HV57" s="179"/>
      <c r="HW57" s="179"/>
      <c r="HX57" s="179"/>
      <c r="HY57" s="179"/>
      <c r="HZ57" s="179"/>
      <c r="IA57" s="179"/>
      <c r="IB57" s="179"/>
      <c r="IC57" s="179"/>
      <c r="ID57" s="179"/>
      <c r="IE57" s="179"/>
      <c r="IF57" s="179"/>
      <c r="IG57" s="179"/>
      <c r="IH57" s="179"/>
      <c r="II57" s="179"/>
      <c r="IJ57" s="179"/>
      <c r="IK57" s="179"/>
      <c r="IL57" s="179"/>
      <c r="IM57" s="179"/>
      <c r="IN57" s="179"/>
      <c r="IO57" s="179"/>
      <c r="IP57" s="179"/>
      <c r="IQ57" s="179"/>
      <c r="IR57" s="179"/>
      <c r="IS57" s="179"/>
      <c r="IT57" s="179"/>
      <c r="IU57" s="179"/>
      <c r="IV57" s="179"/>
      <c r="IW57" s="179"/>
      <c r="IX57" s="179"/>
      <c r="IY57" s="179"/>
      <c r="IZ57" s="179"/>
      <c r="JA57" s="179"/>
      <c r="JB57" s="179"/>
      <c r="JC57" s="179"/>
      <c r="JD57" s="179"/>
      <c r="JE57" s="179"/>
      <c r="JF57" s="179"/>
      <c r="JG57" s="179"/>
      <c r="JH57" s="179"/>
      <c r="JI57" s="179"/>
    </row>
    <row r="58" spans="1:269" ht="15.6">
      <c r="A58" s="194" t="s">
        <v>235</v>
      </c>
      <c r="B58" s="38">
        <v>8</v>
      </c>
      <c r="C58" s="139" t="s">
        <v>299</v>
      </c>
      <c r="D58" s="521"/>
      <c r="E58" s="521"/>
      <c r="F58" s="522"/>
      <c r="G58" s="523" t="s">
        <v>300</v>
      </c>
      <c r="H58" s="524">
        <v>2310000</v>
      </c>
      <c r="I58" s="525"/>
      <c r="J58" s="526"/>
      <c r="K58" s="526"/>
      <c r="L58" s="527"/>
      <c r="M58" s="528"/>
      <c r="N58" s="529"/>
      <c r="O58" s="529"/>
      <c r="P58" s="530"/>
      <c r="Q58" s="531"/>
      <c r="R58" s="532"/>
      <c r="S58" s="532"/>
      <c r="T58" s="533"/>
      <c r="U58" s="534"/>
      <c r="V58" s="533"/>
      <c r="W58" s="533"/>
      <c r="X58" s="530"/>
      <c r="Y58" s="534"/>
      <c r="Z58" s="533"/>
      <c r="AA58" s="533"/>
      <c r="AB58" s="530"/>
      <c r="AC58" s="534"/>
      <c r="AD58" s="533"/>
      <c r="AE58" s="533"/>
      <c r="AF58" s="530"/>
      <c r="AG58" s="534"/>
      <c r="AH58" s="526"/>
      <c r="AI58" s="526"/>
      <c r="AJ58" s="530"/>
      <c r="AK58" s="528"/>
      <c r="AL58" s="529"/>
      <c r="AM58" s="529"/>
      <c r="AN58" s="535"/>
      <c r="AO58" s="318">
        <v>45760</v>
      </c>
      <c r="AP58" s="537">
        <f>'EGEC - NIS2'!S165</f>
        <v>693000</v>
      </c>
      <c r="AQ58" s="202">
        <f>AP58*15%</f>
        <v>103950</v>
      </c>
      <c r="AR58" s="47">
        <f>AP58+AQ58</f>
        <v>796950</v>
      </c>
      <c r="AS58" s="536"/>
      <c r="AT58" s="537"/>
      <c r="AU58" s="537"/>
      <c r="AV58" s="538"/>
      <c r="AW58" s="536"/>
      <c r="AX58" s="537"/>
      <c r="AY58" s="537"/>
      <c r="AZ58" s="538"/>
      <c r="BA58" s="536"/>
      <c r="BB58" s="537"/>
      <c r="BC58" s="537"/>
      <c r="BD58" s="538"/>
      <c r="BE58" s="536"/>
      <c r="BF58" s="537"/>
      <c r="BG58" s="537"/>
      <c r="BH58" s="538"/>
      <c r="BI58" s="536"/>
      <c r="BJ58" s="537"/>
      <c r="BK58" s="537"/>
      <c r="BL58" s="539"/>
      <c r="BM58" s="536"/>
      <c r="BN58" s="537"/>
      <c r="BO58" s="537"/>
      <c r="BP58" s="539"/>
      <c r="BQ58" s="540"/>
      <c r="BR58" s="541"/>
      <c r="BS58" s="541"/>
      <c r="BT58" s="542"/>
      <c r="BU58" s="563"/>
      <c r="BV58" s="544"/>
      <c r="BW58" s="545"/>
      <c r="BX58" s="546"/>
      <c r="BY58" s="540"/>
      <c r="BZ58" s="541"/>
      <c r="CA58" s="541"/>
      <c r="CB58" s="542"/>
      <c r="CC58" s="328"/>
      <c r="CD58" s="352"/>
      <c r="CE58" s="352"/>
      <c r="CF58" s="361"/>
      <c r="CG58" s="357"/>
      <c r="CH58" s="352"/>
      <c r="CI58" s="357"/>
      <c r="CJ58" s="311"/>
      <c r="CK58" s="547"/>
      <c r="CL58" s="548"/>
      <c r="CM58" s="547"/>
      <c r="CN58" s="547"/>
      <c r="CO58" s="547"/>
      <c r="CP58" s="547"/>
      <c r="CQ58" s="547"/>
      <c r="CR58" s="547"/>
      <c r="CS58" s="547"/>
      <c r="CT58" s="547"/>
      <c r="CU58" s="547"/>
      <c r="CV58" s="547"/>
      <c r="CW58" s="547"/>
      <c r="CX58" s="547"/>
      <c r="CY58" s="547"/>
      <c r="CZ58" s="547"/>
      <c r="DA58" s="547"/>
      <c r="DB58" s="547"/>
      <c r="DC58" s="547"/>
      <c r="DD58" s="547"/>
      <c r="DE58" s="172"/>
      <c r="DF58" s="126">
        <f t="shared" si="9"/>
        <v>2310000</v>
      </c>
      <c r="DG58" s="126">
        <f t="shared" si="10"/>
        <v>346500</v>
      </c>
      <c r="DH58" s="126">
        <f t="shared" si="11"/>
        <v>2656500</v>
      </c>
      <c r="DI58" s="391">
        <f t="shared" si="4"/>
        <v>693000</v>
      </c>
      <c r="DJ58" s="549">
        <f>Detailed[[#This Row],[Column44]]</f>
        <v>796950</v>
      </c>
      <c r="DK58" s="153">
        <v>0.3</v>
      </c>
      <c r="DL58" s="154">
        <f t="shared" si="12"/>
        <v>693000</v>
      </c>
      <c r="DM58" s="376">
        <f t="shared" si="13"/>
        <v>0</v>
      </c>
      <c r="DN58" s="178"/>
      <c r="DO58" s="179"/>
      <c r="DP58" s="694">
        <f>DO58-Detailed[[#This Row],[Column66]]</f>
        <v>-693000</v>
      </c>
      <c r="DQ58" s="694">
        <v>350000</v>
      </c>
      <c r="DR58" s="179"/>
      <c r="DS58" s="231">
        <f>DQ58-Detailed[[#This Row],[Column66]]</f>
        <v>-343000</v>
      </c>
      <c r="DT58" s="179"/>
      <c r="DU58" s="179"/>
      <c r="DV58" s="179"/>
      <c r="DW58" s="179"/>
      <c r="DX58" s="179"/>
      <c r="DY58" s="179"/>
      <c r="DZ58" s="179"/>
      <c r="EA58" s="179"/>
      <c r="EB58" s="179"/>
      <c r="EC58" s="179"/>
      <c r="ED58" s="179"/>
      <c r="EE58" s="179"/>
      <c r="EF58" s="179"/>
      <c r="EG58" s="179"/>
      <c r="EH58" s="179"/>
      <c r="EI58" s="179"/>
      <c r="EJ58" s="179"/>
      <c r="EK58" s="179"/>
      <c r="EL58" s="179"/>
      <c r="EM58" s="179"/>
      <c r="EN58" s="179"/>
      <c r="EO58" s="179"/>
      <c r="EP58" s="179"/>
      <c r="EQ58" s="179"/>
      <c r="ER58" s="179"/>
      <c r="ES58" s="179"/>
      <c r="ET58" s="179"/>
      <c r="EU58" s="179"/>
      <c r="EV58" s="179"/>
      <c r="EW58" s="179"/>
      <c r="EX58" s="179"/>
      <c r="EY58" s="179"/>
      <c r="EZ58" s="179"/>
      <c r="FA58" s="179"/>
      <c r="FB58" s="179"/>
      <c r="FC58" s="179"/>
      <c r="FD58" s="179"/>
      <c r="FE58" s="179"/>
      <c r="FF58" s="179"/>
      <c r="FG58" s="179"/>
      <c r="FH58" s="179"/>
      <c r="FI58" s="179"/>
      <c r="FJ58" s="179"/>
      <c r="FK58" s="179"/>
      <c r="FL58" s="179"/>
      <c r="FM58" s="179"/>
      <c r="FN58" s="179"/>
      <c r="FO58" s="179"/>
      <c r="FP58" s="179"/>
      <c r="FQ58" s="179"/>
      <c r="FR58" s="179"/>
      <c r="FS58" s="179"/>
      <c r="FT58" s="179"/>
      <c r="FU58" s="179"/>
      <c r="FV58" s="179"/>
      <c r="FW58" s="179"/>
      <c r="FX58" s="179"/>
      <c r="FY58" s="179"/>
      <c r="FZ58" s="179"/>
      <c r="GA58" s="179"/>
      <c r="GB58" s="179"/>
      <c r="GC58" s="179"/>
      <c r="GD58" s="179"/>
      <c r="GE58" s="179"/>
      <c r="GF58" s="179"/>
      <c r="GG58" s="179"/>
      <c r="GH58" s="179"/>
      <c r="GI58" s="179"/>
      <c r="GJ58" s="179"/>
      <c r="GK58" s="179"/>
      <c r="GL58" s="179"/>
      <c r="GM58" s="179"/>
      <c r="GN58" s="179"/>
      <c r="GO58" s="179"/>
      <c r="GP58" s="179"/>
      <c r="GQ58" s="179"/>
      <c r="GR58" s="179"/>
      <c r="GS58" s="179"/>
      <c r="GT58" s="179"/>
      <c r="GU58" s="179"/>
      <c r="GV58" s="179"/>
      <c r="GW58" s="179"/>
      <c r="GX58" s="179"/>
      <c r="GY58" s="179"/>
      <c r="GZ58" s="179"/>
      <c r="HA58" s="179"/>
      <c r="HB58" s="179"/>
      <c r="HC58" s="179"/>
      <c r="HD58" s="179"/>
      <c r="HE58" s="179"/>
      <c r="HF58" s="179"/>
      <c r="HG58" s="179"/>
      <c r="HH58" s="179"/>
      <c r="HI58" s="179"/>
      <c r="HJ58" s="179"/>
      <c r="HK58" s="179"/>
      <c r="HL58" s="179"/>
      <c r="HM58" s="179"/>
      <c r="HN58" s="179"/>
      <c r="HO58" s="179"/>
      <c r="HP58" s="179"/>
      <c r="HQ58" s="179"/>
      <c r="HR58" s="179"/>
      <c r="HS58" s="179"/>
      <c r="HT58" s="179"/>
      <c r="HU58" s="179"/>
      <c r="HV58" s="179"/>
      <c r="HW58" s="179"/>
      <c r="HX58" s="179"/>
      <c r="HY58" s="179"/>
      <c r="HZ58" s="179"/>
      <c r="IA58" s="179"/>
      <c r="IB58" s="179"/>
      <c r="IC58" s="179"/>
      <c r="ID58" s="179"/>
      <c r="IE58" s="179"/>
      <c r="IF58" s="179"/>
      <c r="IG58" s="179"/>
      <c r="IH58" s="179"/>
      <c r="II58" s="179"/>
      <c r="IJ58" s="179"/>
      <c r="IK58" s="179"/>
      <c r="IL58" s="179"/>
      <c r="IM58" s="179"/>
      <c r="IN58" s="179"/>
      <c r="IO58" s="179"/>
      <c r="IP58" s="179"/>
      <c r="IQ58" s="179"/>
      <c r="IR58" s="179"/>
      <c r="IS58" s="179"/>
      <c r="IT58" s="179"/>
      <c r="IU58" s="179"/>
      <c r="IV58" s="179"/>
      <c r="IW58" s="179"/>
      <c r="IX58" s="179"/>
      <c r="IY58" s="179"/>
      <c r="IZ58" s="179"/>
      <c r="JA58" s="179"/>
      <c r="JB58" s="179"/>
      <c r="JC58" s="179"/>
      <c r="JD58" s="179"/>
      <c r="JE58" s="179"/>
      <c r="JF58" s="179"/>
      <c r="JG58" s="179"/>
      <c r="JH58" s="179"/>
      <c r="JI58" s="179"/>
    </row>
    <row r="59" spans="1:269" ht="16.2" thickBot="1">
      <c r="A59" s="194" t="s">
        <v>235</v>
      </c>
      <c r="B59" s="38">
        <v>9</v>
      </c>
      <c r="C59" s="139" t="s">
        <v>302</v>
      </c>
      <c r="D59" s="521"/>
      <c r="E59" s="521"/>
      <c r="F59" s="522"/>
      <c r="G59" s="523" t="s">
        <v>303</v>
      </c>
      <c r="H59" s="524">
        <v>350000</v>
      </c>
      <c r="I59" s="525"/>
      <c r="J59" s="526"/>
      <c r="K59" s="526"/>
      <c r="L59" s="527"/>
      <c r="M59" s="528"/>
      <c r="N59" s="529"/>
      <c r="O59" s="529"/>
      <c r="P59" s="530"/>
      <c r="Q59" s="531"/>
      <c r="R59" s="532"/>
      <c r="S59" s="532"/>
      <c r="T59" s="533"/>
      <c r="U59" s="534"/>
      <c r="V59" s="533"/>
      <c r="W59" s="533"/>
      <c r="X59" s="530"/>
      <c r="Y59" s="534"/>
      <c r="Z59" s="533"/>
      <c r="AA59" s="533"/>
      <c r="AB59" s="530"/>
      <c r="AC59" s="534"/>
      <c r="AD59" s="533"/>
      <c r="AE59" s="533"/>
      <c r="AF59" s="530"/>
      <c r="AG59" s="534"/>
      <c r="AH59" s="526"/>
      <c r="AI59" s="526"/>
      <c r="AJ59" s="530"/>
      <c r="AK59" s="318">
        <v>45718</v>
      </c>
      <c r="AL59" s="63">
        <f>'EGEC - NIS2'!Q124</f>
        <v>175000</v>
      </c>
      <c r="AM59" s="202">
        <f>AL59*15%</f>
        <v>26250</v>
      </c>
      <c r="AN59" s="47">
        <f>AL59+AM59</f>
        <v>201250</v>
      </c>
      <c r="AO59" s="318">
        <v>45760</v>
      </c>
      <c r="AP59" s="537">
        <f>'EGEC - NIS2'!S124</f>
        <v>175000</v>
      </c>
      <c r="AQ59" s="202">
        <f>AP59*15%</f>
        <v>26250</v>
      </c>
      <c r="AR59" s="47">
        <f>AP59+AQ59</f>
        <v>201250</v>
      </c>
      <c r="AS59" s="536"/>
      <c r="AT59" s="537"/>
      <c r="AU59" s="537"/>
      <c r="AV59" s="538"/>
      <c r="AW59" s="536"/>
      <c r="AX59" s="537"/>
      <c r="AY59" s="537"/>
      <c r="AZ59" s="538"/>
      <c r="BA59" s="536"/>
      <c r="BB59" s="537"/>
      <c r="BC59" s="537"/>
      <c r="BD59" s="538"/>
      <c r="BE59" s="536"/>
      <c r="BF59" s="537"/>
      <c r="BG59" s="537"/>
      <c r="BH59" s="538"/>
      <c r="BI59" s="536"/>
      <c r="BJ59" s="537"/>
      <c r="BK59" s="537"/>
      <c r="BL59" s="539"/>
      <c r="BM59" s="536"/>
      <c r="BN59" s="537"/>
      <c r="BO59" s="537"/>
      <c r="BP59" s="539"/>
      <c r="BQ59" s="540"/>
      <c r="BR59" s="541"/>
      <c r="BS59" s="541"/>
      <c r="BT59" s="542"/>
      <c r="BU59" s="563"/>
      <c r="BV59" s="544"/>
      <c r="BW59" s="545"/>
      <c r="BX59" s="546"/>
      <c r="BY59" s="540"/>
      <c r="BZ59" s="541"/>
      <c r="CA59" s="541"/>
      <c r="CB59" s="542"/>
      <c r="CC59" s="328"/>
      <c r="CD59" s="352"/>
      <c r="CE59" s="352"/>
      <c r="CF59" s="361"/>
      <c r="CG59" s="357"/>
      <c r="CH59" s="352"/>
      <c r="CI59" s="357"/>
      <c r="CJ59" s="311"/>
      <c r="CK59" s="547"/>
      <c r="CL59" s="548"/>
      <c r="CM59" s="547"/>
      <c r="CN59" s="547"/>
      <c r="CO59" s="547"/>
      <c r="CP59" s="547"/>
      <c r="CQ59" s="547"/>
      <c r="CR59" s="547"/>
      <c r="CS59" s="547"/>
      <c r="CT59" s="547"/>
      <c r="CU59" s="547"/>
      <c r="CV59" s="547"/>
      <c r="CW59" s="547"/>
      <c r="CX59" s="547"/>
      <c r="CY59" s="547"/>
      <c r="CZ59" s="547"/>
      <c r="DA59" s="547"/>
      <c r="DB59" s="547"/>
      <c r="DC59" s="547"/>
      <c r="DD59" s="547"/>
      <c r="DE59" s="172"/>
      <c r="DF59" s="115">
        <f t="shared" si="9"/>
        <v>350000</v>
      </c>
      <c r="DG59" s="115">
        <f t="shared" si="10"/>
        <v>52500</v>
      </c>
      <c r="DH59" s="115">
        <f t="shared" si="11"/>
        <v>402500</v>
      </c>
      <c r="DI59" s="1042">
        <f t="shared" si="4"/>
        <v>350000</v>
      </c>
      <c r="DJ59" s="1043">
        <f>Detailed[[#This Row],[Column40]]+Detailed[[#This Row],[Column44]]</f>
        <v>402500</v>
      </c>
      <c r="DK59" s="212">
        <v>1</v>
      </c>
      <c r="DL59" s="213">
        <f t="shared" si="12"/>
        <v>350000</v>
      </c>
      <c r="DM59" s="376">
        <f t="shared" si="13"/>
        <v>0</v>
      </c>
      <c r="DN59" s="692"/>
      <c r="DO59" s="179"/>
      <c r="DP59" s="694">
        <f>DO59-Detailed[[#This Row],[Column66]]</f>
        <v>-350000</v>
      </c>
      <c r="DQ59" s="694">
        <v>210000</v>
      </c>
      <c r="DR59" s="179"/>
      <c r="DS59" s="231">
        <f>DQ59-Detailed[[#This Row],[Column66]]</f>
        <v>-140000</v>
      </c>
      <c r="DT59" s="179"/>
      <c r="DU59" s="179"/>
      <c r="DV59" s="179"/>
      <c r="DW59" s="179"/>
      <c r="DX59" s="179"/>
      <c r="DY59" s="179"/>
      <c r="DZ59" s="179"/>
      <c r="EA59" s="179"/>
      <c r="EB59" s="179"/>
      <c r="EC59" s="179"/>
      <c r="ED59" s="179"/>
      <c r="EE59" s="179"/>
      <c r="EF59" s="179"/>
      <c r="EG59" s="179"/>
      <c r="EH59" s="179"/>
      <c r="EI59" s="179"/>
      <c r="EJ59" s="179"/>
      <c r="EK59" s="179"/>
      <c r="EL59" s="179"/>
      <c r="EM59" s="179"/>
      <c r="EN59" s="179"/>
      <c r="EO59" s="179"/>
      <c r="EP59" s="179"/>
      <c r="EQ59" s="179"/>
      <c r="ER59" s="179"/>
      <c r="ES59" s="179"/>
      <c r="ET59" s="179"/>
      <c r="EU59" s="179"/>
      <c r="EV59" s="179"/>
      <c r="EW59" s="179"/>
      <c r="EX59" s="179"/>
      <c r="EY59" s="179"/>
      <c r="EZ59" s="179"/>
      <c r="FA59" s="179"/>
      <c r="FB59" s="179"/>
      <c r="FC59" s="179"/>
      <c r="FD59" s="179"/>
      <c r="FE59" s="179"/>
      <c r="FF59" s="179"/>
      <c r="FG59" s="179"/>
      <c r="FH59" s="179"/>
      <c r="FI59" s="179"/>
      <c r="FJ59" s="179"/>
      <c r="FK59" s="179"/>
      <c r="FL59" s="179"/>
      <c r="FM59" s="179"/>
      <c r="FN59" s="179"/>
      <c r="FO59" s="179"/>
      <c r="FP59" s="179"/>
      <c r="FQ59" s="179"/>
      <c r="FR59" s="179"/>
      <c r="FS59" s="179"/>
      <c r="FT59" s="179"/>
      <c r="FU59" s="179"/>
      <c r="FV59" s="179"/>
      <c r="FW59" s="179"/>
      <c r="FX59" s="179"/>
      <c r="FY59" s="179"/>
      <c r="FZ59" s="179"/>
      <c r="GA59" s="179"/>
      <c r="GB59" s="179"/>
      <c r="GC59" s="179"/>
      <c r="GD59" s="179"/>
      <c r="GE59" s="179"/>
      <c r="GF59" s="179"/>
      <c r="GG59" s="179"/>
      <c r="GH59" s="179"/>
      <c r="GI59" s="179"/>
      <c r="GJ59" s="179"/>
      <c r="GK59" s="179"/>
      <c r="GL59" s="179"/>
      <c r="GM59" s="179"/>
      <c r="GN59" s="179"/>
      <c r="GO59" s="179"/>
      <c r="GP59" s="179"/>
      <c r="GQ59" s="179"/>
      <c r="GR59" s="179"/>
      <c r="GS59" s="179"/>
      <c r="GT59" s="179"/>
      <c r="GU59" s="179"/>
      <c r="GV59" s="179"/>
      <c r="GW59" s="179"/>
      <c r="GX59" s="179"/>
      <c r="GY59" s="179"/>
      <c r="GZ59" s="179"/>
      <c r="HA59" s="179"/>
      <c r="HB59" s="179"/>
      <c r="HC59" s="179"/>
      <c r="HD59" s="179"/>
      <c r="HE59" s="179"/>
      <c r="HF59" s="179"/>
      <c r="HG59" s="179"/>
      <c r="HH59" s="179"/>
      <c r="HI59" s="179"/>
      <c r="HJ59" s="179"/>
      <c r="HK59" s="179"/>
      <c r="HL59" s="179"/>
      <c r="HM59" s="179"/>
      <c r="HN59" s="179"/>
      <c r="HO59" s="179"/>
      <c r="HP59" s="179"/>
      <c r="HQ59" s="179"/>
      <c r="HR59" s="179"/>
      <c r="HS59" s="179"/>
      <c r="HT59" s="179"/>
      <c r="HU59" s="179"/>
      <c r="HV59" s="179"/>
      <c r="HW59" s="179"/>
      <c r="HX59" s="179"/>
      <c r="HY59" s="179"/>
      <c r="HZ59" s="179"/>
      <c r="IA59" s="179"/>
      <c r="IB59" s="179"/>
      <c r="IC59" s="179"/>
      <c r="ID59" s="179"/>
      <c r="IE59" s="179"/>
      <c r="IF59" s="179"/>
      <c r="IG59" s="179"/>
      <c r="IH59" s="179"/>
      <c r="II59" s="179"/>
      <c r="IJ59" s="179"/>
      <c r="IK59" s="179"/>
      <c r="IL59" s="179"/>
      <c r="IM59" s="179"/>
      <c r="IN59" s="179"/>
      <c r="IO59" s="179"/>
      <c r="IP59" s="179"/>
      <c r="IQ59" s="179"/>
      <c r="IR59" s="179"/>
      <c r="IS59" s="179"/>
      <c r="IT59" s="179"/>
      <c r="IU59" s="179"/>
      <c r="IV59" s="179"/>
      <c r="IW59" s="179"/>
      <c r="IX59" s="179"/>
      <c r="IY59" s="179"/>
      <c r="IZ59" s="179"/>
      <c r="JA59" s="179"/>
      <c r="JB59" s="179"/>
      <c r="JC59" s="179"/>
      <c r="JD59" s="179"/>
      <c r="JE59" s="179"/>
      <c r="JF59" s="179"/>
      <c r="JG59" s="179"/>
      <c r="JH59" s="179"/>
      <c r="JI59" s="179"/>
    </row>
    <row r="60" spans="1:269" ht="15.75" customHeight="1" thickTop="1" thickBot="1">
      <c r="A60" s="194" t="s">
        <v>235</v>
      </c>
      <c r="B60" s="38">
        <v>10</v>
      </c>
      <c r="C60" s="139" t="s">
        <v>314</v>
      </c>
      <c r="D60" s="141"/>
      <c r="E60" s="141"/>
      <c r="F60" s="142"/>
      <c r="G60" s="58" t="s">
        <v>315</v>
      </c>
      <c r="H60" s="59">
        <v>700000</v>
      </c>
      <c r="I60" s="66"/>
      <c r="J60" s="55"/>
      <c r="K60" s="55"/>
      <c r="L60" s="67"/>
      <c r="M60" s="64"/>
      <c r="N60" s="65"/>
      <c r="O60" s="65"/>
      <c r="P60" s="56"/>
      <c r="Q60" s="68"/>
      <c r="R60" s="69"/>
      <c r="S60" s="69"/>
      <c r="T60" s="63"/>
      <c r="U60" s="54"/>
      <c r="V60" s="63"/>
      <c r="W60" s="63"/>
      <c r="X60" s="56"/>
      <c r="Y60" s="54"/>
      <c r="Z60" s="63"/>
      <c r="AA60" s="63"/>
      <c r="AB60" s="56"/>
      <c r="AC60" s="54"/>
      <c r="AD60" s="63"/>
      <c r="AE60" s="63"/>
      <c r="AF60" s="56"/>
      <c r="AG60" s="54"/>
      <c r="AH60" s="55"/>
      <c r="AI60" s="55"/>
      <c r="AJ60" s="56"/>
      <c r="AK60" s="64"/>
      <c r="AL60" s="65"/>
      <c r="AM60" s="65"/>
      <c r="AN60" s="165"/>
      <c r="AO60" s="318">
        <v>45760</v>
      </c>
      <c r="AP60" s="124">
        <f>'EGEC - NIS2'!S146</f>
        <v>210000</v>
      </c>
      <c r="AQ60" s="202">
        <f>AP60*15%</f>
        <v>31500</v>
      </c>
      <c r="AR60" s="47">
        <f>AP60+AQ60</f>
        <v>241500</v>
      </c>
      <c r="AS60" s="123"/>
      <c r="AT60" s="124"/>
      <c r="AU60" s="124"/>
      <c r="AV60" s="121"/>
      <c r="AW60" s="123"/>
      <c r="AX60" s="124"/>
      <c r="AY60" s="124"/>
      <c r="AZ60" s="121"/>
      <c r="BA60" s="123"/>
      <c r="BB60" s="124"/>
      <c r="BC60" s="124"/>
      <c r="BD60" s="121"/>
      <c r="BE60" s="318">
        <v>45907</v>
      </c>
      <c r="BF60" s="537">
        <f>'EGEC - NIS2'!U146</f>
        <v>175000.63999999998</v>
      </c>
      <c r="BG60" s="202">
        <f>BF60*15%</f>
        <v>26250.095999999998</v>
      </c>
      <c r="BH60" s="47">
        <f>BF60+BG60</f>
        <v>201250.73599999998</v>
      </c>
      <c r="BI60" s="123"/>
      <c r="BJ60" s="124"/>
      <c r="BK60" s="124"/>
      <c r="BL60" s="122"/>
      <c r="BM60" s="123"/>
      <c r="BN60" s="124"/>
      <c r="BO60" s="124"/>
      <c r="BP60" s="122"/>
      <c r="BQ60" s="318">
        <v>45994</v>
      </c>
      <c r="BR60" s="434">
        <f>'EGEC - NIS2'!W146</f>
        <v>140000</v>
      </c>
      <c r="BS60" s="124">
        <f>Detailed[[#This Row],[Column78]]*15%</f>
        <v>21000</v>
      </c>
      <c r="BT60" s="435">
        <f>Detailed[[#This Row],[Column76]]+Detailed[[#This Row],[Column78]]</f>
        <v>161000</v>
      </c>
      <c r="BU60" s="170"/>
      <c r="BV60" s="436"/>
      <c r="BW60" s="171"/>
      <c r="BX60" s="205"/>
      <c r="BY60" s="158"/>
      <c r="BZ60" s="434"/>
      <c r="CA60" s="434"/>
      <c r="CB60" s="435"/>
      <c r="CC60" s="328"/>
      <c r="CD60" s="352"/>
      <c r="CE60" s="352"/>
      <c r="CF60" s="361"/>
      <c r="CG60" s="357"/>
      <c r="CH60" s="352"/>
      <c r="CI60" s="357"/>
      <c r="CJ60" s="311"/>
      <c r="CK60" s="311"/>
      <c r="CL60" s="352"/>
      <c r="CM60" s="311"/>
      <c r="CN60" s="311"/>
      <c r="CO60" s="311"/>
      <c r="CP60" s="311"/>
      <c r="CQ60" s="311"/>
      <c r="CR60" s="311"/>
      <c r="CS60" s="311"/>
      <c r="CT60" s="311"/>
      <c r="CU60" s="311"/>
      <c r="CV60" s="311"/>
      <c r="CW60" s="311"/>
      <c r="CX60" s="311"/>
      <c r="CY60" s="311"/>
      <c r="CZ60" s="311"/>
      <c r="DA60" s="311"/>
      <c r="DB60" s="311"/>
      <c r="DC60" s="311"/>
      <c r="DD60" s="311"/>
      <c r="DE60" s="222"/>
      <c r="DF60" s="1051">
        <f t="shared" si="9"/>
        <v>700000</v>
      </c>
      <c r="DG60" s="1052">
        <f t="shared" si="10"/>
        <v>105000</v>
      </c>
      <c r="DH60" s="1052">
        <f t="shared" si="11"/>
        <v>805000</v>
      </c>
      <c r="DI60" s="1059">
        <f>SUMPRODUCT((MOD(COLUMN(I60:DD60)-COLUMN(I60),4)=1)*I60:DD60)</f>
        <v>525000.64</v>
      </c>
      <c r="DJ60" s="1059">
        <f>SUMPRODUCT((MOD(COLUMN(I60:DD60)-COLUMN(J60),4)=2)*I60:DD60)</f>
        <v>603750.73600000003</v>
      </c>
      <c r="DK60" s="1080">
        <v>0.86</v>
      </c>
      <c r="DL60" s="1081">
        <f t="shared" si="12"/>
        <v>602000</v>
      </c>
      <c r="DM60" s="1056">
        <f t="shared" si="13"/>
        <v>76999.359999999986</v>
      </c>
      <c r="DN60" s="692"/>
      <c r="DO60" s="694">
        <f>SUMPRODUCT((MOD(COLUMN(I60:DD60)-COLUMN(I60),4)=1)*I60:DD60)</f>
        <v>525000.64</v>
      </c>
      <c r="DP60" s="694">
        <f>DO60-Detailed[[#This Row],[Column66]]</f>
        <v>0</v>
      </c>
      <c r="DQ60" s="694">
        <v>85000</v>
      </c>
      <c r="DR60" s="179"/>
      <c r="DS60" s="231">
        <f>DQ60-Detailed[[#This Row],[Column66]]</f>
        <v>-440000.64</v>
      </c>
      <c r="DT60" s="179"/>
      <c r="DU60" s="179"/>
      <c r="DV60" s="179"/>
      <c r="DW60" s="179"/>
      <c r="DX60" s="179"/>
      <c r="DY60" s="179"/>
      <c r="DZ60" s="179"/>
      <c r="EA60" s="179"/>
      <c r="EB60" s="179"/>
      <c r="EC60" s="179"/>
      <c r="ED60" s="179"/>
      <c r="EE60" s="179"/>
      <c r="EF60" s="179"/>
      <c r="EG60" s="179"/>
      <c r="EH60" s="179"/>
      <c r="EI60" s="179"/>
      <c r="EJ60" s="179"/>
      <c r="EK60" s="179"/>
      <c r="EL60" s="179"/>
      <c r="EM60" s="179"/>
      <c r="EN60" s="179"/>
      <c r="EO60" s="179"/>
      <c r="EP60" s="179"/>
      <c r="EQ60" s="179"/>
      <c r="ER60" s="179"/>
      <c r="ES60" s="179"/>
      <c r="ET60" s="179"/>
      <c r="EU60" s="179"/>
      <c r="EV60" s="179"/>
      <c r="EW60" s="179"/>
      <c r="EX60" s="179"/>
      <c r="EY60" s="179"/>
      <c r="EZ60" s="179"/>
      <c r="FA60" s="179"/>
      <c r="FB60" s="179"/>
      <c r="FC60" s="179"/>
      <c r="FD60" s="179"/>
      <c r="FE60" s="179"/>
      <c r="FF60" s="179"/>
      <c r="FG60" s="179"/>
      <c r="FH60" s="179"/>
      <c r="FI60" s="179"/>
      <c r="FJ60" s="179"/>
      <c r="FK60" s="179"/>
      <c r="FL60" s="179"/>
      <c r="FM60" s="179"/>
      <c r="FN60" s="179"/>
      <c r="FO60" s="179"/>
      <c r="FP60" s="179"/>
      <c r="FQ60" s="179"/>
      <c r="FR60" s="179"/>
      <c r="FS60" s="179"/>
      <c r="FT60" s="179"/>
      <c r="FU60" s="179"/>
      <c r="FV60" s="179"/>
      <c r="FW60" s="179"/>
      <c r="FX60" s="179"/>
      <c r="FY60" s="179"/>
      <c r="FZ60" s="179"/>
      <c r="GA60" s="179"/>
      <c r="GB60" s="179"/>
      <c r="GC60" s="179"/>
      <c r="GD60" s="179"/>
      <c r="GE60" s="179"/>
      <c r="GF60" s="179"/>
      <c r="GG60" s="179"/>
      <c r="GH60" s="179"/>
      <c r="GI60" s="179"/>
      <c r="GJ60" s="179"/>
      <c r="GK60" s="179"/>
      <c r="GL60" s="179"/>
      <c r="GM60" s="179"/>
      <c r="GN60" s="179"/>
      <c r="GO60" s="179"/>
      <c r="GP60" s="179"/>
      <c r="GQ60" s="179"/>
      <c r="GR60" s="179"/>
      <c r="GS60" s="179"/>
      <c r="GT60" s="179"/>
      <c r="GU60" s="179"/>
      <c r="GV60" s="179"/>
      <c r="GW60" s="179"/>
      <c r="GX60" s="179"/>
      <c r="GY60" s="179"/>
      <c r="GZ60" s="179"/>
      <c r="HA60" s="179"/>
      <c r="HB60" s="179"/>
      <c r="HC60" s="179"/>
      <c r="HD60" s="179"/>
      <c r="HE60" s="179"/>
      <c r="HF60" s="179"/>
      <c r="HG60" s="179"/>
      <c r="HH60" s="179"/>
      <c r="HI60" s="179"/>
      <c r="HJ60" s="179"/>
      <c r="HK60" s="179"/>
      <c r="HL60" s="179"/>
      <c r="HM60" s="179"/>
      <c r="HN60" s="179"/>
      <c r="HO60" s="179"/>
      <c r="HP60" s="179"/>
      <c r="HQ60" s="179"/>
      <c r="HR60" s="179"/>
      <c r="HS60" s="179"/>
      <c r="HT60" s="179"/>
      <c r="HU60" s="179"/>
      <c r="HV60" s="179"/>
      <c r="HW60" s="179"/>
      <c r="HX60" s="179"/>
      <c r="HY60" s="179"/>
      <c r="HZ60" s="179"/>
      <c r="IA60" s="179"/>
      <c r="IB60" s="179"/>
      <c r="IC60" s="179"/>
      <c r="ID60" s="179"/>
      <c r="IE60" s="179"/>
      <c r="IF60" s="179"/>
      <c r="IG60" s="179"/>
      <c r="IH60" s="179"/>
      <c r="II60" s="179"/>
      <c r="IJ60" s="179"/>
      <c r="IK60" s="179"/>
      <c r="IL60" s="179"/>
      <c r="IM60" s="179"/>
      <c r="IN60" s="179"/>
      <c r="IO60" s="179"/>
      <c r="IP60" s="179"/>
      <c r="IQ60" s="179"/>
      <c r="IR60" s="179"/>
      <c r="IS60" s="179"/>
      <c r="IT60" s="179"/>
      <c r="IU60" s="179"/>
      <c r="IV60" s="179"/>
      <c r="IW60" s="179"/>
      <c r="IX60" s="179"/>
      <c r="IY60" s="179"/>
      <c r="IZ60" s="179"/>
      <c r="JA60" s="179"/>
      <c r="JB60" s="179"/>
      <c r="JC60" s="179"/>
      <c r="JD60" s="179"/>
      <c r="JE60" s="179"/>
      <c r="JF60" s="179"/>
      <c r="JG60" s="179"/>
      <c r="JH60" s="179"/>
      <c r="JI60" s="179"/>
    </row>
    <row r="61" spans="1:269" ht="16.8" thickTop="1" thickBot="1">
      <c r="A61" s="194" t="s">
        <v>235</v>
      </c>
      <c r="B61" s="38">
        <v>11</v>
      </c>
      <c r="C61" s="139" t="s">
        <v>325</v>
      </c>
      <c r="D61" s="141"/>
      <c r="E61" s="141"/>
      <c r="F61" s="142"/>
      <c r="G61" s="58"/>
      <c r="H61" s="59">
        <v>170000</v>
      </c>
      <c r="I61" s="66"/>
      <c r="J61" s="55"/>
      <c r="K61" s="55"/>
      <c r="L61" s="67"/>
      <c r="M61" s="64"/>
      <c r="N61" s="65"/>
      <c r="O61" s="65"/>
      <c r="P61" s="56"/>
      <c r="Q61" s="68"/>
      <c r="R61" s="69"/>
      <c r="S61" s="69"/>
      <c r="T61" s="63"/>
      <c r="U61" s="54"/>
      <c r="V61" s="63"/>
      <c r="W61" s="63"/>
      <c r="X61" s="56"/>
      <c r="Y61" s="54"/>
      <c r="Z61" s="63"/>
      <c r="AA61" s="63"/>
      <c r="AB61" s="56"/>
      <c r="AC61" s="54"/>
      <c r="AD61" s="63"/>
      <c r="AE61" s="63"/>
      <c r="AF61" s="56"/>
      <c r="AG61" s="54"/>
      <c r="AH61" s="55"/>
      <c r="AI61" s="55"/>
      <c r="AJ61" s="56"/>
      <c r="AK61" s="64"/>
      <c r="AL61" s="65"/>
      <c r="AM61" s="65"/>
      <c r="AN61" s="165"/>
      <c r="AO61" s="318">
        <v>45760</v>
      </c>
      <c r="AP61" s="124">
        <f>'EGEC - NIS2'!S183</f>
        <v>85000</v>
      </c>
      <c r="AQ61" s="202">
        <f>AP61*15%</f>
        <v>12750</v>
      </c>
      <c r="AR61" s="47">
        <f>AP61+AQ61</f>
        <v>97750</v>
      </c>
      <c r="AS61" s="123"/>
      <c r="AT61" s="124"/>
      <c r="AU61" s="124"/>
      <c r="AV61" s="121"/>
      <c r="AW61" s="123"/>
      <c r="AX61" s="124"/>
      <c r="AY61" s="124"/>
      <c r="AZ61" s="121"/>
      <c r="BA61" s="123"/>
      <c r="BB61" s="124"/>
      <c r="BC61" s="124"/>
      <c r="BD61" s="121"/>
      <c r="BE61" s="123"/>
      <c r="BF61" s="124"/>
      <c r="BG61" s="124"/>
      <c r="BH61" s="121"/>
      <c r="BI61" s="936">
        <v>45929</v>
      </c>
      <c r="BJ61" s="124">
        <f>'EGEC - NIS2'!W183</f>
        <v>85000</v>
      </c>
      <c r="BK61" s="124">
        <f>Detailed[[#This Row],[Column62]]*15%</f>
        <v>12750</v>
      </c>
      <c r="BL61" s="122">
        <f>Detailed[[#This Row],[Column62]]+Detailed[[#This Row],[Column63]]</f>
        <v>97750</v>
      </c>
      <c r="BM61" s="123"/>
      <c r="BN61" s="124"/>
      <c r="BO61" s="124"/>
      <c r="BP61" s="122"/>
      <c r="BQ61" s="158"/>
      <c r="BR61" s="434"/>
      <c r="BS61" s="434"/>
      <c r="BT61" s="435"/>
      <c r="BU61" s="170"/>
      <c r="BV61" s="436"/>
      <c r="BW61" s="171"/>
      <c r="BX61" s="205"/>
      <c r="BY61" s="158"/>
      <c r="BZ61" s="434"/>
      <c r="CA61" s="434"/>
      <c r="CB61" s="435"/>
      <c r="CC61" s="328"/>
      <c r="CD61" s="352"/>
      <c r="CE61" s="352"/>
      <c r="CF61" s="361"/>
      <c r="CG61" s="357"/>
      <c r="CH61" s="352"/>
      <c r="CI61" s="357"/>
      <c r="CJ61" s="311"/>
      <c r="CK61" s="311"/>
      <c r="CL61" s="352"/>
      <c r="CM61" s="311"/>
      <c r="CN61" s="311"/>
      <c r="CO61" s="311"/>
      <c r="CP61" s="311"/>
      <c r="CQ61" s="311"/>
      <c r="CR61" s="311"/>
      <c r="CS61" s="311"/>
      <c r="CT61" s="311"/>
      <c r="CU61" s="311"/>
      <c r="CV61" s="311"/>
      <c r="CW61" s="311"/>
      <c r="CX61" s="311"/>
      <c r="CY61" s="311"/>
      <c r="CZ61" s="311"/>
      <c r="DA61" s="311"/>
      <c r="DB61" s="311"/>
      <c r="DC61" s="311"/>
      <c r="DD61" s="311"/>
      <c r="DE61" s="172"/>
      <c r="DF61" s="152">
        <f t="shared" si="9"/>
        <v>170000</v>
      </c>
      <c r="DG61" s="152">
        <f t="shared" si="10"/>
        <v>25500</v>
      </c>
      <c r="DH61" s="152">
        <f t="shared" si="11"/>
        <v>195500</v>
      </c>
      <c r="DI61" s="1042">
        <f t="shared" si="4"/>
        <v>170000</v>
      </c>
      <c r="DJ61" s="152">
        <f>Detailed[[#This Row],[Column44]]</f>
        <v>97750</v>
      </c>
      <c r="DK61" s="1045">
        <v>1</v>
      </c>
      <c r="DL61" s="1046">
        <f t="shared" si="12"/>
        <v>170000</v>
      </c>
      <c r="DM61" s="377">
        <f t="shared" si="13"/>
        <v>0</v>
      </c>
      <c r="DN61" s="692"/>
      <c r="DO61" s="179"/>
      <c r="DP61" s="694">
        <f>DO61-Detailed[[#This Row],[Column66]]</f>
        <v>-170000</v>
      </c>
      <c r="DQ61" s="694"/>
      <c r="DR61" s="179"/>
      <c r="DS61" s="231"/>
      <c r="DT61" s="179"/>
      <c r="DU61" s="179"/>
      <c r="DV61" s="179"/>
      <c r="DW61" s="179"/>
      <c r="DX61" s="179"/>
      <c r="DY61" s="179"/>
      <c r="DZ61" s="179"/>
      <c r="EA61" s="179"/>
      <c r="EB61" s="179"/>
      <c r="EC61" s="179"/>
      <c r="ED61" s="179"/>
      <c r="EE61" s="179"/>
      <c r="EF61" s="179"/>
      <c r="EG61" s="179"/>
      <c r="EH61" s="179"/>
      <c r="EI61" s="179"/>
      <c r="EJ61" s="179"/>
      <c r="EK61" s="179"/>
      <c r="EL61" s="179"/>
      <c r="EM61" s="179"/>
      <c r="EN61" s="179"/>
      <c r="EO61" s="179"/>
      <c r="EP61" s="179"/>
      <c r="EQ61" s="179"/>
      <c r="ER61" s="179"/>
      <c r="ES61" s="179"/>
      <c r="ET61" s="179"/>
      <c r="EU61" s="179"/>
      <c r="EV61" s="179"/>
      <c r="EW61" s="179"/>
      <c r="EX61" s="179"/>
      <c r="EY61" s="179"/>
      <c r="EZ61" s="179"/>
      <c r="FA61" s="179"/>
      <c r="FB61" s="179"/>
      <c r="FC61" s="179"/>
      <c r="FD61" s="179"/>
      <c r="FE61" s="179"/>
      <c r="FF61" s="179"/>
      <c r="FG61" s="179"/>
      <c r="FH61" s="179"/>
      <c r="FI61" s="179"/>
      <c r="FJ61" s="179"/>
      <c r="FK61" s="179"/>
      <c r="FL61" s="179"/>
      <c r="FM61" s="179"/>
      <c r="FN61" s="179"/>
      <c r="FO61" s="179"/>
      <c r="FP61" s="179"/>
      <c r="FQ61" s="179"/>
      <c r="FR61" s="179"/>
      <c r="FS61" s="179"/>
      <c r="FT61" s="179"/>
      <c r="FU61" s="179"/>
      <c r="FV61" s="179"/>
      <c r="FW61" s="179"/>
      <c r="FX61" s="179"/>
      <c r="FY61" s="179"/>
      <c r="FZ61" s="179"/>
      <c r="GA61" s="179"/>
      <c r="GB61" s="179"/>
      <c r="GC61" s="179"/>
      <c r="GD61" s="179"/>
      <c r="GE61" s="179"/>
      <c r="GF61" s="179"/>
      <c r="GG61" s="179"/>
      <c r="GH61" s="179"/>
      <c r="GI61" s="179"/>
      <c r="GJ61" s="179"/>
      <c r="GK61" s="179"/>
      <c r="GL61" s="179"/>
      <c r="GM61" s="179"/>
      <c r="GN61" s="179"/>
      <c r="GO61" s="179"/>
      <c r="GP61" s="179"/>
      <c r="GQ61" s="179"/>
      <c r="GR61" s="179"/>
      <c r="GS61" s="179"/>
      <c r="GT61" s="179"/>
      <c r="GU61" s="179"/>
      <c r="GV61" s="179"/>
      <c r="GW61" s="179"/>
      <c r="GX61" s="179"/>
      <c r="GY61" s="179"/>
      <c r="GZ61" s="179"/>
      <c r="HA61" s="179"/>
      <c r="HB61" s="179"/>
      <c r="HC61" s="179"/>
      <c r="HD61" s="179"/>
      <c r="HE61" s="179"/>
      <c r="HF61" s="179"/>
      <c r="HG61" s="179"/>
      <c r="HH61" s="179"/>
      <c r="HI61" s="179"/>
      <c r="HJ61" s="179"/>
      <c r="HK61" s="179"/>
      <c r="HL61" s="179"/>
      <c r="HM61" s="179"/>
      <c r="HN61" s="179"/>
      <c r="HO61" s="179"/>
      <c r="HP61" s="179"/>
      <c r="HQ61" s="179"/>
      <c r="HR61" s="179"/>
      <c r="HS61" s="179"/>
      <c r="HT61" s="179"/>
      <c r="HU61" s="179"/>
      <c r="HV61" s="179"/>
      <c r="HW61" s="179"/>
      <c r="HX61" s="179"/>
      <c r="HY61" s="179"/>
      <c r="HZ61" s="179"/>
      <c r="IA61" s="179"/>
      <c r="IB61" s="179"/>
      <c r="IC61" s="179"/>
      <c r="ID61" s="179"/>
      <c r="IE61" s="179"/>
      <c r="IF61" s="179"/>
      <c r="IG61" s="179"/>
      <c r="IH61" s="179"/>
      <c r="II61" s="179"/>
      <c r="IJ61" s="179"/>
      <c r="IK61" s="179"/>
      <c r="IL61" s="179"/>
      <c r="IM61" s="179"/>
      <c r="IN61" s="179"/>
      <c r="IO61" s="179"/>
      <c r="IP61" s="179"/>
      <c r="IQ61" s="179"/>
      <c r="IR61" s="179"/>
      <c r="IS61" s="179"/>
      <c r="IT61" s="179"/>
      <c r="IU61" s="179"/>
      <c r="IV61" s="179"/>
      <c r="IW61" s="179"/>
      <c r="IX61" s="179"/>
      <c r="IY61" s="179"/>
      <c r="IZ61" s="179"/>
      <c r="JA61" s="179"/>
      <c r="JB61" s="179"/>
      <c r="JC61" s="179"/>
      <c r="JD61" s="179"/>
      <c r="JE61" s="179"/>
      <c r="JF61" s="179"/>
      <c r="JG61" s="179"/>
      <c r="JH61" s="179"/>
      <c r="JI61" s="179"/>
    </row>
    <row r="62" spans="1:269" ht="16.8" thickTop="1" thickBot="1">
      <c r="A62" s="194" t="s">
        <v>235</v>
      </c>
      <c r="B62" s="38">
        <v>12</v>
      </c>
      <c r="C62" s="139" t="s">
        <v>391</v>
      </c>
      <c r="D62" s="141"/>
      <c r="E62" s="141"/>
      <c r="F62" s="142"/>
      <c r="G62" s="58" t="s">
        <v>392</v>
      </c>
      <c r="H62" s="59">
        <v>1590000</v>
      </c>
      <c r="I62" s="66"/>
      <c r="J62" s="55"/>
      <c r="K62" s="55"/>
      <c r="L62" s="67"/>
      <c r="M62" s="64"/>
      <c r="N62" s="65"/>
      <c r="O62" s="65"/>
      <c r="P62" s="56"/>
      <c r="Q62" s="68"/>
      <c r="R62" s="69"/>
      <c r="S62" s="69"/>
      <c r="T62" s="63"/>
      <c r="U62" s="54"/>
      <c r="V62" s="63"/>
      <c r="W62" s="63"/>
      <c r="X62" s="56"/>
      <c r="Y62" s="54"/>
      <c r="Z62" s="63"/>
      <c r="AA62" s="63"/>
      <c r="AB62" s="56"/>
      <c r="AC62" s="54"/>
      <c r="AD62" s="63"/>
      <c r="AE62" s="63"/>
      <c r="AF62" s="56"/>
      <c r="AG62" s="54"/>
      <c r="AH62" s="55"/>
      <c r="AI62" s="55"/>
      <c r="AJ62" s="56"/>
      <c r="AK62" s="64"/>
      <c r="AL62" s="65"/>
      <c r="AM62" s="65"/>
      <c r="AN62" s="165"/>
      <c r="AO62" s="740"/>
      <c r="AP62" s="124"/>
      <c r="AQ62" s="167"/>
      <c r="AR62" s="168"/>
      <c r="AS62" s="123"/>
      <c r="AT62" s="124"/>
      <c r="AU62" s="124"/>
      <c r="AV62" s="121"/>
      <c r="AW62" s="123"/>
      <c r="AX62" s="124"/>
      <c r="AY62" s="124"/>
      <c r="AZ62" s="121"/>
      <c r="BA62" s="123"/>
      <c r="BB62" s="124"/>
      <c r="BC62" s="124"/>
      <c r="BD62" s="121"/>
      <c r="BE62" s="123"/>
      <c r="BF62" s="124"/>
      <c r="BG62" s="124"/>
      <c r="BH62" s="121"/>
      <c r="BI62" s="123"/>
      <c r="BJ62" s="124"/>
      <c r="BK62" s="124"/>
      <c r="BL62" s="122"/>
      <c r="BM62" s="940">
        <v>45956</v>
      </c>
      <c r="BN62" s="124">
        <f>'EGEC - NIS2'!M247</f>
        <v>794999.10000000009</v>
      </c>
      <c r="BO62" s="124">
        <f>Detailed[[#This Row],[Column72]]*15%</f>
        <v>119249.86500000001</v>
      </c>
      <c r="BP62" s="122">
        <f>Detailed[[#This Row],[Column72]]+Detailed[[#This Row],[Column74]]</f>
        <v>914248.96500000008</v>
      </c>
      <c r="BQ62" s="158"/>
      <c r="BR62" s="434"/>
      <c r="BS62" s="434"/>
      <c r="BT62" s="435"/>
      <c r="BU62" s="170"/>
      <c r="BV62" s="436"/>
      <c r="BW62" s="171"/>
      <c r="BX62" s="205"/>
      <c r="BY62" s="158"/>
      <c r="BZ62" s="434"/>
      <c r="CA62" s="434"/>
      <c r="CB62" s="435"/>
      <c r="CC62" s="328"/>
      <c r="CD62" s="352"/>
      <c r="CE62" s="352"/>
      <c r="CF62" s="361"/>
      <c r="CG62" s="357"/>
      <c r="CH62" s="352"/>
      <c r="CI62" s="357"/>
      <c r="CJ62" s="311"/>
      <c r="CK62" s="311"/>
      <c r="CL62" s="352"/>
      <c r="CM62" s="311"/>
      <c r="CN62" s="311"/>
      <c r="CO62" s="311"/>
      <c r="CP62" s="311"/>
      <c r="CQ62" s="311"/>
      <c r="CR62" s="311"/>
      <c r="CS62" s="311"/>
      <c r="CT62" s="311"/>
      <c r="CU62" s="311"/>
      <c r="CV62" s="311"/>
      <c r="CW62" s="311"/>
      <c r="CX62" s="311"/>
      <c r="CY62" s="311"/>
      <c r="CZ62" s="311"/>
      <c r="DA62" s="311"/>
      <c r="DB62" s="311"/>
      <c r="DC62" s="311"/>
      <c r="DD62" s="311"/>
      <c r="DE62" s="222"/>
      <c r="DF62" s="1057">
        <f t="shared" si="9"/>
        <v>1590000</v>
      </c>
      <c r="DG62" s="1058">
        <f t="shared" si="10"/>
        <v>238500</v>
      </c>
      <c r="DH62" s="1058">
        <f t="shared" si="11"/>
        <v>1828500</v>
      </c>
      <c r="DI62" s="1059">
        <f>SUMPRODUCT((MOD(COLUMN(I62:DD62)-COLUMN(I62),4)=1)*I62:DD62)</f>
        <v>794999.10000000009</v>
      </c>
      <c r="DJ62" s="1059">
        <f>SUMPRODUCT((MOD(COLUMN(I62:DD62)-COLUMN(J62),4)=2)*I62:DD62)</f>
        <v>914248.96500000008</v>
      </c>
      <c r="DK62" s="1060">
        <v>0.85</v>
      </c>
      <c r="DL62" s="1061">
        <f t="shared" si="12"/>
        <v>1351500</v>
      </c>
      <c r="DM62" s="1062">
        <f t="shared" si="13"/>
        <v>556500.89999999991</v>
      </c>
      <c r="DN62" s="178"/>
      <c r="DO62" s="694">
        <f>SUMPRODUCT((MOD(COLUMN(I62:DD62)-COLUMN(I62),4)=1)*I62:DD62)</f>
        <v>794999.10000000009</v>
      </c>
      <c r="DP62" s="694">
        <f>DO62-Detailed[[#This Row],[Column66]]</f>
        <v>0</v>
      </c>
      <c r="DQ62" s="694"/>
      <c r="DR62" s="179"/>
      <c r="DS62" s="231">
        <f>DQ62-Detailed[[#This Row],[Column66]]</f>
        <v>-794999.10000000009</v>
      </c>
      <c r="DT62" s="179"/>
      <c r="DU62" s="179"/>
      <c r="DV62" s="179"/>
      <c r="DW62" s="179"/>
      <c r="DX62" s="179"/>
      <c r="DY62" s="179"/>
      <c r="DZ62" s="179"/>
      <c r="EA62" s="179"/>
      <c r="EB62" s="179"/>
      <c r="EC62" s="179"/>
      <c r="ED62" s="179"/>
      <c r="EE62" s="179"/>
      <c r="EF62" s="179"/>
      <c r="EG62" s="179"/>
      <c r="EH62" s="179"/>
      <c r="EI62" s="179"/>
      <c r="EJ62" s="179"/>
      <c r="EK62" s="179"/>
      <c r="EL62" s="179"/>
      <c r="EM62" s="179"/>
      <c r="EN62" s="179"/>
      <c r="EO62" s="179"/>
      <c r="EP62" s="179"/>
      <c r="EQ62" s="179"/>
      <c r="ER62" s="179"/>
      <c r="ES62" s="179"/>
      <c r="ET62" s="179"/>
      <c r="EU62" s="179"/>
      <c r="EV62" s="179"/>
      <c r="EW62" s="179"/>
      <c r="EX62" s="179"/>
      <c r="EY62" s="179"/>
      <c r="EZ62" s="179"/>
      <c r="FA62" s="179"/>
      <c r="FB62" s="179"/>
      <c r="FC62" s="179"/>
      <c r="FD62" s="179"/>
      <c r="FE62" s="179"/>
      <c r="FF62" s="179"/>
      <c r="FG62" s="179"/>
      <c r="FH62" s="179"/>
      <c r="FI62" s="179"/>
      <c r="FJ62" s="179"/>
      <c r="FK62" s="179"/>
      <c r="FL62" s="179"/>
      <c r="FM62" s="179"/>
      <c r="FN62" s="179"/>
      <c r="FO62" s="179"/>
      <c r="FP62" s="179"/>
      <c r="FQ62" s="179"/>
      <c r="FR62" s="179"/>
      <c r="FS62" s="179"/>
      <c r="FT62" s="179"/>
      <c r="FU62" s="179"/>
      <c r="FV62" s="179"/>
      <c r="FW62" s="179"/>
      <c r="FX62" s="179"/>
      <c r="FY62" s="179"/>
      <c r="FZ62" s="179"/>
      <c r="GA62" s="179"/>
      <c r="GB62" s="179"/>
      <c r="GC62" s="179"/>
      <c r="GD62" s="179"/>
      <c r="GE62" s="179"/>
      <c r="GF62" s="179"/>
      <c r="GG62" s="179"/>
      <c r="GH62" s="179"/>
      <c r="GI62" s="179"/>
      <c r="GJ62" s="179"/>
      <c r="GK62" s="179"/>
      <c r="GL62" s="179"/>
      <c r="GM62" s="179"/>
      <c r="GN62" s="179"/>
      <c r="GO62" s="179"/>
      <c r="GP62" s="179"/>
      <c r="GQ62" s="179"/>
      <c r="GR62" s="179"/>
      <c r="GS62" s="179"/>
      <c r="GT62" s="179"/>
      <c r="GU62" s="179"/>
      <c r="GV62" s="179"/>
      <c r="GW62" s="179"/>
      <c r="GX62" s="179"/>
      <c r="GY62" s="179"/>
      <c r="GZ62" s="179"/>
      <c r="HA62" s="179"/>
      <c r="HB62" s="179"/>
      <c r="HC62" s="179"/>
      <c r="HD62" s="179"/>
      <c r="HE62" s="179"/>
      <c r="HF62" s="179"/>
      <c r="HG62" s="179"/>
      <c r="HH62" s="179"/>
      <c r="HI62" s="179"/>
      <c r="HJ62" s="179"/>
      <c r="HK62" s="179"/>
      <c r="HL62" s="179"/>
      <c r="HM62" s="179"/>
      <c r="HN62" s="179"/>
      <c r="HO62" s="179"/>
      <c r="HP62" s="179"/>
      <c r="HQ62" s="179"/>
      <c r="HR62" s="179"/>
      <c r="HS62" s="179"/>
      <c r="HT62" s="179"/>
      <c r="HU62" s="179"/>
      <c r="HV62" s="179"/>
      <c r="HW62" s="179"/>
      <c r="HX62" s="179"/>
      <c r="HY62" s="179"/>
      <c r="HZ62" s="179"/>
      <c r="IA62" s="179"/>
      <c r="IB62" s="179"/>
      <c r="IC62" s="179"/>
      <c r="ID62" s="179"/>
      <c r="IE62" s="179"/>
      <c r="IF62" s="179"/>
      <c r="IG62" s="179"/>
      <c r="IH62" s="179"/>
      <c r="II62" s="179"/>
      <c r="IJ62" s="179"/>
      <c r="IK62" s="179"/>
      <c r="IL62" s="179"/>
      <c r="IM62" s="179"/>
      <c r="IN62" s="179"/>
      <c r="IO62" s="179"/>
      <c r="IP62" s="179"/>
      <c r="IQ62" s="179"/>
      <c r="IR62" s="179"/>
      <c r="IS62" s="179"/>
      <c r="IT62" s="179"/>
      <c r="IU62" s="179"/>
      <c r="IV62" s="179"/>
      <c r="IW62" s="179"/>
      <c r="IX62" s="179"/>
      <c r="IY62" s="179"/>
      <c r="IZ62" s="179"/>
      <c r="JA62" s="179"/>
      <c r="JB62" s="179"/>
      <c r="JC62" s="179"/>
      <c r="JD62" s="179"/>
      <c r="JE62" s="179"/>
      <c r="JF62" s="179"/>
      <c r="JG62" s="179"/>
      <c r="JH62" s="179"/>
      <c r="JI62" s="179"/>
    </row>
    <row r="63" spans="1:269" ht="16.8" thickTop="1" thickBot="1">
      <c r="A63" s="194" t="s">
        <v>235</v>
      </c>
      <c r="B63" s="38">
        <v>13</v>
      </c>
      <c r="C63" s="139" t="s">
        <v>396</v>
      </c>
      <c r="D63" s="521"/>
      <c r="E63" s="521"/>
      <c r="F63" s="522"/>
      <c r="G63" s="523"/>
      <c r="H63" s="524">
        <v>110500</v>
      </c>
      <c r="I63" s="525"/>
      <c r="J63" s="526"/>
      <c r="K63" s="526"/>
      <c r="L63" s="527"/>
      <c r="M63" s="528"/>
      <c r="N63" s="529"/>
      <c r="O63" s="529"/>
      <c r="P63" s="530"/>
      <c r="Q63" s="531"/>
      <c r="R63" s="532"/>
      <c r="S63" s="532"/>
      <c r="T63" s="533"/>
      <c r="U63" s="534"/>
      <c r="V63" s="533"/>
      <c r="W63" s="533"/>
      <c r="X63" s="530"/>
      <c r="Y63" s="534"/>
      <c r="Z63" s="533"/>
      <c r="AA63" s="533"/>
      <c r="AB63" s="530"/>
      <c r="AC63" s="534"/>
      <c r="AD63" s="533"/>
      <c r="AE63" s="533"/>
      <c r="AF63" s="530"/>
      <c r="AG63" s="534"/>
      <c r="AH63" s="526"/>
      <c r="AI63" s="526"/>
      <c r="AJ63" s="530"/>
      <c r="AK63" s="528"/>
      <c r="AL63" s="529"/>
      <c r="AM63" s="529"/>
      <c r="AN63" s="535"/>
      <c r="AO63" s="536"/>
      <c r="AP63" s="537"/>
      <c r="AQ63" s="537"/>
      <c r="AR63" s="538"/>
      <c r="AS63" s="536"/>
      <c r="AT63" s="537"/>
      <c r="AU63" s="537"/>
      <c r="AV63" s="538"/>
      <c r="AW63" s="536"/>
      <c r="AX63" s="537"/>
      <c r="AY63" s="537"/>
      <c r="AZ63" s="538"/>
      <c r="BA63" s="536"/>
      <c r="BB63" s="537"/>
      <c r="BC63" s="537"/>
      <c r="BD63" s="538"/>
      <c r="BE63" s="536"/>
      <c r="BF63" s="537"/>
      <c r="BG63" s="537"/>
      <c r="BH63" s="538"/>
      <c r="BI63" s="536"/>
      <c r="BJ63" s="537"/>
      <c r="BK63" s="537"/>
      <c r="BL63" s="539"/>
      <c r="BM63" s="940">
        <v>45956</v>
      </c>
      <c r="BN63" s="537">
        <f>'EGEC - NIS2'!M232</f>
        <v>44199.17</v>
      </c>
      <c r="BO63" s="124">
        <f>Detailed[[#This Row],[Column72]]*15%</f>
        <v>6629.8754999999992</v>
      </c>
      <c r="BP63" s="122">
        <f>Detailed[[#This Row],[Column72]]+Detailed[[#This Row],[Column74]]</f>
        <v>50829.0455</v>
      </c>
      <c r="BQ63" s="540"/>
      <c r="BR63" s="541"/>
      <c r="BS63" s="541"/>
      <c r="BT63" s="542"/>
      <c r="BU63" s="563"/>
      <c r="BV63" s="544"/>
      <c r="BW63" s="545"/>
      <c r="BX63" s="546"/>
      <c r="BY63" s="540"/>
      <c r="BZ63" s="541"/>
      <c r="CA63" s="541"/>
      <c r="CB63" s="542"/>
      <c r="CC63" s="328"/>
      <c r="CD63" s="352"/>
      <c r="CE63" s="352"/>
      <c r="CF63" s="361"/>
      <c r="CG63" s="357"/>
      <c r="CH63" s="352"/>
      <c r="CI63" s="357"/>
      <c r="CJ63" s="311"/>
      <c r="CK63" s="547"/>
      <c r="CL63" s="548"/>
      <c r="CM63" s="547"/>
      <c r="CN63" s="547"/>
      <c r="CO63" s="547"/>
      <c r="CP63" s="547"/>
      <c r="CQ63" s="547"/>
      <c r="CR63" s="547"/>
      <c r="CS63" s="547"/>
      <c r="CT63" s="547"/>
      <c r="CU63" s="547"/>
      <c r="CV63" s="547"/>
      <c r="CW63" s="547"/>
      <c r="CX63" s="547"/>
      <c r="CY63" s="547"/>
      <c r="CZ63" s="547"/>
      <c r="DA63" s="547"/>
      <c r="DB63" s="547"/>
      <c r="DC63" s="547"/>
      <c r="DD63" s="547"/>
      <c r="DE63" s="222"/>
      <c r="DF63" s="1082">
        <f t="shared" si="9"/>
        <v>110500</v>
      </c>
      <c r="DG63" s="126">
        <f t="shared" si="10"/>
        <v>16575</v>
      </c>
      <c r="DH63" s="126">
        <f t="shared" si="11"/>
        <v>127075</v>
      </c>
      <c r="DI63" s="1059">
        <f>SUMPRODUCT((MOD(COLUMN(I63:DD63)-COLUMN(I63),4)=1)*I63:DD63)</f>
        <v>44199.17</v>
      </c>
      <c r="DJ63" s="1059">
        <f>SUMPRODUCT((MOD(COLUMN(I63:DD63)-COLUMN(J63),4)=2)*I63:DD63)</f>
        <v>50829.0455</v>
      </c>
      <c r="DK63" s="153">
        <v>0.98</v>
      </c>
      <c r="DL63" s="154">
        <f t="shared" si="12"/>
        <v>108290</v>
      </c>
      <c r="DM63" s="1083">
        <f t="shared" si="13"/>
        <v>64090.83</v>
      </c>
      <c r="DN63" s="178"/>
      <c r="DO63" s="694">
        <f>SUMPRODUCT((MOD(COLUMN(I63:DD63)-COLUMN(I63),4)=1)*I63:DD63)</f>
        <v>44199.17</v>
      </c>
      <c r="DP63" s="694">
        <f>DO63-Detailed[[#This Row],[Column66]]</f>
        <v>0</v>
      </c>
      <c r="DQ63" s="694"/>
      <c r="DR63" s="179"/>
      <c r="DS63" s="231"/>
      <c r="DT63" s="179"/>
      <c r="DU63" s="179"/>
      <c r="DV63" s="179"/>
      <c r="DW63" s="179"/>
      <c r="DX63" s="179"/>
      <c r="DY63" s="179"/>
      <c r="DZ63" s="179"/>
      <c r="EA63" s="179"/>
      <c r="EB63" s="179"/>
      <c r="EC63" s="179"/>
      <c r="ED63" s="179"/>
      <c r="EE63" s="179"/>
      <c r="EF63" s="179"/>
      <c r="EG63" s="179"/>
      <c r="EH63" s="179"/>
      <c r="EI63" s="179"/>
      <c r="EJ63" s="179"/>
      <c r="EK63" s="179"/>
      <c r="EL63" s="179"/>
      <c r="EM63" s="179"/>
      <c r="EN63" s="179"/>
      <c r="EO63" s="179"/>
      <c r="EP63" s="179"/>
      <c r="EQ63" s="179"/>
      <c r="ER63" s="179"/>
      <c r="ES63" s="179"/>
      <c r="ET63" s="179"/>
      <c r="EU63" s="179"/>
      <c r="EV63" s="179"/>
      <c r="EW63" s="179"/>
      <c r="EX63" s="179"/>
      <c r="EY63" s="179"/>
      <c r="EZ63" s="179"/>
      <c r="FA63" s="179"/>
      <c r="FB63" s="179"/>
      <c r="FC63" s="179"/>
      <c r="FD63" s="179"/>
      <c r="FE63" s="179"/>
      <c r="FF63" s="179"/>
      <c r="FG63" s="179"/>
      <c r="FH63" s="179"/>
      <c r="FI63" s="179"/>
      <c r="FJ63" s="179"/>
      <c r="FK63" s="179"/>
      <c r="FL63" s="179"/>
      <c r="FM63" s="179"/>
      <c r="FN63" s="179"/>
      <c r="FO63" s="179"/>
      <c r="FP63" s="179"/>
      <c r="FQ63" s="179"/>
      <c r="FR63" s="179"/>
      <c r="FS63" s="179"/>
      <c r="FT63" s="179"/>
      <c r="FU63" s="179"/>
      <c r="FV63" s="179"/>
      <c r="FW63" s="179"/>
      <c r="FX63" s="179"/>
      <c r="FY63" s="179"/>
      <c r="FZ63" s="179"/>
      <c r="GA63" s="179"/>
      <c r="GB63" s="179"/>
      <c r="GC63" s="179"/>
      <c r="GD63" s="179"/>
      <c r="GE63" s="179"/>
      <c r="GF63" s="179"/>
      <c r="GG63" s="179"/>
      <c r="GH63" s="179"/>
      <c r="GI63" s="179"/>
      <c r="GJ63" s="179"/>
      <c r="GK63" s="179"/>
      <c r="GL63" s="179"/>
      <c r="GM63" s="179"/>
      <c r="GN63" s="179"/>
      <c r="GO63" s="179"/>
      <c r="GP63" s="179"/>
      <c r="GQ63" s="179"/>
      <c r="GR63" s="179"/>
      <c r="GS63" s="179"/>
      <c r="GT63" s="179"/>
      <c r="GU63" s="179"/>
      <c r="GV63" s="179"/>
      <c r="GW63" s="179"/>
      <c r="GX63" s="179"/>
      <c r="GY63" s="179"/>
      <c r="GZ63" s="179"/>
      <c r="HA63" s="179"/>
      <c r="HB63" s="179"/>
      <c r="HC63" s="179"/>
      <c r="HD63" s="179"/>
      <c r="HE63" s="179"/>
      <c r="HF63" s="179"/>
      <c r="HG63" s="179"/>
      <c r="HH63" s="179"/>
      <c r="HI63" s="179"/>
      <c r="HJ63" s="179"/>
      <c r="HK63" s="179"/>
      <c r="HL63" s="179"/>
      <c r="HM63" s="179"/>
      <c r="HN63" s="179"/>
      <c r="HO63" s="179"/>
      <c r="HP63" s="179"/>
      <c r="HQ63" s="179"/>
      <c r="HR63" s="179"/>
      <c r="HS63" s="179"/>
      <c r="HT63" s="179"/>
      <c r="HU63" s="179"/>
      <c r="HV63" s="179"/>
      <c r="HW63" s="179"/>
      <c r="HX63" s="179"/>
      <c r="HY63" s="179"/>
      <c r="HZ63" s="179"/>
      <c r="IA63" s="179"/>
      <c r="IB63" s="179"/>
      <c r="IC63" s="179"/>
      <c r="ID63" s="179"/>
      <c r="IE63" s="179"/>
      <c r="IF63" s="179"/>
      <c r="IG63" s="179"/>
      <c r="IH63" s="179"/>
      <c r="II63" s="179"/>
      <c r="IJ63" s="179"/>
      <c r="IK63" s="179"/>
      <c r="IL63" s="179"/>
      <c r="IM63" s="179"/>
      <c r="IN63" s="179"/>
      <c r="IO63" s="179"/>
      <c r="IP63" s="179"/>
      <c r="IQ63" s="179"/>
      <c r="IR63" s="179"/>
      <c r="IS63" s="179"/>
      <c r="IT63" s="179"/>
      <c r="IU63" s="179"/>
      <c r="IV63" s="179"/>
      <c r="IW63" s="179"/>
      <c r="IX63" s="179"/>
      <c r="IY63" s="179"/>
      <c r="IZ63" s="179"/>
      <c r="JA63" s="179"/>
      <c r="JB63" s="179"/>
      <c r="JC63" s="179"/>
      <c r="JD63" s="179"/>
      <c r="JE63" s="179"/>
      <c r="JF63" s="179"/>
      <c r="JG63" s="179"/>
      <c r="JH63" s="179"/>
      <c r="JI63" s="179"/>
    </row>
    <row r="64" spans="1:269" ht="16.8" thickTop="1" thickBot="1">
      <c r="A64" s="194" t="s">
        <v>235</v>
      </c>
      <c r="B64" s="38">
        <v>14</v>
      </c>
      <c r="C64" s="139" t="s">
        <v>397</v>
      </c>
      <c r="D64" s="882"/>
      <c r="E64" s="882"/>
      <c r="F64" s="883"/>
      <c r="G64" s="884" t="s">
        <v>398</v>
      </c>
      <c r="H64" s="885">
        <v>500000</v>
      </c>
      <c r="I64" s="886"/>
      <c r="J64" s="887"/>
      <c r="K64" s="887"/>
      <c r="L64" s="888"/>
      <c r="M64" s="889"/>
      <c r="N64" s="890"/>
      <c r="O64" s="890"/>
      <c r="P64" s="891"/>
      <c r="Q64" s="892"/>
      <c r="R64" s="893"/>
      <c r="S64" s="893"/>
      <c r="T64" s="894"/>
      <c r="U64" s="895"/>
      <c r="V64" s="894"/>
      <c r="W64" s="894"/>
      <c r="X64" s="891"/>
      <c r="Y64" s="895"/>
      <c r="Z64" s="894"/>
      <c r="AA64" s="894"/>
      <c r="AB64" s="891"/>
      <c r="AC64" s="895"/>
      <c r="AD64" s="894"/>
      <c r="AE64" s="894"/>
      <c r="AF64" s="891"/>
      <c r="AG64" s="895"/>
      <c r="AH64" s="887"/>
      <c r="AI64" s="887"/>
      <c r="AJ64" s="891"/>
      <c r="AK64" s="889"/>
      <c r="AL64" s="890"/>
      <c r="AM64" s="890"/>
      <c r="AN64" s="896"/>
      <c r="AO64" s="897"/>
      <c r="AP64" s="898"/>
      <c r="AQ64" s="898"/>
      <c r="AR64" s="899"/>
      <c r="AS64" s="897"/>
      <c r="AT64" s="898"/>
      <c r="AU64" s="898"/>
      <c r="AV64" s="899"/>
      <c r="AW64" s="897"/>
      <c r="AX64" s="898"/>
      <c r="AY64" s="898"/>
      <c r="AZ64" s="899"/>
      <c r="BA64" s="897"/>
      <c r="BB64" s="898"/>
      <c r="BC64" s="898"/>
      <c r="BD64" s="899"/>
      <c r="BE64" s="897"/>
      <c r="BF64" s="898"/>
      <c r="BG64" s="898"/>
      <c r="BH64" s="899"/>
      <c r="BI64" s="897"/>
      <c r="BJ64" s="898"/>
      <c r="BK64" s="898"/>
      <c r="BL64" s="900"/>
      <c r="BM64" s="897"/>
      <c r="BN64" s="898"/>
      <c r="BO64" s="898"/>
      <c r="BP64" s="900"/>
      <c r="BQ64" s="318">
        <v>45994</v>
      </c>
      <c r="BR64" s="902">
        <f>'EGEC - NIS2'!M262</f>
        <v>100000</v>
      </c>
      <c r="BS64" s="124">
        <f>Detailed[[#This Row],[Column78]]*15%</f>
        <v>15000</v>
      </c>
      <c r="BT64" s="435">
        <f>Detailed[[#This Row],[Column76]]+Detailed[[#This Row],[Column78]]</f>
        <v>115000</v>
      </c>
      <c r="BU64" s="912"/>
      <c r="BV64" s="913"/>
      <c r="BW64" s="914"/>
      <c r="BX64" s="907"/>
      <c r="BY64" s="901"/>
      <c r="BZ64" s="902"/>
      <c r="CA64" s="902"/>
      <c r="CB64" s="911"/>
      <c r="CC64" s="328"/>
      <c r="CD64" s="352"/>
      <c r="CE64" s="352"/>
      <c r="CF64" s="361"/>
      <c r="CG64" s="357"/>
      <c r="CH64" s="352"/>
      <c r="CI64" s="357"/>
      <c r="CJ64" s="311"/>
      <c r="CK64" s="908"/>
      <c r="CL64" s="909"/>
      <c r="CM64" s="908"/>
      <c r="CN64" s="908"/>
      <c r="CO64" s="908"/>
      <c r="CP64" s="908"/>
      <c r="CQ64" s="908"/>
      <c r="CR64" s="908"/>
      <c r="CS64" s="908"/>
      <c r="CT64" s="908"/>
      <c r="CU64" s="908"/>
      <c r="CV64" s="908"/>
      <c r="CW64" s="908"/>
      <c r="CX64" s="908"/>
      <c r="CY64" s="908"/>
      <c r="CZ64" s="908"/>
      <c r="DA64" s="908"/>
      <c r="DB64" s="908"/>
      <c r="DC64" s="908"/>
      <c r="DD64" s="908"/>
      <c r="DE64" s="222"/>
      <c r="DF64" s="1082">
        <f t="shared" si="9"/>
        <v>500000</v>
      </c>
      <c r="DG64" s="126">
        <f t="shared" si="10"/>
        <v>75000</v>
      </c>
      <c r="DH64" s="126">
        <f t="shared" si="11"/>
        <v>575000</v>
      </c>
      <c r="DI64" s="1059">
        <f>SUMPRODUCT((MOD(COLUMN(I64:DD64)-COLUMN(I64),4)=1)*I64:DD64)</f>
        <v>100000</v>
      </c>
      <c r="DJ64" s="1059">
        <f>SUMPRODUCT((MOD(COLUMN(I64:DD64)-COLUMN(J64),4)=2)*I64:DD64)</f>
        <v>115000</v>
      </c>
      <c r="DK64" s="153">
        <v>0.25</v>
      </c>
      <c r="DL64" s="154">
        <f t="shared" si="12"/>
        <v>125000</v>
      </c>
      <c r="DM64" s="1083">
        <f t="shared" si="13"/>
        <v>25000</v>
      </c>
      <c r="DN64" s="178"/>
      <c r="DO64" s="694">
        <f t="shared" ref="DO64:DO127" si="14">SUMPRODUCT((MOD(COLUMN(I64:DD64)-COLUMN(I64),4)=1)*I64:DD64)</f>
        <v>100000</v>
      </c>
      <c r="DP64" s="694">
        <f>DO64-Detailed[[#This Row],[Column66]]</f>
        <v>0</v>
      </c>
      <c r="DQ64" s="694"/>
      <c r="DR64" s="179"/>
      <c r="DS64" s="231"/>
      <c r="DT64" s="179"/>
      <c r="DU64" s="179"/>
      <c r="DV64" s="179"/>
      <c r="DW64" s="179"/>
      <c r="DX64" s="179"/>
      <c r="DY64" s="179"/>
      <c r="DZ64" s="179"/>
      <c r="EA64" s="179"/>
      <c r="EB64" s="179"/>
      <c r="EC64" s="179"/>
      <c r="ED64" s="179"/>
      <c r="EE64" s="179"/>
      <c r="EF64" s="179"/>
      <c r="EG64" s="179"/>
      <c r="EH64" s="179"/>
      <c r="EI64" s="179"/>
      <c r="EJ64" s="179"/>
      <c r="EK64" s="179"/>
      <c r="EL64" s="179"/>
      <c r="EM64" s="179"/>
      <c r="EN64" s="179"/>
      <c r="EO64" s="179"/>
      <c r="EP64" s="179"/>
      <c r="EQ64" s="179"/>
      <c r="ER64" s="179"/>
      <c r="ES64" s="179"/>
      <c r="ET64" s="179"/>
      <c r="EU64" s="179"/>
      <c r="EV64" s="179"/>
      <c r="EW64" s="179"/>
      <c r="EX64" s="179"/>
      <c r="EY64" s="179"/>
      <c r="EZ64" s="179"/>
      <c r="FA64" s="179"/>
      <c r="FB64" s="179"/>
      <c r="FC64" s="179"/>
      <c r="FD64" s="179"/>
      <c r="FE64" s="179"/>
      <c r="FF64" s="179"/>
      <c r="FG64" s="179"/>
      <c r="FH64" s="179"/>
      <c r="FI64" s="179"/>
      <c r="FJ64" s="179"/>
      <c r="FK64" s="179"/>
      <c r="FL64" s="179"/>
      <c r="FM64" s="179"/>
      <c r="FN64" s="179"/>
      <c r="FO64" s="179"/>
      <c r="FP64" s="179"/>
      <c r="FQ64" s="179"/>
      <c r="FR64" s="179"/>
      <c r="FS64" s="179"/>
      <c r="FT64" s="179"/>
      <c r="FU64" s="179"/>
      <c r="FV64" s="179"/>
      <c r="FW64" s="179"/>
      <c r="FX64" s="179"/>
      <c r="FY64" s="179"/>
      <c r="FZ64" s="179"/>
      <c r="GA64" s="179"/>
      <c r="GB64" s="179"/>
      <c r="GC64" s="179"/>
      <c r="GD64" s="179"/>
      <c r="GE64" s="179"/>
      <c r="GF64" s="179"/>
      <c r="GG64" s="179"/>
      <c r="GH64" s="179"/>
      <c r="GI64" s="179"/>
      <c r="GJ64" s="179"/>
      <c r="GK64" s="179"/>
      <c r="GL64" s="179"/>
      <c r="GM64" s="179"/>
      <c r="GN64" s="179"/>
      <c r="GO64" s="179"/>
      <c r="GP64" s="179"/>
      <c r="GQ64" s="179"/>
      <c r="GR64" s="179"/>
      <c r="GS64" s="179"/>
      <c r="GT64" s="179"/>
      <c r="GU64" s="179"/>
      <c r="GV64" s="179"/>
      <c r="GW64" s="179"/>
      <c r="GX64" s="179"/>
      <c r="GY64" s="179"/>
      <c r="GZ64" s="179"/>
      <c r="HA64" s="179"/>
      <c r="HB64" s="179"/>
      <c r="HC64" s="179"/>
      <c r="HD64" s="179"/>
      <c r="HE64" s="179"/>
      <c r="HF64" s="179"/>
      <c r="HG64" s="179"/>
      <c r="HH64" s="179"/>
      <c r="HI64" s="179"/>
      <c r="HJ64" s="179"/>
      <c r="HK64" s="179"/>
      <c r="HL64" s="179"/>
      <c r="HM64" s="179"/>
      <c r="HN64" s="179"/>
      <c r="HO64" s="179"/>
      <c r="HP64" s="179"/>
      <c r="HQ64" s="179"/>
      <c r="HR64" s="179"/>
      <c r="HS64" s="179"/>
      <c r="HT64" s="179"/>
      <c r="HU64" s="179"/>
      <c r="HV64" s="179"/>
      <c r="HW64" s="179"/>
      <c r="HX64" s="179"/>
      <c r="HY64" s="179"/>
      <c r="HZ64" s="179"/>
      <c r="IA64" s="179"/>
      <c r="IB64" s="179"/>
      <c r="IC64" s="179"/>
      <c r="ID64" s="179"/>
      <c r="IE64" s="179"/>
      <c r="IF64" s="179"/>
      <c r="IG64" s="179"/>
      <c r="IH64" s="179"/>
      <c r="II64" s="179"/>
      <c r="IJ64" s="179"/>
      <c r="IK64" s="179"/>
      <c r="IL64" s="179"/>
      <c r="IM64" s="179"/>
      <c r="IN64" s="179"/>
      <c r="IO64" s="179"/>
      <c r="IP64" s="179"/>
      <c r="IQ64" s="179"/>
      <c r="IR64" s="179"/>
      <c r="IS64" s="179"/>
      <c r="IT64" s="179"/>
      <c r="IU64" s="179"/>
      <c r="IV64" s="179"/>
      <c r="IW64" s="179"/>
      <c r="IX64" s="179"/>
      <c r="IY64" s="179"/>
      <c r="IZ64" s="179"/>
      <c r="JA64" s="179"/>
      <c r="JB64" s="179"/>
      <c r="JC64" s="179"/>
      <c r="JD64" s="179"/>
      <c r="JE64" s="179"/>
      <c r="JF64" s="179"/>
      <c r="JG64" s="179"/>
      <c r="JH64" s="179"/>
      <c r="JI64" s="179"/>
    </row>
    <row r="65" spans="1:269" ht="16.8" thickTop="1" thickBot="1">
      <c r="A65" s="194" t="s">
        <v>235</v>
      </c>
      <c r="B65" s="38">
        <v>15</v>
      </c>
      <c r="C65" s="139" t="s">
        <v>400</v>
      </c>
      <c r="D65" s="882"/>
      <c r="E65" s="882"/>
      <c r="F65" s="883"/>
      <c r="G65" s="884"/>
      <c r="H65" s="885">
        <v>1798340</v>
      </c>
      <c r="I65" s="886"/>
      <c r="J65" s="887"/>
      <c r="K65" s="887"/>
      <c r="L65" s="888"/>
      <c r="M65" s="889"/>
      <c r="N65" s="890"/>
      <c r="O65" s="890"/>
      <c r="P65" s="891"/>
      <c r="Q65" s="892"/>
      <c r="R65" s="893"/>
      <c r="S65" s="893"/>
      <c r="T65" s="894"/>
      <c r="U65" s="895"/>
      <c r="V65" s="894"/>
      <c r="W65" s="894"/>
      <c r="X65" s="891"/>
      <c r="Y65" s="895"/>
      <c r="Z65" s="894"/>
      <c r="AA65" s="894"/>
      <c r="AB65" s="891"/>
      <c r="AC65" s="895"/>
      <c r="AD65" s="894"/>
      <c r="AE65" s="894"/>
      <c r="AF65" s="891"/>
      <c r="AG65" s="895"/>
      <c r="AH65" s="887"/>
      <c r="AI65" s="887"/>
      <c r="AJ65" s="891"/>
      <c r="AK65" s="889"/>
      <c r="AL65" s="890"/>
      <c r="AM65" s="890"/>
      <c r="AN65" s="896"/>
      <c r="AO65" s="897"/>
      <c r="AP65" s="898"/>
      <c r="AQ65" s="898"/>
      <c r="AR65" s="899"/>
      <c r="AS65" s="897"/>
      <c r="AT65" s="898"/>
      <c r="AU65" s="898"/>
      <c r="AV65" s="899"/>
      <c r="AW65" s="897"/>
      <c r="AX65" s="898"/>
      <c r="AY65" s="898"/>
      <c r="AZ65" s="899"/>
      <c r="BA65" s="897"/>
      <c r="BB65" s="898"/>
      <c r="BC65" s="898"/>
      <c r="BD65" s="899"/>
      <c r="BE65" s="318">
        <v>45907</v>
      </c>
      <c r="BF65" s="898">
        <f>'EGEC - NIS2'!M202</f>
        <v>449585</v>
      </c>
      <c r="BG65" s="202">
        <f>BF65*15%</f>
        <v>67437.75</v>
      </c>
      <c r="BH65" s="47">
        <f>BF65+BG65</f>
        <v>517022.75</v>
      </c>
      <c r="BI65" s="318">
        <v>45929</v>
      </c>
      <c r="BJ65" s="898">
        <f>'EGEC - NIS2'!O202</f>
        <v>449585</v>
      </c>
      <c r="BK65" s="898">
        <f>Detailed[[#This Row],[Column62]]*15%</f>
        <v>67437.75</v>
      </c>
      <c r="BL65" s="900">
        <f>Detailed[[#This Row],[Column62]]+Detailed[[#This Row],[Column63]]</f>
        <v>517022.75</v>
      </c>
      <c r="BM65" s="897"/>
      <c r="BN65" s="898"/>
      <c r="BO65" s="898"/>
      <c r="BP65" s="900"/>
      <c r="BQ65" s="901"/>
      <c r="BR65" s="902"/>
      <c r="BS65" s="902"/>
      <c r="BT65" s="911"/>
      <c r="BU65" s="912"/>
      <c r="BV65" s="913"/>
      <c r="BW65" s="914"/>
      <c r="BX65" s="907"/>
      <c r="BY65" s="901"/>
      <c r="BZ65" s="902"/>
      <c r="CA65" s="902"/>
      <c r="CB65" s="911"/>
      <c r="CC65" s="328"/>
      <c r="CD65" s="352"/>
      <c r="CE65" s="352"/>
      <c r="CF65" s="361"/>
      <c r="CG65" s="357"/>
      <c r="CH65" s="352"/>
      <c r="CI65" s="357"/>
      <c r="CJ65" s="311"/>
      <c r="CK65" s="908"/>
      <c r="CL65" s="909"/>
      <c r="CM65" s="908"/>
      <c r="CN65" s="908"/>
      <c r="CO65" s="908"/>
      <c r="CP65" s="908"/>
      <c r="CQ65" s="908"/>
      <c r="CR65" s="908"/>
      <c r="CS65" s="908"/>
      <c r="CT65" s="908"/>
      <c r="CU65" s="908"/>
      <c r="CV65" s="908"/>
      <c r="CW65" s="908"/>
      <c r="CX65" s="908"/>
      <c r="CY65" s="908"/>
      <c r="CZ65" s="908"/>
      <c r="DA65" s="908"/>
      <c r="DB65" s="908"/>
      <c r="DC65" s="908"/>
      <c r="DD65" s="908"/>
      <c r="DE65" s="222"/>
      <c r="DF65" s="1084">
        <f>Detailed[[#This Row],[Column8]]</f>
        <v>1798340</v>
      </c>
      <c r="DG65" s="126">
        <f t="shared" si="10"/>
        <v>269751</v>
      </c>
      <c r="DH65" s="126">
        <f t="shared" si="11"/>
        <v>2068091</v>
      </c>
      <c r="DI65" s="1059">
        <f>SUMPRODUCT((MOD(COLUMN(I65:DD65)-COLUMN(I65),4)=1)*I65:DD65)</f>
        <v>899170</v>
      </c>
      <c r="DJ65" s="1059">
        <f>SUMPRODUCT((MOD(COLUMN(I65:DD65)-COLUMN(J65),4)=2)*I65:DD65)</f>
        <v>1034045.5</v>
      </c>
      <c r="DK65" s="153">
        <v>1</v>
      </c>
      <c r="DL65" s="154">
        <f t="shared" si="12"/>
        <v>1798340</v>
      </c>
      <c r="DM65" s="1083">
        <f t="shared" si="13"/>
        <v>899170</v>
      </c>
      <c r="DN65" s="178"/>
      <c r="DO65" s="694">
        <f t="shared" si="14"/>
        <v>899170</v>
      </c>
      <c r="DP65" s="694">
        <f>DO65-Detailed[[#This Row],[Column66]]</f>
        <v>0</v>
      </c>
      <c r="DQ65" s="694"/>
      <c r="DR65" s="179"/>
      <c r="DS65" s="231"/>
      <c r="DT65" s="179"/>
      <c r="DU65" s="179"/>
      <c r="DV65" s="179"/>
      <c r="DW65" s="179"/>
      <c r="DX65" s="179"/>
      <c r="DY65" s="179"/>
      <c r="DZ65" s="179"/>
      <c r="EA65" s="179"/>
      <c r="EB65" s="179"/>
      <c r="EC65" s="179"/>
      <c r="ED65" s="179"/>
      <c r="EE65" s="179"/>
      <c r="EF65" s="179"/>
      <c r="EG65" s="179"/>
      <c r="EH65" s="179"/>
      <c r="EI65" s="179"/>
      <c r="EJ65" s="179"/>
      <c r="EK65" s="179"/>
      <c r="EL65" s="179"/>
      <c r="EM65" s="179"/>
      <c r="EN65" s="179"/>
      <c r="EO65" s="179"/>
      <c r="EP65" s="179"/>
      <c r="EQ65" s="179"/>
      <c r="ER65" s="179"/>
      <c r="ES65" s="179"/>
      <c r="ET65" s="179"/>
      <c r="EU65" s="179"/>
      <c r="EV65" s="179"/>
      <c r="EW65" s="179"/>
      <c r="EX65" s="179"/>
      <c r="EY65" s="179"/>
      <c r="EZ65" s="179"/>
      <c r="FA65" s="179"/>
      <c r="FB65" s="179"/>
      <c r="FC65" s="179"/>
      <c r="FD65" s="179"/>
      <c r="FE65" s="179"/>
      <c r="FF65" s="179"/>
      <c r="FG65" s="179"/>
      <c r="FH65" s="179"/>
      <c r="FI65" s="179"/>
      <c r="FJ65" s="179"/>
      <c r="FK65" s="179"/>
      <c r="FL65" s="179"/>
      <c r="FM65" s="179"/>
      <c r="FN65" s="179"/>
      <c r="FO65" s="179"/>
      <c r="FP65" s="179"/>
      <c r="FQ65" s="179"/>
      <c r="FR65" s="179"/>
      <c r="FS65" s="179"/>
      <c r="FT65" s="179"/>
      <c r="FU65" s="179"/>
      <c r="FV65" s="179"/>
      <c r="FW65" s="179"/>
      <c r="FX65" s="179"/>
      <c r="FY65" s="179"/>
      <c r="FZ65" s="179"/>
      <c r="GA65" s="179"/>
      <c r="GB65" s="179"/>
      <c r="GC65" s="179"/>
      <c r="GD65" s="179"/>
      <c r="GE65" s="179"/>
      <c r="GF65" s="179"/>
      <c r="GG65" s="179"/>
      <c r="GH65" s="179"/>
      <c r="GI65" s="179"/>
      <c r="GJ65" s="179"/>
      <c r="GK65" s="179"/>
      <c r="GL65" s="179"/>
      <c r="GM65" s="179"/>
      <c r="GN65" s="179"/>
      <c r="GO65" s="179"/>
      <c r="GP65" s="179"/>
      <c r="GQ65" s="179"/>
      <c r="GR65" s="179"/>
      <c r="GS65" s="179"/>
      <c r="GT65" s="179"/>
      <c r="GU65" s="179"/>
      <c r="GV65" s="179"/>
      <c r="GW65" s="179"/>
      <c r="GX65" s="179"/>
      <c r="GY65" s="179"/>
      <c r="GZ65" s="179"/>
      <c r="HA65" s="179"/>
      <c r="HB65" s="179"/>
      <c r="HC65" s="179"/>
      <c r="HD65" s="179"/>
      <c r="HE65" s="179"/>
      <c r="HF65" s="179"/>
      <c r="HG65" s="179"/>
      <c r="HH65" s="179"/>
      <c r="HI65" s="179"/>
      <c r="HJ65" s="179"/>
      <c r="HK65" s="179"/>
      <c r="HL65" s="179"/>
      <c r="HM65" s="179"/>
      <c r="HN65" s="179"/>
      <c r="HO65" s="179"/>
      <c r="HP65" s="179"/>
      <c r="HQ65" s="179"/>
      <c r="HR65" s="179"/>
      <c r="HS65" s="179"/>
      <c r="HT65" s="179"/>
      <c r="HU65" s="179"/>
      <c r="HV65" s="179"/>
      <c r="HW65" s="179"/>
      <c r="HX65" s="179"/>
      <c r="HY65" s="179"/>
      <c r="HZ65" s="179"/>
      <c r="IA65" s="179"/>
      <c r="IB65" s="179"/>
      <c r="IC65" s="179"/>
      <c r="ID65" s="179"/>
      <c r="IE65" s="179"/>
      <c r="IF65" s="179"/>
      <c r="IG65" s="179"/>
      <c r="IH65" s="179"/>
      <c r="II65" s="179"/>
      <c r="IJ65" s="179"/>
      <c r="IK65" s="179"/>
      <c r="IL65" s="179"/>
      <c r="IM65" s="179"/>
      <c r="IN65" s="179"/>
      <c r="IO65" s="179"/>
      <c r="IP65" s="179"/>
      <c r="IQ65" s="179"/>
      <c r="IR65" s="179"/>
      <c r="IS65" s="179"/>
      <c r="IT65" s="179"/>
      <c r="IU65" s="179"/>
      <c r="IV65" s="179"/>
      <c r="IW65" s="179"/>
      <c r="IX65" s="179"/>
      <c r="IY65" s="179"/>
      <c r="IZ65" s="179"/>
      <c r="JA65" s="179"/>
      <c r="JB65" s="179"/>
      <c r="JC65" s="179"/>
      <c r="JD65" s="179"/>
      <c r="JE65" s="179"/>
      <c r="JF65" s="179"/>
      <c r="JG65" s="179"/>
      <c r="JH65" s="179"/>
      <c r="JI65" s="179"/>
    </row>
    <row r="66" spans="1:269" ht="16.2" thickTop="1">
      <c r="A66" s="194" t="s">
        <v>235</v>
      </c>
      <c r="B66" s="38">
        <v>16</v>
      </c>
      <c r="C66" s="139" t="s">
        <v>405</v>
      </c>
      <c r="D66" s="882"/>
      <c r="E66" s="882"/>
      <c r="F66" s="883"/>
      <c r="G66" s="884"/>
      <c r="H66" s="885">
        <v>590000</v>
      </c>
      <c r="I66" s="886"/>
      <c r="J66" s="887"/>
      <c r="K66" s="887"/>
      <c r="L66" s="888"/>
      <c r="M66" s="889"/>
      <c r="N66" s="890"/>
      <c r="O66" s="890"/>
      <c r="P66" s="891"/>
      <c r="Q66" s="892"/>
      <c r="R66" s="893"/>
      <c r="S66" s="893"/>
      <c r="T66" s="894"/>
      <c r="U66" s="895"/>
      <c r="V66" s="894"/>
      <c r="W66" s="894"/>
      <c r="X66" s="891"/>
      <c r="Y66" s="895"/>
      <c r="Z66" s="894"/>
      <c r="AA66" s="894"/>
      <c r="AB66" s="891"/>
      <c r="AC66" s="895"/>
      <c r="AD66" s="894"/>
      <c r="AE66" s="894"/>
      <c r="AF66" s="891"/>
      <c r="AG66" s="895"/>
      <c r="AH66" s="887"/>
      <c r="AI66" s="887"/>
      <c r="AJ66" s="891"/>
      <c r="AK66" s="889"/>
      <c r="AL66" s="890"/>
      <c r="AM66" s="890"/>
      <c r="AN66" s="896"/>
      <c r="AO66" s="897"/>
      <c r="AP66" s="898"/>
      <c r="AQ66" s="898"/>
      <c r="AR66" s="899"/>
      <c r="AS66" s="897"/>
      <c r="AT66" s="898"/>
      <c r="AU66" s="898"/>
      <c r="AV66" s="899"/>
      <c r="AW66" s="897"/>
      <c r="AX66" s="898"/>
      <c r="AY66" s="898"/>
      <c r="AZ66" s="899"/>
      <c r="BA66" s="897"/>
      <c r="BB66" s="898"/>
      <c r="BC66" s="898"/>
      <c r="BD66" s="899"/>
      <c r="BE66" s="937"/>
      <c r="BF66" s="898"/>
      <c r="BG66" s="938"/>
      <c r="BH66" s="939"/>
      <c r="BI66" s="318">
        <v>45929</v>
      </c>
      <c r="BJ66" s="898">
        <f>'EGEC - NIS2'!M217</f>
        <v>471999.23</v>
      </c>
      <c r="BK66" s="898">
        <f>Detailed[[#This Row],[Column62]]*15%</f>
        <v>70799.8845</v>
      </c>
      <c r="BL66" s="900">
        <f>Detailed[[#This Row],[Column62]]+Detailed[[#This Row],[Column63]]</f>
        <v>542799.11450000003</v>
      </c>
      <c r="BM66" s="897"/>
      <c r="BN66" s="898"/>
      <c r="BO66" s="898"/>
      <c r="BP66" s="900"/>
      <c r="BQ66" s="318">
        <v>45994</v>
      </c>
      <c r="BR66" s="902">
        <f>'EGEC - NIS2'!O217</f>
        <v>59000</v>
      </c>
      <c r="BS66" s="124">
        <f>Detailed[[#This Row],[Column78]]*15%</f>
        <v>8850</v>
      </c>
      <c r="BT66" s="435">
        <f>Detailed[[#This Row],[Column76]]+Detailed[[#This Row],[Column78]]</f>
        <v>67850</v>
      </c>
      <c r="BU66" s="912"/>
      <c r="BV66" s="913"/>
      <c r="BW66" s="914"/>
      <c r="BX66" s="907"/>
      <c r="BY66" s="901"/>
      <c r="BZ66" s="902"/>
      <c r="CA66" s="902"/>
      <c r="CB66" s="911"/>
      <c r="CC66" s="328"/>
      <c r="CD66" s="352"/>
      <c r="CE66" s="352"/>
      <c r="CF66" s="361"/>
      <c r="CG66" s="357"/>
      <c r="CH66" s="352"/>
      <c r="CI66" s="357"/>
      <c r="CJ66" s="311"/>
      <c r="CK66" s="908"/>
      <c r="CL66" s="909"/>
      <c r="CM66" s="908"/>
      <c r="CN66" s="908"/>
      <c r="CO66" s="908"/>
      <c r="CP66" s="908"/>
      <c r="CQ66" s="908"/>
      <c r="CR66" s="908"/>
      <c r="CS66" s="908"/>
      <c r="CT66" s="908"/>
      <c r="CU66" s="908"/>
      <c r="CV66" s="908"/>
      <c r="CW66" s="908"/>
      <c r="CX66" s="908"/>
      <c r="CY66" s="908"/>
      <c r="CZ66" s="908"/>
      <c r="DA66" s="908"/>
      <c r="DB66" s="908"/>
      <c r="DC66" s="908"/>
      <c r="DD66" s="908"/>
      <c r="DE66" s="222"/>
      <c r="DF66" s="1084">
        <f>Detailed[[#This Row],[Column8]]</f>
        <v>590000</v>
      </c>
      <c r="DG66" s="126">
        <f t="shared" si="10"/>
        <v>88500</v>
      </c>
      <c r="DH66" s="126">
        <f t="shared" si="11"/>
        <v>678500</v>
      </c>
      <c r="DI66" s="1059">
        <f>SUMPRODUCT((MOD(COLUMN(I66:DD66)-COLUMN(I66),4)=1)*I66:DD66)</f>
        <v>530999.23</v>
      </c>
      <c r="DJ66" s="1059">
        <f>SUMPRODUCT((MOD(COLUMN(I66:DD66)-COLUMN(J66),4)=2)*I66:DD66)</f>
        <v>610649.11450000003</v>
      </c>
      <c r="DK66" s="153">
        <v>0.8</v>
      </c>
      <c r="DL66" s="154">
        <f t="shared" si="12"/>
        <v>472000</v>
      </c>
      <c r="DM66" s="1083">
        <f t="shared" si="13"/>
        <v>-58999.229999999981</v>
      </c>
      <c r="DN66" s="178"/>
      <c r="DO66" s="694">
        <f t="shared" si="14"/>
        <v>530999.23</v>
      </c>
      <c r="DP66" s="694">
        <f>DO66-Detailed[[#This Row],[Column66]]</f>
        <v>0</v>
      </c>
      <c r="DQ66" s="694"/>
      <c r="DR66" s="179"/>
      <c r="DS66" s="231"/>
      <c r="DT66" s="179"/>
      <c r="DU66" s="179"/>
      <c r="DV66" s="179"/>
      <c r="DW66" s="179"/>
      <c r="DX66" s="179"/>
      <c r="DY66" s="179"/>
      <c r="DZ66" s="179"/>
      <c r="EA66" s="179"/>
      <c r="EB66" s="179"/>
      <c r="EC66" s="179"/>
      <c r="ED66" s="179"/>
      <c r="EE66" s="179"/>
      <c r="EF66" s="179"/>
      <c r="EG66" s="179"/>
      <c r="EH66" s="179"/>
      <c r="EI66" s="179"/>
      <c r="EJ66" s="179"/>
      <c r="EK66" s="179"/>
      <c r="EL66" s="179"/>
      <c r="EM66" s="179"/>
      <c r="EN66" s="179"/>
      <c r="EO66" s="179"/>
      <c r="EP66" s="179"/>
      <c r="EQ66" s="179"/>
      <c r="ER66" s="179"/>
      <c r="ES66" s="179"/>
      <c r="ET66" s="179"/>
      <c r="EU66" s="179"/>
      <c r="EV66" s="179"/>
      <c r="EW66" s="179"/>
      <c r="EX66" s="179"/>
      <c r="EY66" s="179"/>
      <c r="EZ66" s="179"/>
      <c r="FA66" s="179"/>
      <c r="FB66" s="179"/>
      <c r="FC66" s="179"/>
      <c r="FD66" s="179"/>
      <c r="FE66" s="179"/>
      <c r="FF66" s="179"/>
      <c r="FG66" s="179"/>
      <c r="FH66" s="179"/>
      <c r="FI66" s="179"/>
      <c r="FJ66" s="179"/>
      <c r="FK66" s="179"/>
      <c r="FL66" s="179"/>
      <c r="FM66" s="179"/>
      <c r="FN66" s="179"/>
      <c r="FO66" s="179"/>
      <c r="FP66" s="179"/>
      <c r="FQ66" s="179"/>
      <c r="FR66" s="179"/>
      <c r="FS66" s="179"/>
      <c r="FT66" s="179"/>
      <c r="FU66" s="179"/>
      <c r="FV66" s="179"/>
      <c r="FW66" s="179"/>
      <c r="FX66" s="179"/>
      <c r="FY66" s="179"/>
      <c r="FZ66" s="179"/>
      <c r="GA66" s="179"/>
      <c r="GB66" s="179"/>
      <c r="GC66" s="179"/>
      <c r="GD66" s="179"/>
      <c r="GE66" s="179"/>
      <c r="GF66" s="179"/>
      <c r="GG66" s="179"/>
      <c r="GH66" s="179"/>
      <c r="GI66" s="179"/>
      <c r="GJ66" s="179"/>
      <c r="GK66" s="179"/>
      <c r="GL66" s="179"/>
      <c r="GM66" s="179"/>
      <c r="GN66" s="179"/>
      <c r="GO66" s="179"/>
      <c r="GP66" s="179"/>
      <c r="GQ66" s="179"/>
      <c r="GR66" s="179"/>
      <c r="GS66" s="179"/>
      <c r="GT66" s="179"/>
      <c r="GU66" s="179"/>
      <c r="GV66" s="179"/>
      <c r="GW66" s="179"/>
      <c r="GX66" s="179"/>
      <c r="GY66" s="179"/>
      <c r="GZ66" s="179"/>
      <c r="HA66" s="179"/>
      <c r="HB66" s="179"/>
      <c r="HC66" s="179"/>
      <c r="HD66" s="179"/>
      <c r="HE66" s="179"/>
      <c r="HF66" s="179"/>
      <c r="HG66" s="179"/>
      <c r="HH66" s="179"/>
      <c r="HI66" s="179"/>
      <c r="HJ66" s="179"/>
      <c r="HK66" s="179"/>
      <c r="HL66" s="179"/>
      <c r="HM66" s="179"/>
      <c r="HN66" s="179"/>
      <c r="HO66" s="179"/>
      <c r="HP66" s="179"/>
      <c r="HQ66" s="179"/>
      <c r="HR66" s="179"/>
      <c r="HS66" s="179"/>
      <c r="HT66" s="179"/>
      <c r="HU66" s="179"/>
      <c r="HV66" s="179"/>
      <c r="HW66" s="179"/>
      <c r="HX66" s="179"/>
      <c r="HY66" s="179"/>
      <c r="HZ66" s="179"/>
      <c r="IA66" s="179"/>
      <c r="IB66" s="179"/>
      <c r="IC66" s="179"/>
      <c r="ID66" s="179"/>
      <c r="IE66" s="179"/>
      <c r="IF66" s="179"/>
      <c r="IG66" s="179"/>
      <c r="IH66" s="179"/>
      <c r="II66" s="179"/>
      <c r="IJ66" s="179"/>
      <c r="IK66" s="179"/>
      <c r="IL66" s="179"/>
      <c r="IM66" s="179"/>
      <c r="IN66" s="179"/>
      <c r="IO66" s="179"/>
      <c r="IP66" s="179"/>
      <c r="IQ66" s="179"/>
      <c r="IR66" s="179"/>
      <c r="IS66" s="179"/>
      <c r="IT66" s="179"/>
      <c r="IU66" s="179"/>
      <c r="IV66" s="179"/>
      <c r="IW66" s="179"/>
      <c r="IX66" s="179"/>
      <c r="IY66" s="179"/>
      <c r="IZ66" s="179"/>
      <c r="JA66" s="179"/>
      <c r="JB66" s="179"/>
      <c r="JC66" s="179"/>
      <c r="JD66" s="179"/>
      <c r="JE66" s="179"/>
      <c r="JF66" s="179"/>
      <c r="JG66" s="179"/>
      <c r="JH66" s="179"/>
      <c r="JI66" s="179"/>
    </row>
    <row r="67" spans="1:269" s="175" customFormat="1" ht="16.2" thickBot="1">
      <c r="A67" s="194" t="s">
        <v>235</v>
      </c>
      <c r="B67" s="880"/>
      <c r="C67" s="881"/>
      <c r="D67" s="882"/>
      <c r="E67" s="882"/>
      <c r="F67" s="883"/>
      <c r="G67" s="884"/>
      <c r="H67" s="885"/>
      <c r="I67" s="886"/>
      <c r="J67" s="887"/>
      <c r="K67" s="887"/>
      <c r="L67" s="888"/>
      <c r="M67" s="889"/>
      <c r="N67" s="890"/>
      <c r="O67" s="890"/>
      <c r="P67" s="891"/>
      <c r="Q67" s="892"/>
      <c r="R67" s="893"/>
      <c r="S67" s="893"/>
      <c r="T67" s="894"/>
      <c r="U67" s="895"/>
      <c r="V67" s="894"/>
      <c r="W67" s="894"/>
      <c r="X67" s="891"/>
      <c r="Y67" s="895"/>
      <c r="Z67" s="894"/>
      <c r="AA67" s="894"/>
      <c r="AB67" s="891"/>
      <c r="AC67" s="895"/>
      <c r="AD67" s="894"/>
      <c r="AE67" s="894"/>
      <c r="AF67" s="891"/>
      <c r="AG67" s="895"/>
      <c r="AH67" s="887"/>
      <c r="AI67" s="887"/>
      <c r="AJ67" s="891"/>
      <c r="AK67" s="889"/>
      <c r="AL67" s="890"/>
      <c r="AM67" s="890"/>
      <c r="AN67" s="896"/>
      <c r="AO67" s="897"/>
      <c r="AP67" s="898"/>
      <c r="AQ67" s="898"/>
      <c r="AR67" s="899"/>
      <c r="AS67" s="897"/>
      <c r="AT67" s="898"/>
      <c r="AU67" s="898"/>
      <c r="AV67" s="899"/>
      <c r="AW67" s="897"/>
      <c r="AX67" s="898"/>
      <c r="AY67" s="898"/>
      <c r="AZ67" s="899"/>
      <c r="BA67" s="897"/>
      <c r="BB67" s="898"/>
      <c r="BC67" s="898"/>
      <c r="BD67" s="899"/>
      <c r="BE67" s="937"/>
      <c r="BF67" s="898"/>
      <c r="BG67" s="938"/>
      <c r="BH67" s="939"/>
      <c r="BI67" s="937"/>
      <c r="BJ67" s="898"/>
      <c r="BK67" s="898"/>
      <c r="BL67" s="900"/>
      <c r="BM67" s="897"/>
      <c r="BN67" s="898"/>
      <c r="BO67" s="898"/>
      <c r="BP67" s="900"/>
      <c r="BQ67" s="901"/>
      <c r="BR67" s="902"/>
      <c r="BS67" s="902"/>
      <c r="BT67" s="911"/>
      <c r="BU67" s="912"/>
      <c r="BV67" s="913"/>
      <c r="BW67" s="914"/>
      <c r="BX67" s="907"/>
      <c r="BY67" s="901"/>
      <c r="BZ67" s="902"/>
      <c r="CA67" s="902"/>
      <c r="CB67" s="911"/>
      <c r="CC67" s="328"/>
      <c r="CD67" s="352"/>
      <c r="CE67" s="352"/>
      <c r="CF67" s="361"/>
      <c r="CG67" s="357"/>
      <c r="CH67" s="352"/>
      <c r="CI67" s="357"/>
      <c r="CJ67" s="311"/>
      <c r="CK67" s="908"/>
      <c r="CL67" s="909"/>
      <c r="CM67" s="908"/>
      <c r="CN67" s="908"/>
      <c r="CO67" s="908"/>
      <c r="CP67" s="908"/>
      <c r="CQ67" s="908"/>
      <c r="CR67" s="908"/>
      <c r="CS67" s="908"/>
      <c r="CT67" s="908"/>
      <c r="CU67" s="908"/>
      <c r="CV67" s="908"/>
      <c r="CW67" s="908"/>
      <c r="CX67" s="908"/>
      <c r="CY67" s="908"/>
      <c r="CZ67" s="908"/>
      <c r="DA67" s="908"/>
      <c r="DB67" s="908"/>
      <c r="DC67" s="908"/>
      <c r="DD67" s="908"/>
      <c r="DE67" s="222"/>
      <c r="DF67" s="1084"/>
      <c r="DG67" s="910"/>
      <c r="DH67" s="910"/>
      <c r="DI67" s="910"/>
      <c r="DJ67" s="910"/>
      <c r="DK67" s="153"/>
      <c r="DL67" s="154"/>
      <c r="DM67" s="1085"/>
      <c r="DN67" s="178"/>
      <c r="DO67" s="694">
        <f t="shared" si="14"/>
        <v>0</v>
      </c>
      <c r="DP67" s="694">
        <f>DO67-Detailed[[#This Row],[Column66]]</f>
        <v>0</v>
      </c>
      <c r="DQ67" s="694">
        <v>9547801.1999949999</v>
      </c>
      <c r="DR67" s="179"/>
      <c r="DS67" s="231">
        <f>DQ67-Detailed[[#This Row],[Column66]]</f>
        <v>9547801.1999949999</v>
      </c>
      <c r="DT67" s="179"/>
      <c r="DU67" s="179"/>
      <c r="DV67" s="179"/>
      <c r="DW67" s="179"/>
      <c r="DX67" s="179"/>
      <c r="DY67" s="179"/>
      <c r="DZ67" s="179"/>
      <c r="EA67" s="179"/>
      <c r="EB67" s="179"/>
      <c r="EC67" s="179"/>
      <c r="ED67" s="179"/>
      <c r="EE67" s="179"/>
      <c r="EF67" s="179"/>
      <c r="EG67" s="179"/>
      <c r="EH67" s="179"/>
      <c r="EI67" s="179"/>
      <c r="EJ67" s="179"/>
      <c r="EK67" s="179"/>
      <c r="EL67" s="179"/>
      <c r="EM67" s="179"/>
      <c r="EN67" s="179"/>
      <c r="EO67" s="179"/>
      <c r="EP67" s="179"/>
      <c r="EQ67" s="179"/>
      <c r="ER67" s="179"/>
      <c r="ES67" s="179"/>
      <c r="ET67" s="179"/>
      <c r="EU67" s="179"/>
      <c r="EV67" s="179"/>
      <c r="EW67" s="179"/>
      <c r="EX67" s="179"/>
      <c r="EY67" s="179"/>
      <c r="EZ67" s="179"/>
      <c r="FA67" s="179"/>
      <c r="FB67" s="179"/>
      <c r="FC67" s="179"/>
      <c r="FD67" s="179"/>
      <c r="FE67" s="179"/>
      <c r="FF67" s="179"/>
      <c r="FG67" s="179"/>
      <c r="FH67" s="179"/>
      <c r="FI67" s="179"/>
      <c r="FJ67" s="179"/>
      <c r="FK67" s="179"/>
      <c r="FL67" s="179"/>
      <c r="FM67" s="179"/>
      <c r="FN67" s="179"/>
      <c r="FO67" s="179"/>
      <c r="FP67" s="179"/>
      <c r="FQ67" s="179"/>
      <c r="FR67" s="179"/>
      <c r="FS67" s="179"/>
      <c r="FT67" s="179"/>
      <c r="FU67" s="179"/>
      <c r="FV67" s="179"/>
      <c r="FW67" s="179"/>
      <c r="FX67" s="179"/>
      <c r="FY67" s="179"/>
      <c r="FZ67" s="179"/>
      <c r="GA67" s="179"/>
      <c r="GB67" s="179"/>
      <c r="GC67" s="179"/>
      <c r="GD67" s="179"/>
      <c r="GE67" s="179"/>
      <c r="GF67" s="179"/>
      <c r="GG67" s="179"/>
      <c r="GH67" s="179"/>
      <c r="GI67" s="179"/>
      <c r="GJ67" s="179"/>
      <c r="GK67" s="179"/>
      <c r="GL67" s="179"/>
      <c r="GM67" s="179"/>
      <c r="GN67" s="179"/>
      <c r="GO67" s="179"/>
      <c r="GP67" s="179"/>
      <c r="GQ67" s="179"/>
      <c r="GR67" s="179"/>
      <c r="GS67" s="179"/>
      <c r="GT67" s="179"/>
      <c r="GU67" s="179"/>
      <c r="GV67" s="179"/>
      <c r="GW67" s="179"/>
      <c r="GX67" s="179"/>
      <c r="GY67" s="179"/>
      <c r="GZ67" s="179"/>
      <c r="HA67" s="179"/>
      <c r="HB67" s="179"/>
      <c r="HC67" s="179"/>
      <c r="HD67" s="179"/>
      <c r="HE67" s="179"/>
      <c r="HF67" s="179"/>
      <c r="HG67" s="179"/>
      <c r="HH67" s="179"/>
      <c r="HI67" s="179"/>
      <c r="HJ67" s="179"/>
      <c r="HK67" s="179"/>
      <c r="HL67" s="179"/>
      <c r="HM67" s="179"/>
      <c r="HN67" s="179"/>
      <c r="HO67" s="179"/>
      <c r="HP67" s="179"/>
      <c r="HQ67" s="179"/>
      <c r="HR67" s="179"/>
      <c r="HS67" s="179"/>
      <c r="HT67" s="179"/>
      <c r="HU67" s="179"/>
      <c r="HV67" s="179"/>
      <c r="HW67" s="179"/>
      <c r="HX67" s="179"/>
      <c r="HY67" s="179"/>
      <c r="HZ67" s="179"/>
      <c r="IA67" s="179"/>
      <c r="IB67" s="179"/>
      <c r="IC67" s="179"/>
      <c r="ID67" s="179"/>
      <c r="IE67" s="179"/>
      <c r="IF67" s="179"/>
      <c r="IG67" s="179"/>
      <c r="IH67" s="179"/>
      <c r="II67" s="179"/>
      <c r="IJ67" s="179"/>
      <c r="IK67" s="179"/>
      <c r="IL67" s="179"/>
      <c r="IM67" s="179"/>
      <c r="IN67" s="179"/>
      <c r="IO67" s="179"/>
      <c r="IP67" s="179"/>
      <c r="IQ67" s="179"/>
      <c r="IR67" s="179"/>
      <c r="IS67" s="179"/>
      <c r="IT67" s="179"/>
      <c r="IU67" s="179"/>
      <c r="IV67" s="179"/>
      <c r="IW67" s="179"/>
      <c r="IX67" s="179"/>
      <c r="IY67" s="179"/>
      <c r="IZ67" s="179"/>
      <c r="JA67" s="179"/>
      <c r="JB67" s="179"/>
      <c r="JC67" s="179"/>
      <c r="JD67" s="179"/>
      <c r="JE67" s="179"/>
      <c r="JF67" s="179"/>
      <c r="JG67" s="179"/>
      <c r="JH67" s="179"/>
      <c r="JI67" s="179"/>
    </row>
    <row r="68" spans="1:269" ht="16.8" thickTop="1" thickBot="1">
      <c r="A68" s="194" t="s">
        <v>235</v>
      </c>
      <c r="B68" s="85"/>
      <c r="C68" s="188"/>
      <c r="D68" s="491"/>
      <c r="E68" s="186"/>
      <c r="F68" s="187"/>
      <c r="G68" s="86"/>
      <c r="H68" s="87"/>
      <c r="I68" s="319"/>
      <c r="J68" s="345">
        <f>SUM(J50:J56)</f>
        <v>1395290.5</v>
      </c>
      <c r="K68" s="203"/>
      <c r="L68" s="320">
        <f>SUM(L50:L56)</f>
        <v>1604584.075</v>
      </c>
      <c r="M68" s="88"/>
      <c r="N68" s="345">
        <f>SUM(N50:N56)</f>
        <v>2354092.9299949999</v>
      </c>
      <c r="O68" s="203"/>
      <c r="P68" s="320">
        <f>SUM(P50:P56)</f>
        <v>2707206.86949425</v>
      </c>
      <c r="Q68" s="90"/>
      <c r="R68" s="345">
        <f>SUM(R50:R56)</f>
        <v>155224.56</v>
      </c>
      <c r="S68" s="203"/>
      <c r="T68" s="320">
        <f>SUM(T50:T56)</f>
        <v>178508.24400000001</v>
      </c>
      <c r="U68" s="91"/>
      <c r="V68" s="345">
        <f>SUM(V50:V56)</f>
        <v>372075</v>
      </c>
      <c r="W68" s="203"/>
      <c r="X68" s="320">
        <f>SUM(X50:X56)</f>
        <v>427886.25</v>
      </c>
      <c r="Y68" s="91"/>
      <c r="Z68" s="345">
        <f>SUM(Z50:Z56)</f>
        <v>1167317.71</v>
      </c>
      <c r="AA68" s="203"/>
      <c r="AB68" s="320">
        <f>SUM(AB50:AB56)</f>
        <v>1342415.3665</v>
      </c>
      <c r="AC68" s="91"/>
      <c r="AD68" s="345">
        <f>SUM(AD50:AD56)</f>
        <v>1046063.5</v>
      </c>
      <c r="AE68" s="203"/>
      <c r="AF68" s="320">
        <f>SUM(AF50:AF56)</f>
        <v>1202973.0249999999</v>
      </c>
      <c r="AG68" s="91"/>
      <c r="AH68" s="345">
        <f>SUM(AH50:AH57)</f>
        <v>1335723.5</v>
      </c>
      <c r="AI68" s="203"/>
      <c r="AJ68" s="320">
        <f>SUM(AJ50:AJ57)</f>
        <v>1536082.0249999999</v>
      </c>
      <c r="AK68" s="88"/>
      <c r="AL68" s="345">
        <f>SUM(AL50:AL63)</f>
        <v>175000</v>
      </c>
      <c r="AM68" s="203"/>
      <c r="AN68" s="320">
        <f>SUM(AN50:AN59)</f>
        <v>201250</v>
      </c>
      <c r="AO68" s="313"/>
      <c r="AP68" s="345">
        <f>SUM(AP50:AP63)</f>
        <v>1547013.5</v>
      </c>
      <c r="AQ68" s="203"/>
      <c r="AR68" s="320">
        <f>SUM(AR50:AR59)</f>
        <v>1439815.5249999999</v>
      </c>
      <c r="AS68" s="313"/>
      <c r="AT68" s="345">
        <f>SUM(AT50:AT63)</f>
        <v>640022.5</v>
      </c>
      <c r="AU68" s="203"/>
      <c r="AV68" s="320">
        <f>SUM(AV50:AV59)</f>
        <v>736025.875</v>
      </c>
      <c r="AW68" s="313"/>
      <c r="AX68" s="345">
        <f>SUM(AX50:AX63)</f>
        <v>1268107</v>
      </c>
      <c r="AY68" s="203"/>
      <c r="AZ68" s="320">
        <f>SUM(AZ50:AZ59)</f>
        <v>1458323.0500000003</v>
      </c>
      <c r="BA68" s="313"/>
      <c r="BB68" s="345">
        <f>SUM(BB50:BB63)</f>
        <v>256008.5</v>
      </c>
      <c r="BC68" s="203"/>
      <c r="BD68" s="320">
        <f>SUM(BD50:BD59)</f>
        <v>294409.77500000002</v>
      </c>
      <c r="BE68" s="313"/>
      <c r="BF68" s="345">
        <f>SUM(BF50:BF65)</f>
        <v>624585.64</v>
      </c>
      <c r="BG68" s="314"/>
      <c r="BH68" s="320">
        <f>SUM(BH50:BH65)</f>
        <v>718273.48600000003</v>
      </c>
      <c r="BI68" s="313"/>
      <c r="BJ68" s="320">
        <f>SUM(BJ54:BJ66)</f>
        <v>1006584.23</v>
      </c>
      <c r="BK68" s="320">
        <f>Detailed[[#This Row],[Column62]]*15%</f>
        <v>150987.63449999999</v>
      </c>
      <c r="BL68" s="320">
        <f>SUM(BL50:BL66)</f>
        <v>1157571.8645000001</v>
      </c>
      <c r="BM68" s="320"/>
      <c r="BN68" s="320">
        <f>SUM(BN54:BN66)</f>
        <v>839198.27000000014</v>
      </c>
      <c r="BO68" s="320">
        <f>Detailed[[#This Row],[Column72]]*15%</f>
        <v>125879.74050000001</v>
      </c>
      <c r="BP68" s="320">
        <f>Detailed[[#This Row],[Column74]]+Detailed[[#This Row],[Column72]]</f>
        <v>965078.01050000009</v>
      </c>
      <c r="BQ68" s="317"/>
      <c r="BR68" s="320">
        <f>SUM(BR54:BR66)</f>
        <v>299000</v>
      </c>
      <c r="BS68" s="320">
        <f>SUM(BS54:BS66)</f>
        <v>44850</v>
      </c>
      <c r="BT68" s="435">
        <f>Detailed[[#This Row],[Column76]]+Detailed[[#This Row],[Column78]]</f>
        <v>343850</v>
      </c>
      <c r="BU68" s="435"/>
      <c r="BV68" s="338"/>
      <c r="BW68" s="93"/>
      <c r="BX68" s="364"/>
      <c r="BY68" s="317"/>
      <c r="BZ68" s="347"/>
      <c r="CA68" s="347"/>
      <c r="CB68" s="211"/>
      <c r="CC68" s="249"/>
      <c r="CD68" s="353"/>
      <c r="CE68" s="353"/>
      <c r="CF68" s="360"/>
      <c r="CG68" s="358"/>
      <c r="CH68" s="353"/>
      <c r="CI68" s="358"/>
      <c r="CJ68" s="248"/>
      <c r="CK68" s="358"/>
      <c r="CL68" s="353"/>
      <c r="CM68" s="358"/>
      <c r="CN68" s="248"/>
      <c r="CO68" s="249"/>
      <c r="CP68" s="249"/>
      <c r="CQ68" s="249"/>
      <c r="CR68" s="249"/>
      <c r="CS68" s="249"/>
      <c r="CT68" s="249"/>
      <c r="CU68" s="249"/>
      <c r="CV68" s="249"/>
      <c r="CW68" s="249"/>
      <c r="CX68" s="249"/>
      <c r="CY68" s="249"/>
      <c r="CZ68" s="249"/>
      <c r="DA68" s="249"/>
      <c r="DB68" s="249"/>
      <c r="DC68" s="249"/>
      <c r="DD68" s="249"/>
      <c r="DE68" s="334"/>
      <c r="DF68" s="1074">
        <f>SUM(DF50:DF66)</f>
        <v>18492779</v>
      </c>
      <c r="DG68" s="392">
        <f>SUM(DG50:DG66)</f>
        <v>2773916.85</v>
      </c>
      <c r="DH68" s="392">
        <f>SUM(DH50:DH66)</f>
        <v>21266695.850000001</v>
      </c>
      <c r="DI68" s="393">
        <f t="shared" ref="DI68:DI76" si="15">SUM(J68,N68,R68,V68,Z68,AD68,AH68,AL68,AP68,AT68,AX68,BB68,BF68,BJ68,BN68,BR68,BV68,BZ68,CD68,CH68,CL68,CP68,CT68,CX68,DB68)</f>
        <v>14481307.339995001</v>
      </c>
      <c r="DJ68" s="392">
        <f>SUM(DJ50:DJ66)</f>
        <v>16261343.665994247</v>
      </c>
      <c r="DK68" s="394"/>
      <c r="DL68" s="393">
        <f>SUM(DL50:DL65)</f>
        <v>15572069</v>
      </c>
      <c r="DM68" s="1075">
        <f>SUM(DM50:DM65)</f>
        <v>1621760.8900049999</v>
      </c>
      <c r="DN68" s="178"/>
      <c r="DO68" s="694">
        <f t="shared" si="14"/>
        <v>14481307.339995001</v>
      </c>
      <c r="DP68" s="694">
        <f>DO68-Detailed[[#This Row],[Column66]]</f>
        <v>0</v>
      </c>
      <c r="DQ68" s="694"/>
      <c r="DR68" s="179"/>
      <c r="DS68" s="231">
        <f>DQ68-Detailed[[#This Row],[Column66]]</f>
        <v>-14481307.339995001</v>
      </c>
      <c r="DT68" s="179"/>
      <c r="DU68" s="179"/>
      <c r="DV68" s="179"/>
      <c r="DW68" s="179"/>
      <c r="DX68" s="179"/>
      <c r="DY68" s="179"/>
      <c r="DZ68" s="179"/>
      <c r="EA68" s="179"/>
      <c r="EB68" s="179"/>
      <c r="EC68" s="179"/>
      <c r="ED68" s="179"/>
      <c r="EE68" s="179"/>
      <c r="EF68" s="179"/>
      <c r="EG68" s="179"/>
      <c r="EH68" s="179"/>
      <c r="EI68" s="179"/>
      <c r="EJ68" s="179"/>
      <c r="EK68" s="179"/>
      <c r="EL68" s="179"/>
      <c r="EM68" s="179"/>
      <c r="EN68" s="179"/>
      <c r="EO68" s="179"/>
      <c r="EP68" s="179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79"/>
      <c r="FE68" s="179"/>
      <c r="FF68" s="179"/>
      <c r="FG68" s="179"/>
      <c r="FH68" s="179"/>
      <c r="FI68" s="179"/>
      <c r="FJ68" s="179"/>
      <c r="FK68" s="179"/>
      <c r="FL68" s="179"/>
      <c r="FM68" s="179"/>
      <c r="FN68" s="179"/>
      <c r="FO68" s="179"/>
      <c r="FP68" s="179"/>
      <c r="FQ68" s="179"/>
      <c r="FR68" s="179"/>
      <c r="FS68" s="179"/>
      <c r="FT68" s="179"/>
      <c r="FU68" s="179"/>
      <c r="FV68" s="179"/>
      <c r="FW68" s="179"/>
      <c r="FX68" s="179"/>
      <c r="FY68" s="179"/>
      <c r="FZ68" s="179"/>
      <c r="GA68" s="179"/>
      <c r="GB68" s="179"/>
      <c r="GC68" s="179"/>
      <c r="GD68" s="179"/>
      <c r="GE68" s="179"/>
      <c r="GF68" s="179"/>
      <c r="GG68" s="179"/>
      <c r="GH68" s="179"/>
      <c r="GI68" s="179"/>
      <c r="GJ68" s="179"/>
      <c r="GK68" s="179"/>
      <c r="GL68" s="179"/>
      <c r="GM68" s="179"/>
      <c r="GN68" s="179"/>
      <c r="GO68" s="179"/>
      <c r="GP68" s="179"/>
      <c r="GQ68" s="179"/>
      <c r="GR68" s="179"/>
      <c r="GS68" s="179"/>
      <c r="GT68" s="179"/>
      <c r="GU68" s="179"/>
      <c r="GV68" s="179"/>
      <c r="GW68" s="179"/>
      <c r="GX68" s="179"/>
      <c r="GY68" s="179"/>
      <c r="GZ68" s="179"/>
      <c r="HA68" s="179"/>
      <c r="HB68" s="179"/>
      <c r="HC68" s="179"/>
      <c r="HD68" s="179"/>
      <c r="HE68" s="179"/>
      <c r="HF68" s="179"/>
      <c r="HG68" s="179"/>
      <c r="HH68" s="179"/>
      <c r="HI68" s="179"/>
      <c r="HJ68" s="179"/>
      <c r="HK68" s="179"/>
      <c r="HL68" s="179"/>
      <c r="HM68" s="179"/>
      <c r="HN68" s="179"/>
      <c r="HO68" s="179"/>
      <c r="HP68" s="179"/>
      <c r="HQ68" s="179"/>
      <c r="HR68" s="179"/>
      <c r="HS68" s="179"/>
      <c r="HT68" s="179"/>
      <c r="HU68" s="179"/>
      <c r="HV68" s="179"/>
      <c r="HW68" s="179"/>
      <c r="HX68" s="179"/>
      <c r="HY68" s="179"/>
      <c r="HZ68" s="179"/>
      <c r="IA68" s="179"/>
      <c r="IB68" s="179"/>
      <c r="IC68" s="179"/>
      <c r="ID68" s="179"/>
      <c r="IE68" s="179"/>
      <c r="IF68" s="179"/>
      <c r="IG68" s="179"/>
      <c r="IH68" s="179"/>
      <c r="II68" s="179"/>
      <c r="IJ68" s="179"/>
      <c r="IK68" s="179"/>
      <c r="IL68" s="179"/>
      <c r="IM68" s="179"/>
      <c r="IN68" s="179"/>
      <c r="IO68" s="179"/>
      <c r="IP68" s="179"/>
      <c r="IQ68" s="179"/>
      <c r="IR68" s="179"/>
      <c r="IS68" s="179"/>
      <c r="IT68" s="179"/>
      <c r="IU68" s="179"/>
      <c r="IV68" s="179"/>
      <c r="IW68" s="179"/>
      <c r="IX68" s="179"/>
      <c r="IY68" s="179"/>
      <c r="IZ68" s="179"/>
      <c r="JA68" s="179"/>
      <c r="JB68" s="179"/>
      <c r="JC68" s="179"/>
      <c r="JD68" s="179"/>
      <c r="JE68" s="179"/>
      <c r="JF68" s="179"/>
      <c r="JG68" s="179"/>
      <c r="JH68" s="179"/>
      <c r="JI68" s="179"/>
    </row>
    <row r="69" spans="1:269" ht="16.8" thickTop="1" thickBot="1">
      <c r="A69" s="145" t="s">
        <v>122</v>
      </c>
      <c r="B69" s="38"/>
      <c r="C69" s="768"/>
      <c r="D69" s="770"/>
      <c r="E69" s="180"/>
      <c r="F69" s="180"/>
      <c r="G69" s="463" t="s">
        <v>307</v>
      </c>
      <c r="H69" s="98">
        <f>F10</f>
        <v>27837620</v>
      </c>
      <c r="I69" s="326"/>
      <c r="J69" s="46"/>
      <c r="K69" s="204"/>
      <c r="L69" s="119"/>
      <c r="M69" s="52"/>
      <c r="N69" s="53"/>
      <c r="O69" s="120"/>
      <c r="P69" s="47"/>
      <c r="Q69" s="120"/>
      <c r="R69" s="131"/>
      <c r="S69" s="131"/>
      <c r="T69" s="51"/>
      <c r="U69" s="50"/>
      <c r="V69" s="51"/>
      <c r="W69" s="51"/>
      <c r="X69" s="47"/>
      <c r="Y69" s="50"/>
      <c r="Z69" s="51"/>
      <c r="AA69" s="51"/>
      <c r="AB69" s="47"/>
      <c r="AC69" s="50"/>
      <c r="AD69" s="51"/>
      <c r="AE69" s="51"/>
      <c r="AF69" s="47"/>
      <c r="AG69" s="50"/>
      <c r="AH69" s="46"/>
      <c r="AI69" s="46"/>
      <c r="AJ69" s="47"/>
      <c r="AK69" s="52"/>
      <c r="AL69" s="53"/>
      <c r="AM69" s="53"/>
      <c r="AN69" s="303"/>
      <c r="AO69" s="321"/>
      <c r="AP69" s="322"/>
      <c r="AQ69" s="322"/>
      <c r="AR69" s="323"/>
      <c r="AS69" s="321"/>
      <c r="AT69" s="322"/>
      <c r="AU69" s="322"/>
      <c r="AV69" s="323"/>
      <c r="AW69" s="321"/>
      <c r="AX69" s="322"/>
      <c r="AY69" s="322"/>
      <c r="AZ69" s="323"/>
      <c r="BA69" s="321"/>
      <c r="BB69" s="322"/>
      <c r="BC69" s="322"/>
      <c r="BD69" s="323"/>
      <c r="BE69" s="321"/>
      <c r="BF69" s="322"/>
      <c r="BG69" s="322"/>
      <c r="BH69" s="323"/>
      <c r="BI69" s="321"/>
      <c r="BJ69" s="322"/>
      <c r="BK69" s="322"/>
      <c r="BL69" s="324"/>
      <c r="BM69" s="321"/>
      <c r="BN69" s="322"/>
      <c r="BO69" s="322"/>
      <c r="BP69" s="323"/>
      <c r="BQ69" s="304"/>
      <c r="BR69" s="337"/>
      <c r="BS69" s="337"/>
      <c r="BT69" s="210"/>
      <c r="BU69" s="50"/>
      <c r="BV69" s="201"/>
      <c r="BW69" s="46"/>
      <c r="BX69" s="208"/>
      <c r="BY69" s="304"/>
      <c r="BZ69" s="337"/>
      <c r="CA69" s="337"/>
      <c r="CB69" s="210"/>
      <c r="CC69" s="247"/>
      <c r="CD69" s="351"/>
      <c r="CE69" s="351"/>
      <c r="CF69" s="245"/>
      <c r="CG69" s="356"/>
      <c r="CH69" s="351"/>
      <c r="CI69" s="356"/>
      <c r="CJ69" s="246"/>
      <c r="CK69" s="356"/>
      <c r="CL69" s="351"/>
      <c r="CM69" s="356"/>
      <c r="CN69" s="246"/>
      <c r="CO69" s="246"/>
      <c r="CP69" s="246"/>
      <c r="CQ69" s="246"/>
      <c r="CR69" s="246"/>
      <c r="CS69" s="246"/>
      <c r="CT69" s="246"/>
      <c r="CU69" s="246"/>
      <c r="CV69" s="246"/>
      <c r="CW69" s="246"/>
      <c r="CX69" s="246"/>
      <c r="CY69" s="246"/>
      <c r="CZ69" s="246"/>
      <c r="DA69" s="246"/>
      <c r="DB69" s="246"/>
      <c r="DC69" s="246"/>
      <c r="DD69" s="246"/>
      <c r="DE69" s="1032"/>
      <c r="DF69" s="1086"/>
      <c r="DG69" s="128"/>
      <c r="DH69" s="128"/>
      <c r="DI69" s="391">
        <f t="shared" si="15"/>
        <v>0</v>
      </c>
      <c r="DJ69" s="128"/>
      <c r="DK69" s="183"/>
      <c r="DL69" s="184"/>
      <c r="DM69" s="1087"/>
      <c r="DN69" s="178" t="s">
        <v>344</v>
      </c>
      <c r="DO69" s="694">
        <f t="shared" si="14"/>
        <v>0</v>
      </c>
      <c r="DP69" s="694">
        <f>DO69-Detailed[[#This Row],[Column66]]</f>
        <v>0</v>
      </c>
      <c r="DQ69" s="694">
        <v>18468720.278999999</v>
      </c>
      <c r="DR69" s="179"/>
      <c r="DS69" s="231">
        <f>DQ69-Detailed[[#This Row],[Column66]]</f>
        <v>18468720.278999999</v>
      </c>
      <c r="DT69" s="179"/>
      <c r="DU69" s="179"/>
      <c r="DV69" s="179"/>
      <c r="DW69" s="179"/>
      <c r="DX69" s="179"/>
      <c r="DY69" s="179"/>
      <c r="DZ69" s="179"/>
      <c r="EA69" s="179"/>
      <c r="EB69" s="179"/>
      <c r="EC69" s="179"/>
      <c r="ED69" s="179"/>
      <c r="EE69" s="179"/>
      <c r="EF69" s="179"/>
      <c r="EG69" s="179"/>
      <c r="EH69" s="179"/>
      <c r="EI69" s="179"/>
      <c r="EJ69" s="179"/>
      <c r="EK69" s="179"/>
      <c r="EL69" s="179"/>
      <c r="EM69" s="179"/>
      <c r="EN69" s="179"/>
      <c r="EO69" s="179"/>
      <c r="EP69" s="179"/>
      <c r="EQ69" s="179"/>
      <c r="ER69" s="179"/>
      <c r="ES69" s="179"/>
      <c r="ET69" s="179"/>
      <c r="EU69" s="179"/>
      <c r="EV69" s="179"/>
      <c r="EW69" s="179"/>
      <c r="EX69" s="179"/>
      <c r="EY69" s="179"/>
      <c r="EZ69" s="179"/>
      <c r="FA69" s="179"/>
      <c r="FB69" s="179"/>
      <c r="FC69" s="179"/>
      <c r="FD69" s="179"/>
      <c r="FE69" s="179"/>
      <c r="FF69" s="179"/>
      <c r="FG69" s="179"/>
      <c r="FH69" s="179"/>
      <c r="FI69" s="179"/>
      <c r="FJ69" s="179"/>
      <c r="FK69" s="179"/>
      <c r="FL69" s="179"/>
      <c r="FM69" s="179"/>
      <c r="FN69" s="179"/>
      <c r="FO69" s="179"/>
      <c r="FP69" s="179"/>
      <c r="FQ69" s="179"/>
      <c r="FR69" s="179"/>
      <c r="FS69" s="179"/>
      <c r="FT69" s="179"/>
      <c r="FU69" s="179"/>
      <c r="FV69" s="179"/>
      <c r="FW69" s="179"/>
      <c r="FX69" s="179"/>
      <c r="FY69" s="179"/>
      <c r="FZ69" s="179"/>
      <c r="GA69" s="179"/>
      <c r="GB69" s="179"/>
      <c r="GC69" s="179"/>
      <c r="GD69" s="179"/>
      <c r="GE69" s="179"/>
      <c r="GF69" s="179"/>
      <c r="GG69" s="179"/>
      <c r="GH69" s="179"/>
      <c r="GI69" s="179"/>
      <c r="GJ69" s="179"/>
      <c r="GK69" s="179"/>
      <c r="GL69" s="179"/>
      <c r="GM69" s="179"/>
      <c r="GN69" s="179"/>
      <c r="GO69" s="179"/>
      <c r="GP69" s="179"/>
      <c r="GQ69" s="179"/>
      <c r="GR69" s="179"/>
      <c r="GS69" s="179"/>
      <c r="GT69" s="179"/>
      <c r="GU69" s="179"/>
      <c r="GV69" s="179"/>
      <c r="GW69" s="179"/>
      <c r="GX69" s="179"/>
      <c r="GY69" s="179"/>
      <c r="GZ69" s="179"/>
      <c r="HA69" s="179"/>
      <c r="HB69" s="179"/>
      <c r="HC69" s="179"/>
      <c r="HD69" s="179"/>
      <c r="HE69" s="179"/>
      <c r="HF69" s="179"/>
      <c r="HG69" s="179"/>
      <c r="HH69" s="179"/>
      <c r="HI69" s="179"/>
      <c r="HJ69" s="179"/>
      <c r="HK69" s="179"/>
      <c r="HL69" s="179"/>
      <c r="HM69" s="179"/>
      <c r="HN69" s="179"/>
      <c r="HO69" s="179"/>
      <c r="HP69" s="179"/>
      <c r="HQ69" s="179"/>
      <c r="HR69" s="179"/>
      <c r="HS69" s="179"/>
      <c r="HT69" s="179"/>
      <c r="HU69" s="179"/>
      <c r="HV69" s="179"/>
      <c r="HW69" s="179"/>
      <c r="HX69" s="179"/>
      <c r="HY69" s="179"/>
      <c r="HZ69" s="179"/>
      <c r="IA69" s="179"/>
      <c r="IB69" s="179"/>
      <c r="IC69" s="179"/>
      <c r="ID69" s="179"/>
      <c r="IE69" s="179"/>
      <c r="IF69" s="179"/>
      <c r="IG69" s="179"/>
      <c r="IH69" s="179"/>
      <c r="II69" s="179"/>
      <c r="IJ69" s="179"/>
      <c r="IK69" s="179"/>
      <c r="IL69" s="179"/>
      <c r="IM69" s="179"/>
      <c r="IN69" s="179"/>
      <c r="IO69" s="179"/>
      <c r="IP69" s="179"/>
      <c r="IQ69" s="179"/>
      <c r="IR69" s="179"/>
      <c r="IS69" s="179"/>
      <c r="IT69" s="179"/>
      <c r="IU69" s="179"/>
      <c r="IV69" s="179"/>
      <c r="IW69" s="179"/>
      <c r="IX69" s="179"/>
      <c r="IY69" s="179"/>
      <c r="IZ69" s="179"/>
      <c r="JA69" s="179"/>
      <c r="JB69" s="179"/>
      <c r="JC69" s="179"/>
      <c r="JD69" s="179"/>
      <c r="JE69" s="179"/>
      <c r="JF69" s="179"/>
      <c r="JG69" s="179"/>
      <c r="JH69" s="179"/>
      <c r="JI69" s="179"/>
    </row>
    <row r="70" spans="1:269" ht="16.2" thickTop="1">
      <c r="A70" s="146" t="s">
        <v>122</v>
      </c>
      <c r="B70" s="57">
        <v>1</v>
      </c>
      <c r="C70" s="765" t="s">
        <v>123</v>
      </c>
      <c r="D70" s="176"/>
      <c r="E70" s="176"/>
      <c r="F70" s="177"/>
      <c r="G70" s="58"/>
      <c r="H70" s="59">
        <v>27837620</v>
      </c>
      <c r="I70" s="318">
        <v>45480</v>
      </c>
      <c r="J70" s="55">
        <f>ENGICON!F45</f>
        <v>2361050.1</v>
      </c>
      <c r="K70" s="202">
        <f>J70*15%</f>
        <v>354157.51500000001</v>
      </c>
      <c r="L70" s="67">
        <f>J70+K70</f>
        <v>2715207.6150000002</v>
      </c>
      <c r="M70" s="318">
        <v>45511</v>
      </c>
      <c r="N70" s="55">
        <f>ENGICON!H45</f>
        <v>3157746.6510000001</v>
      </c>
      <c r="O70" s="202">
        <f>N70*15%</f>
        <v>473661.99764999998</v>
      </c>
      <c r="P70" s="47">
        <f>N70+O70</f>
        <v>3631408.6486499999</v>
      </c>
      <c r="Q70" s="318">
        <v>45535</v>
      </c>
      <c r="R70" s="55">
        <f>ENGICON!J45</f>
        <v>3983985.909</v>
      </c>
      <c r="S70" s="55">
        <f>R70*15%</f>
        <v>597597.88634999993</v>
      </c>
      <c r="T70" s="47">
        <f>R70+S70</f>
        <v>4581583.7953500003</v>
      </c>
      <c r="U70" s="318">
        <v>45567</v>
      </c>
      <c r="V70" s="55">
        <f>ENGICON!L45</f>
        <v>3449998.2960000001</v>
      </c>
      <c r="W70" s="55">
        <f>V70*15%</f>
        <v>517499.74439999997</v>
      </c>
      <c r="X70" s="47">
        <f>V70+W70</f>
        <v>3967498.0404000003</v>
      </c>
      <c r="Y70" s="318">
        <v>45636</v>
      </c>
      <c r="Z70" s="63">
        <f>ENGICON!N45</f>
        <v>1820099.709</v>
      </c>
      <c r="AA70" s="55">
        <f>Z70*15%</f>
        <v>273014.95634999999</v>
      </c>
      <c r="AB70" s="47">
        <f>Z70+AA70</f>
        <v>2093114.6653499999</v>
      </c>
      <c r="AC70" s="318">
        <v>45685</v>
      </c>
      <c r="AD70" s="63">
        <f>ENGICON!P45</f>
        <v>999999.99900000007</v>
      </c>
      <c r="AE70" s="55">
        <f>AD70*15%</f>
        <v>149999.99984999999</v>
      </c>
      <c r="AF70" s="47">
        <f>AD70+AE70</f>
        <v>1149999.9988500001</v>
      </c>
      <c r="AG70" s="318">
        <v>45720</v>
      </c>
      <c r="AH70" s="63">
        <f>ENGICON!R45</f>
        <v>2695839.6150000002</v>
      </c>
      <c r="AI70" s="55">
        <f>AH70*15%</f>
        <v>404375.94225000002</v>
      </c>
      <c r="AJ70" s="47">
        <f>AH70+AI70</f>
        <v>3100215.5572500001</v>
      </c>
      <c r="AK70" s="64">
        <v>45767</v>
      </c>
      <c r="AL70" s="63">
        <f>ENGICON!T45</f>
        <v>2223402.8760000002</v>
      </c>
      <c r="AM70" s="202">
        <f>AL70*15%</f>
        <v>333510.4314</v>
      </c>
      <c r="AN70" s="47">
        <f>AL70+AM70</f>
        <v>2556913.3074000003</v>
      </c>
      <c r="AO70" s="64">
        <v>45789</v>
      </c>
      <c r="AP70" s="307">
        <v>1742432.4</v>
      </c>
      <c r="AQ70" s="202">
        <f>AP70*15%</f>
        <v>261364.86</v>
      </c>
      <c r="AR70" s="47">
        <f>AP70+AQ70</f>
        <v>2003797.2599999998</v>
      </c>
      <c r="AS70" s="64">
        <v>45809</v>
      </c>
      <c r="AT70" s="307">
        <v>2619302.44</v>
      </c>
      <c r="AU70" s="202">
        <f>AT70*15%</f>
        <v>392895.36599999998</v>
      </c>
      <c r="AV70" s="47">
        <f>AT70+AU70</f>
        <v>3012197.8059999999</v>
      </c>
      <c r="AW70" s="306"/>
      <c r="AX70" s="307"/>
      <c r="AY70" s="307"/>
      <c r="AZ70" s="308"/>
      <c r="BA70" s="306"/>
      <c r="BB70" s="307"/>
      <c r="BC70" s="307"/>
      <c r="BD70" s="308"/>
      <c r="BE70" s="306"/>
      <c r="BF70" s="307"/>
      <c r="BG70" s="307"/>
      <c r="BH70" s="308"/>
      <c r="BI70" s="306"/>
      <c r="BJ70" s="307"/>
      <c r="BK70" s="307"/>
      <c r="BL70" s="309"/>
      <c r="BM70" s="306"/>
      <c r="BN70" s="307"/>
      <c r="BO70" s="307"/>
      <c r="BP70" s="308"/>
      <c r="BQ70" s="304"/>
      <c r="BR70" s="337"/>
      <c r="BS70" s="337"/>
      <c r="BT70" s="209"/>
      <c r="BU70" s="435"/>
      <c r="BV70" s="200"/>
      <c r="BW70" s="55"/>
      <c r="BX70" s="207"/>
      <c r="BY70" s="304"/>
      <c r="BZ70" s="337"/>
      <c r="CA70" s="337"/>
      <c r="CB70" s="209"/>
      <c r="CC70" s="247"/>
      <c r="CD70" s="351"/>
      <c r="CE70" s="351"/>
      <c r="CF70" s="245"/>
      <c r="CG70" s="356"/>
      <c r="CH70" s="351"/>
      <c r="CI70" s="356"/>
      <c r="CJ70" s="246"/>
      <c r="CK70" s="356"/>
      <c r="CL70" s="351"/>
      <c r="CM70" s="356"/>
      <c r="CN70" s="246"/>
      <c r="CO70" s="246"/>
      <c r="CP70" s="246"/>
      <c r="CQ70" s="246"/>
      <c r="CR70" s="246"/>
      <c r="CS70" s="246"/>
      <c r="CT70" s="246"/>
      <c r="CU70" s="246"/>
      <c r="CV70" s="246"/>
      <c r="CW70" s="246"/>
      <c r="CX70" s="246"/>
      <c r="CY70" s="246"/>
      <c r="CZ70" s="246"/>
      <c r="DA70" s="246"/>
      <c r="DB70" s="246"/>
      <c r="DC70" s="126"/>
      <c r="DD70" s="126"/>
      <c r="DE70" s="1032"/>
      <c r="DF70" s="1082">
        <f>H70</f>
        <v>27837620</v>
      </c>
      <c r="DG70" s="126">
        <f>DF70*15%</f>
        <v>4175643</v>
      </c>
      <c r="DH70" s="126">
        <f>DF70+DG70</f>
        <v>32013263</v>
      </c>
      <c r="DI70" s="1059">
        <f>SUMPRODUCT((MOD(COLUMN(I70:DD70)-COLUMN(I70),4)=1)*I70:DD70)</f>
        <v>25053857.995000001</v>
      </c>
      <c r="DJ70" s="1059">
        <f>SUMPRODUCT((MOD(COLUMN(I70:DD70)-COLUMN(J70),4)=2)*I70:DD70)</f>
        <v>28811936.694250003</v>
      </c>
      <c r="DK70" s="153">
        <v>1</v>
      </c>
      <c r="DL70" s="154">
        <f>DK70*DF70</f>
        <v>27837620</v>
      </c>
      <c r="DM70" s="1083"/>
      <c r="DN70" s="178"/>
      <c r="DO70" s="694">
        <f t="shared" si="14"/>
        <v>25053857.995000001</v>
      </c>
      <c r="DP70" s="694">
        <f>DO70-Detailed[[#This Row],[Column66]]</f>
        <v>0</v>
      </c>
      <c r="DQ70" s="694"/>
      <c r="DR70" s="179"/>
      <c r="DS70" s="231">
        <f>DQ70-Detailed[[#This Row],[Column66]]</f>
        <v>-25053857.995000001</v>
      </c>
      <c r="DT70" s="179"/>
      <c r="DU70" s="179"/>
      <c r="DV70" s="179"/>
      <c r="DW70" s="179"/>
      <c r="DX70" s="179"/>
      <c r="DY70" s="179"/>
      <c r="DZ70" s="179"/>
      <c r="EA70" s="179"/>
      <c r="EB70" s="179"/>
      <c r="EC70" s="179"/>
      <c r="ED70" s="179"/>
      <c r="EE70" s="179"/>
      <c r="EF70" s="179"/>
      <c r="EG70" s="179"/>
      <c r="EH70" s="179"/>
      <c r="EI70" s="179"/>
      <c r="EJ70" s="179"/>
      <c r="EK70" s="179"/>
      <c r="EL70" s="179"/>
      <c r="EM70" s="179"/>
      <c r="EN70" s="179"/>
      <c r="EO70" s="179"/>
      <c r="EP70" s="179"/>
      <c r="EQ70" s="179"/>
      <c r="ER70" s="179"/>
      <c r="ES70" s="179"/>
      <c r="ET70" s="179"/>
      <c r="EU70" s="179"/>
      <c r="EV70" s="179"/>
      <c r="EW70" s="179"/>
      <c r="EX70" s="179"/>
      <c r="EY70" s="179"/>
      <c r="EZ70" s="179"/>
      <c r="FA70" s="179"/>
      <c r="FB70" s="179"/>
      <c r="FC70" s="179"/>
      <c r="FD70" s="179"/>
      <c r="FE70" s="179"/>
      <c r="FF70" s="179"/>
      <c r="FG70" s="179"/>
      <c r="FH70" s="179"/>
      <c r="FI70" s="179"/>
      <c r="FJ70" s="179"/>
      <c r="FK70" s="179"/>
      <c r="FL70" s="179"/>
      <c r="FM70" s="179"/>
      <c r="FN70" s="179"/>
      <c r="FO70" s="179"/>
      <c r="FP70" s="179"/>
      <c r="FQ70" s="179"/>
      <c r="FR70" s="179"/>
      <c r="FS70" s="179"/>
      <c r="FT70" s="179"/>
      <c r="FU70" s="179"/>
      <c r="FV70" s="179"/>
      <c r="FW70" s="179"/>
      <c r="FX70" s="179"/>
      <c r="FY70" s="179"/>
      <c r="FZ70" s="179"/>
      <c r="GA70" s="179"/>
      <c r="GB70" s="179"/>
      <c r="GC70" s="179"/>
      <c r="GD70" s="179"/>
      <c r="GE70" s="179"/>
      <c r="GF70" s="179"/>
      <c r="GG70" s="179"/>
      <c r="GH70" s="179"/>
      <c r="GI70" s="179"/>
      <c r="GJ70" s="179"/>
      <c r="GK70" s="179"/>
      <c r="GL70" s="179"/>
      <c r="GM70" s="179"/>
      <c r="GN70" s="179"/>
      <c r="GO70" s="179"/>
      <c r="GP70" s="179"/>
      <c r="GQ70" s="179"/>
      <c r="GR70" s="179"/>
      <c r="GS70" s="179"/>
      <c r="GT70" s="179"/>
      <c r="GU70" s="179"/>
      <c r="GV70" s="179"/>
      <c r="GW70" s="179"/>
      <c r="GX70" s="179"/>
      <c r="GY70" s="179"/>
      <c r="GZ70" s="179"/>
      <c r="HA70" s="179"/>
      <c r="HB70" s="179"/>
      <c r="HC70" s="179"/>
      <c r="HD70" s="179"/>
      <c r="HE70" s="179"/>
      <c r="HF70" s="179"/>
      <c r="HG70" s="179"/>
      <c r="HH70" s="179"/>
      <c r="HI70" s="179"/>
      <c r="HJ70" s="179"/>
      <c r="HK70" s="179"/>
      <c r="HL70" s="179"/>
      <c r="HM70" s="179"/>
      <c r="HN70" s="179"/>
      <c r="HO70" s="179"/>
      <c r="HP70" s="179"/>
      <c r="HQ70" s="179"/>
      <c r="HR70" s="179"/>
      <c r="HS70" s="179"/>
      <c r="HT70" s="179"/>
      <c r="HU70" s="179"/>
      <c r="HV70" s="179"/>
      <c r="HW70" s="179"/>
      <c r="HX70" s="179"/>
      <c r="HY70" s="179"/>
      <c r="HZ70" s="179"/>
      <c r="IA70" s="179"/>
      <c r="IB70" s="179"/>
      <c r="IC70" s="179"/>
      <c r="ID70" s="179"/>
      <c r="IE70" s="179"/>
      <c r="IF70" s="179"/>
      <c r="IG70" s="179"/>
      <c r="IH70" s="179"/>
      <c r="II70" s="179"/>
      <c r="IJ70" s="179"/>
      <c r="IK70" s="179"/>
      <c r="IL70" s="179"/>
      <c r="IM70" s="179"/>
      <c r="IN70" s="179"/>
      <c r="IO70" s="179"/>
      <c r="IP70" s="179"/>
      <c r="IQ70" s="179"/>
      <c r="IR70" s="179"/>
      <c r="IS70" s="179"/>
      <c r="IT70" s="179"/>
      <c r="IU70" s="179"/>
      <c r="IV70" s="179"/>
      <c r="IW70" s="179"/>
      <c r="IX70" s="179"/>
      <c r="IY70" s="179"/>
      <c r="IZ70" s="179"/>
      <c r="JA70" s="179"/>
      <c r="JB70" s="179"/>
      <c r="JC70" s="179"/>
      <c r="JD70" s="179"/>
      <c r="JE70" s="179"/>
      <c r="JF70" s="179"/>
      <c r="JG70" s="179"/>
      <c r="JH70" s="179"/>
      <c r="JI70" s="179"/>
    </row>
    <row r="71" spans="1:269" ht="16.2" thickBot="1">
      <c r="A71" s="146" t="s">
        <v>122</v>
      </c>
      <c r="B71" s="57"/>
      <c r="C71" s="140"/>
      <c r="D71" s="141"/>
      <c r="E71" s="141"/>
      <c r="F71" s="142"/>
      <c r="G71" s="58"/>
      <c r="H71" s="59"/>
      <c r="I71" s="318"/>
      <c r="J71" s="55"/>
      <c r="K71" s="202"/>
      <c r="L71" s="67"/>
      <c r="M71" s="318"/>
      <c r="N71" s="55"/>
      <c r="O71" s="202"/>
      <c r="P71" s="47"/>
      <c r="Q71" s="318"/>
      <c r="R71" s="55"/>
      <c r="S71" s="55"/>
      <c r="T71" s="47"/>
      <c r="U71" s="318"/>
      <c r="V71" s="55"/>
      <c r="W71" s="55"/>
      <c r="X71" s="47"/>
      <c r="Y71" s="54"/>
      <c r="Z71" s="63"/>
      <c r="AA71" s="63"/>
      <c r="AB71" s="56"/>
      <c r="AC71" s="54"/>
      <c r="AD71" s="63"/>
      <c r="AE71" s="63"/>
      <c r="AF71" s="56"/>
      <c r="AG71" s="54"/>
      <c r="AH71" s="55"/>
      <c r="AI71" s="55"/>
      <c r="AJ71" s="56"/>
      <c r="AK71" s="64"/>
      <c r="AL71" s="65"/>
      <c r="AM71" s="65"/>
      <c r="AN71" s="305"/>
      <c r="AO71" s="306"/>
      <c r="AP71" s="307"/>
      <c r="AQ71" s="307"/>
      <c r="AR71" s="308"/>
      <c r="AS71" s="306"/>
      <c r="AT71" s="307"/>
      <c r="AU71" s="307"/>
      <c r="AV71" s="308"/>
      <c r="AW71" s="306"/>
      <c r="AX71" s="307"/>
      <c r="AY71" s="307"/>
      <c r="AZ71" s="308"/>
      <c r="BA71" s="306"/>
      <c r="BB71" s="307"/>
      <c r="BC71" s="307"/>
      <c r="BD71" s="308"/>
      <c r="BE71" s="306"/>
      <c r="BF71" s="307"/>
      <c r="BG71" s="307"/>
      <c r="BH71" s="308"/>
      <c r="BI71" s="306"/>
      <c r="BJ71" s="307"/>
      <c r="BK71" s="307"/>
      <c r="BL71" s="309"/>
      <c r="BM71" s="306"/>
      <c r="BN71" s="307"/>
      <c r="BO71" s="307"/>
      <c r="BP71" s="308"/>
      <c r="BQ71" s="304"/>
      <c r="BR71" s="337"/>
      <c r="BS71" s="337"/>
      <c r="BT71" s="327"/>
      <c r="BU71" s="344"/>
      <c r="BV71" s="329"/>
      <c r="BW71" s="336"/>
      <c r="BX71" s="365"/>
      <c r="BY71" s="304"/>
      <c r="BZ71" s="337"/>
      <c r="CA71" s="337"/>
      <c r="CB71" s="327"/>
      <c r="CC71" s="328"/>
      <c r="CD71" s="352"/>
      <c r="CE71" s="352"/>
      <c r="CF71" s="361"/>
      <c r="CG71" s="357"/>
      <c r="CH71" s="352"/>
      <c r="CI71" s="357"/>
      <c r="CJ71" s="311"/>
      <c r="CK71" s="357"/>
      <c r="CL71" s="352"/>
      <c r="CM71" s="357"/>
      <c r="CN71" s="311"/>
      <c r="CO71" s="311"/>
      <c r="CP71" s="311"/>
      <c r="CQ71" s="311"/>
      <c r="CR71" s="311"/>
      <c r="CS71" s="311"/>
      <c r="CT71" s="311"/>
      <c r="CU71" s="311"/>
      <c r="CV71" s="311"/>
      <c r="CW71" s="311"/>
      <c r="CX71" s="311"/>
      <c r="CY71" s="311"/>
      <c r="CZ71" s="311"/>
      <c r="DA71" s="311"/>
      <c r="DB71" s="311"/>
      <c r="DC71" s="311"/>
      <c r="DD71" s="311"/>
      <c r="DE71" s="1032"/>
      <c r="DF71" s="1088"/>
      <c r="DG71" s="152"/>
      <c r="DH71" s="152"/>
      <c r="DI71" s="391">
        <f t="shared" si="15"/>
        <v>0</v>
      </c>
      <c r="DJ71" s="152"/>
      <c r="DK71" s="212"/>
      <c r="DL71" s="213"/>
      <c r="DM71" s="1089"/>
      <c r="DN71" s="178"/>
      <c r="DO71" s="694">
        <f t="shared" si="14"/>
        <v>0</v>
      </c>
      <c r="DP71" s="694">
        <f>DO71-Detailed[[#This Row],[Column66]]</f>
        <v>0</v>
      </c>
      <c r="DQ71" s="694">
        <v>18468720.278999999</v>
      </c>
      <c r="DR71" s="179"/>
      <c r="DS71" s="231">
        <f>DQ71-Detailed[[#This Row],[Column66]]</f>
        <v>18468720.278999999</v>
      </c>
      <c r="DT71" s="179"/>
      <c r="DU71" s="179"/>
      <c r="DV71" s="179"/>
      <c r="DW71" s="179"/>
      <c r="DX71" s="179"/>
      <c r="DY71" s="179"/>
      <c r="DZ71" s="179"/>
      <c r="EA71" s="179"/>
      <c r="EB71" s="179"/>
      <c r="EC71" s="179"/>
      <c r="ED71" s="179"/>
      <c r="EE71" s="179"/>
      <c r="EF71" s="179"/>
      <c r="EG71" s="179"/>
      <c r="EH71" s="179"/>
      <c r="EI71" s="179"/>
      <c r="EJ71" s="179"/>
      <c r="EK71" s="179"/>
      <c r="EL71" s="179"/>
      <c r="EM71" s="179"/>
      <c r="EN71" s="179"/>
      <c r="EO71" s="179"/>
      <c r="EP71" s="179"/>
      <c r="EQ71" s="179"/>
      <c r="ER71" s="179"/>
      <c r="ES71" s="179"/>
      <c r="ET71" s="179"/>
      <c r="EU71" s="179"/>
      <c r="EV71" s="179"/>
      <c r="EW71" s="179"/>
      <c r="EX71" s="179"/>
      <c r="EY71" s="179"/>
      <c r="EZ71" s="179"/>
      <c r="FA71" s="179"/>
      <c r="FB71" s="179"/>
      <c r="FC71" s="179"/>
      <c r="FD71" s="179"/>
      <c r="FE71" s="179"/>
      <c r="FF71" s="179"/>
      <c r="FG71" s="179"/>
      <c r="FH71" s="179"/>
      <c r="FI71" s="179"/>
      <c r="FJ71" s="179"/>
      <c r="FK71" s="179"/>
      <c r="FL71" s="179"/>
      <c r="FM71" s="179"/>
      <c r="FN71" s="179"/>
      <c r="FO71" s="179"/>
      <c r="FP71" s="179"/>
      <c r="FQ71" s="179"/>
      <c r="FR71" s="179"/>
      <c r="FS71" s="179"/>
      <c r="FT71" s="179"/>
      <c r="FU71" s="179"/>
      <c r="FV71" s="179"/>
      <c r="FW71" s="179"/>
      <c r="FX71" s="179"/>
      <c r="FY71" s="179"/>
      <c r="FZ71" s="179"/>
      <c r="GA71" s="179"/>
      <c r="GB71" s="179"/>
      <c r="GC71" s="179"/>
      <c r="GD71" s="179"/>
      <c r="GE71" s="179"/>
      <c r="GF71" s="179"/>
      <c r="GG71" s="179"/>
      <c r="GH71" s="179"/>
      <c r="GI71" s="179"/>
      <c r="GJ71" s="179"/>
      <c r="GK71" s="179"/>
      <c r="GL71" s="179"/>
      <c r="GM71" s="179"/>
      <c r="GN71" s="179"/>
      <c r="GO71" s="179"/>
      <c r="GP71" s="179"/>
      <c r="GQ71" s="179"/>
      <c r="GR71" s="179"/>
      <c r="GS71" s="179"/>
      <c r="GT71" s="179"/>
      <c r="GU71" s="179"/>
      <c r="GV71" s="179"/>
      <c r="GW71" s="179"/>
      <c r="GX71" s="179"/>
      <c r="GY71" s="179"/>
      <c r="GZ71" s="179"/>
      <c r="HA71" s="179"/>
      <c r="HB71" s="179"/>
      <c r="HC71" s="179"/>
      <c r="HD71" s="179"/>
      <c r="HE71" s="179"/>
      <c r="HF71" s="179"/>
      <c r="HG71" s="179"/>
      <c r="HH71" s="179"/>
      <c r="HI71" s="179"/>
      <c r="HJ71" s="179"/>
      <c r="HK71" s="179"/>
      <c r="HL71" s="179"/>
      <c r="HM71" s="179"/>
      <c r="HN71" s="179"/>
      <c r="HO71" s="179"/>
      <c r="HP71" s="179"/>
      <c r="HQ71" s="179"/>
      <c r="HR71" s="179"/>
      <c r="HS71" s="179"/>
      <c r="HT71" s="179"/>
      <c r="HU71" s="179"/>
      <c r="HV71" s="179"/>
      <c r="HW71" s="179"/>
      <c r="HX71" s="179"/>
      <c r="HY71" s="179"/>
      <c r="HZ71" s="179"/>
      <c r="IA71" s="179"/>
      <c r="IB71" s="179"/>
      <c r="IC71" s="179"/>
      <c r="ID71" s="179"/>
      <c r="IE71" s="179"/>
      <c r="IF71" s="179"/>
      <c r="IG71" s="179"/>
      <c r="IH71" s="179"/>
      <c r="II71" s="179"/>
      <c r="IJ71" s="179"/>
      <c r="IK71" s="179"/>
      <c r="IL71" s="179"/>
      <c r="IM71" s="179"/>
      <c r="IN71" s="179"/>
      <c r="IO71" s="179"/>
      <c r="IP71" s="179"/>
      <c r="IQ71" s="179"/>
      <c r="IR71" s="179"/>
      <c r="IS71" s="179"/>
      <c r="IT71" s="179"/>
      <c r="IU71" s="179"/>
      <c r="IV71" s="179"/>
      <c r="IW71" s="179"/>
      <c r="IX71" s="179"/>
      <c r="IY71" s="179"/>
      <c r="IZ71" s="179"/>
      <c r="JA71" s="179"/>
      <c r="JB71" s="179"/>
      <c r="JC71" s="179"/>
      <c r="JD71" s="179"/>
      <c r="JE71" s="179"/>
      <c r="JF71" s="179"/>
      <c r="JG71" s="179"/>
      <c r="JH71" s="179"/>
      <c r="JI71" s="179"/>
    </row>
    <row r="72" spans="1:269" ht="16.2" thickBot="1">
      <c r="A72" s="146" t="s">
        <v>122</v>
      </c>
      <c r="B72" s="85"/>
      <c r="C72" s="766"/>
      <c r="D72" s="767"/>
      <c r="E72" s="767"/>
      <c r="F72" s="187"/>
      <c r="G72" s="449"/>
      <c r="H72" s="87"/>
      <c r="I72" s="319"/>
      <c r="J72" s="345">
        <f>SUM(J69:J71)</f>
        <v>2361050.1</v>
      </c>
      <c r="K72" s="203"/>
      <c r="L72" s="320">
        <f>SUM(L69:L71)</f>
        <v>2715207.6150000002</v>
      </c>
      <c r="M72" s="319"/>
      <c r="N72" s="345">
        <f>SUM(N69:N71)</f>
        <v>3157746.6510000001</v>
      </c>
      <c r="O72" s="203"/>
      <c r="P72" s="320">
        <f>SUM(P69:P71)</f>
        <v>3631408.6486499999</v>
      </c>
      <c r="Q72" s="319"/>
      <c r="R72" s="345">
        <f>SUM(R69:R71)</f>
        <v>3983985.909</v>
      </c>
      <c r="S72" s="203"/>
      <c r="T72" s="320">
        <f>SUM(T69:T71)</f>
        <v>4581583.7953500003</v>
      </c>
      <c r="U72" s="319"/>
      <c r="V72" s="345">
        <f>SUM(V69:V71)</f>
        <v>3449998.2960000001</v>
      </c>
      <c r="W72" s="203"/>
      <c r="X72" s="320">
        <f>SUM(X69:X71)</f>
        <v>3967498.0404000003</v>
      </c>
      <c r="Y72" s="91"/>
      <c r="Z72" s="345">
        <f>SUM(Z69:Z71)</f>
        <v>1820099.709</v>
      </c>
      <c r="AA72" s="203"/>
      <c r="AB72" s="320">
        <f>SUM(AB69:AB71)</f>
        <v>2093114.6653499999</v>
      </c>
      <c r="AC72" s="54"/>
      <c r="AD72" s="345">
        <f>SUM(AD69:AD71)</f>
        <v>999999.99900000007</v>
      </c>
      <c r="AE72" s="203"/>
      <c r="AF72" s="320">
        <f>SUM(AF69:AF71)</f>
        <v>1149999.9988500001</v>
      </c>
      <c r="AG72" s="91"/>
      <c r="AH72" s="345">
        <f>SUM(AH69:AH71)</f>
        <v>2695839.6150000002</v>
      </c>
      <c r="AI72" s="203"/>
      <c r="AJ72" s="320">
        <f>SUM(AJ69:AJ71)</f>
        <v>3100215.5572500001</v>
      </c>
      <c r="AK72" s="88"/>
      <c r="AL72" s="345">
        <f>SUM(AL69:AL71)</f>
        <v>2223402.8760000002</v>
      </c>
      <c r="AM72" s="203"/>
      <c r="AN72" s="320">
        <f>SUM(AN69:AN71)</f>
        <v>2556913.3074000003</v>
      </c>
      <c r="AO72" s="313"/>
      <c r="AP72" s="345">
        <f>SUM(AP69:AP71)</f>
        <v>1742432.4</v>
      </c>
      <c r="AQ72" s="203"/>
      <c r="AR72" s="320">
        <f>SUM(AR69:AR71)</f>
        <v>2003797.2599999998</v>
      </c>
      <c r="AS72" s="313"/>
      <c r="AT72" s="345">
        <f>SUM(AT69:AT71)</f>
        <v>2619302.44</v>
      </c>
      <c r="AU72" s="203"/>
      <c r="AV72" s="320">
        <f>SUM(AV69:AV71)</f>
        <v>3012197.8059999999</v>
      </c>
      <c r="AW72" s="313"/>
      <c r="AX72" s="314"/>
      <c r="AY72" s="314"/>
      <c r="AZ72" s="315"/>
      <c r="BA72" s="313"/>
      <c r="BB72" s="314"/>
      <c r="BC72" s="314"/>
      <c r="BD72" s="315"/>
      <c r="BE72" s="313"/>
      <c r="BF72" s="314"/>
      <c r="BG72" s="314"/>
      <c r="BH72" s="315"/>
      <c r="BI72" s="313"/>
      <c r="BJ72" s="314"/>
      <c r="BK72" s="314"/>
      <c r="BL72" s="316"/>
      <c r="BM72" s="313"/>
      <c r="BN72" s="314"/>
      <c r="BO72" s="314"/>
      <c r="BP72" s="315"/>
      <c r="BQ72" s="317"/>
      <c r="BR72" s="347"/>
      <c r="BS72" s="347"/>
      <c r="BT72" s="211"/>
      <c r="BU72" s="342" t="s">
        <v>130</v>
      </c>
      <c r="BV72" s="338"/>
      <c r="BW72" s="93"/>
      <c r="BX72" s="364"/>
      <c r="BY72" s="317"/>
      <c r="BZ72" s="347"/>
      <c r="CA72" s="347"/>
      <c r="CB72" s="211"/>
      <c r="CC72" s="249"/>
      <c r="CD72" s="353"/>
      <c r="CE72" s="353"/>
      <c r="CF72" s="360"/>
      <c r="CG72" s="358"/>
      <c r="CH72" s="353"/>
      <c r="CI72" s="358"/>
      <c r="CJ72" s="248"/>
      <c r="CK72" s="358"/>
      <c r="CL72" s="353"/>
      <c r="CM72" s="358"/>
      <c r="CN72" s="248"/>
      <c r="CO72" s="249"/>
      <c r="CP72" s="249"/>
      <c r="CQ72" s="249"/>
      <c r="CR72" s="249"/>
      <c r="CS72" s="249"/>
      <c r="CT72" s="249"/>
      <c r="CU72" s="249"/>
      <c r="CV72" s="249"/>
      <c r="CW72" s="249"/>
      <c r="CX72" s="249"/>
      <c r="CY72" s="249"/>
      <c r="CZ72" s="249"/>
      <c r="DA72" s="249"/>
      <c r="DB72" s="249"/>
      <c r="DC72" s="249"/>
      <c r="DD72" s="249"/>
      <c r="DE72" s="334"/>
      <c r="DF72" s="1074">
        <f>SUM(DF69:DF71)</f>
        <v>27837620</v>
      </c>
      <c r="DG72" s="393">
        <f>SUM(DG69:DG70)</f>
        <v>4175643</v>
      </c>
      <c r="DH72" s="393">
        <f>SUM(DH69:DH70)</f>
        <v>32013263</v>
      </c>
      <c r="DI72" s="393">
        <f t="shared" si="15"/>
        <v>25053857.995000001</v>
      </c>
      <c r="DJ72" s="393">
        <f>SUM(DJ69:DJ70)</f>
        <v>28811936.694250003</v>
      </c>
      <c r="DK72" s="394"/>
      <c r="DL72" s="393">
        <f>SUM(DL69:DL70)</f>
        <v>27837620</v>
      </c>
      <c r="DM72" s="1075"/>
      <c r="DN72" s="178"/>
      <c r="DO72" s="694" t="e">
        <f t="shared" si="14"/>
        <v>#VALUE!</v>
      </c>
      <c r="DP72" s="694"/>
      <c r="DQ72" s="694"/>
      <c r="DR72" s="179"/>
      <c r="DS72" s="231">
        <f>DQ72-Detailed[[#This Row],[Column66]]</f>
        <v>-25053857.995000001</v>
      </c>
      <c r="DT72" s="179"/>
      <c r="DU72" s="179"/>
      <c r="DV72" s="179"/>
      <c r="DW72" s="179"/>
      <c r="DX72" s="179"/>
      <c r="DY72" s="179"/>
      <c r="DZ72" s="179"/>
      <c r="EA72" s="179"/>
      <c r="EB72" s="179"/>
      <c r="EC72" s="179"/>
      <c r="ED72" s="179"/>
      <c r="EE72" s="179"/>
      <c r="EF72" s="179"/>
      <c r="EG72" s="179"/>
      <c r="EH72" s="179"/>
      <c r="EI72" s="179"/>
      <c r="EJ72" s="179"/>
      <c r="EK72" s="179"/>
      <c r="EL72" s="179"/>
      <c r="EM72" s="179"/>
      <c r="EN72" s="179"/>
      <c r="EO72" s="179"/>
      <c r="EP72" s="179"/>
      <c r="EQ72" s="179"/>
      <c r="ER72" s="179"/>
      <c r="ES72" s="179"/>
      <c r="ET72" s="179"/>
      <c r="EU72" s="179"/>
      <c r="EV72" s="179"/>
      <c r="EW72" s="179"/>
      <c r="EX72" s="179"/>
      <c r="EY72" s="179"/>
      <c r="EZ72" s="179"/>
      <c r="FA72" s="179"/>
      <c r="FB72" s="179"/>
      <c r="FC72" s="179"/>
      <c r="FD72" s="179"/>
      <c r="FE72" s="179"/>
      <c r="FF72" s="179"/>
      <c r="FG72" s="179"/>
      <c r="FH72" s="179"/>
      <c r="FI72" s="179"/>
      <c r="FJ72" s="179"/>
      <c r="FK72" s="179"/>
      <c r="FL72" s="179"/>
      <c r="FM72" s="179"/>
      <c r="FN72" s="179"/>
      <c r="FO72" s="179"/>
      <c r="FP72" s="179"/>
      <c r="FQ72" s="179"/>
      <c r="FR72" s="179"/>
      <c r="FS72" s="179"/>
      <c r="FT72" s="179"/>
      <c r="FU72" s="179"/>
      <c r="FV72" s="179"/>
      <c r="FW72" s="179"/>
      <c r="FX72" s="179"/>
      <c r="FY72" s="179"/>
      <c r="FZ72" s="179"/>
      <c r="GA72" s="179"/>
      <c r="GB72" s="179"/>
      <c r="GC72" s="179"/>
      <c r="GD72" s="179"/>
      <c r="GE72" s="179"/>
      <c r="GF72" s="179"/>
      <c r="GG72" s="179"/>
      <c r="GH72" s="179"/>
      <c r="GI72" s="179"/>
      <c r="GJ72" s="179"/>
      <c r="GK72" s="179"/>
      <c r="GL72" s="179"/>
      <c r="GM72" s="179"/>
      <c r="GN72" s="179"/>
      <c r="GO72" s="179"/>
      <c r="GP72" s="179"/>
      <c r="GQ72" s="179"/>
      <c r="GR72" s="179"/>
      <c r="GS72" s="179"/>
      <c r="GT72" s="179"/>
      <c r="GU72" s="179"/>
      <c r="GV72" s="179"/>
      <c r="GW72" s="179"/>
      <c r="GX72" s="179"/>
      <c r="GY72" s="179"/>
      <c r="GZ72" s="179"/>
      <c r="HA72" s="179"/>
      <c r="HB72" s="179"/>
      <c r="HC72" s="179"/>
      <c r="HD72" s="179"/>
      <c r="HE72" s="179"/>
      <c r="HF72" s="179"/>
      <c r="HG72" s="179"/>
      <c r="HH72" s="179"/>
      <c r="HI72" s="179"/>
      <c r="HJ72" s="179"/>
      <c r="HK72" s="179"/>
      <c r="HL72" s="179"/>
      <c r="HM72" s="179"/>
      <c r="HN72" s="179"/>
      <c r="HO72" s="179"/>
      <c r="HP72" s="179"/>
      <c r="HQ72" s="179"/>
      <c r="HR72" s="179"/>
      <c r="HS72" s="179"/>
      <c r="HT72" s="179"/>
      <c r="HU72" s="179"/>
      <c r="HV72" s="179"/>
      <c r="HW72" s="179"/>
      <c r="HX72" s="179"/>
      <c r="HY72" s="179"/>
      <c r="HZ72" s="179"/>
      <c r="IA72" s="179"/>
      <c r="IB72" s="179"/>
      <c r="IC72" s="179"/>
      <c r="ID72" s="179"/>
      <c r="IE72" s="179"/>
      <c r="IF72" s="179"/>
      <c r="IG72" s="179"/>
      <c r="IH72" s="179"/>
      <c r="II72" s="179"/>
      <c r="IJ72" s="179"/>
      <c r="IK72" s="179"/>
      <c r="IL72" s="179"/>
      <c r="IM72" s="179"/>
      <c r="IN72" s="179"/>
      <c r="IO72" s="179"/>
      <c r="IP72" s="179"/>
      <c r="IQ72" s="179"/>
      <c r="IR72" s="179"/>
      <c r="IS72" s="179"/>
      <c r="IT72" s="179"/>
      <c r="IU72" s="179"/>
      <c r="IV72" s="179"/>
      <c r="IW72" s="179"/>
      <c r="IX72" s="179"/>
      <c r="IY72" s="179"/>
      <c r="IZ72" s="179"/>
      <c r="JA72" s="179"/>
      <c r="JB72" s="179"/>
      <c r="JC72" s="179"/>
      <c r="JD72" s="179"/>
      <c r="JE72" s="179"/>
      <c r="JF72" s="179"/>
      <c r="JG72" s="179"/>
      <c r="JH72" s="179"/>
      <c r="JI72" s="179"/>
    </row>
    <row r="73" spans="1:269" ht="16.8" thickTop="1" thickBot="1">
      <c r="A73" s="145" t="s">
        <v>234</v>
      </c>
      <c r="B73" s="38"/>
      <c r="C73" s="768"/>
      <c r="D73" s="180"/>
      <c r="E73" s="180"/>
      <c r="F73" s="180"/>
      <c r="G73" s="463" t="s">
        <v>308</v>
      </c>
      <c r="H73" s="98">
        <f>F11</f>
        <v>9799000</v>
      </c>
      <c r="I73" s="127"/>
      <c r="J73" s="46"/>
      <c r="K73" s="46"/>
      <c r="L73" s="119"/>
      <c r="M73" s="52"/>
      <c r="N73" s="53"/>
      <c r="O73" s="53"/>
      <c r="P73" s="47"/>
      <c r="Q73" s="120"/>
      <c r="R73" s="131"/>
      <c r="S73" s="131"/>
      <c r="T73" s="51"/>
      <c r="U73" s="50"/>
      <c r="V73" s="51"/>
      <c r="W73" s="92"/>
      <c r="X73" s="92"/>
      <c r="Y73" s="94"/>
      <c r="Z73" s="91"/>
      <c r="AA73" s="51"/>
      <c r="AB73" s="47"/>
      <c r="AC73" s="50"/>
      <c r="AD73" s="51"/>
      <c r="AE73" s="51"/>
      <c r="AF73" s="47"/>
      <c r="AG73" s="50"/>
      <c r="AH73" s="46"/>
      <c r="AI73" s="46"/>
      <c r="AJ73" s="47"/>
      <c r="AK73" s="52"/>
      <c r="AL73" s="53"/>
      <c r="AM73" s="53"/>
      <c r="AN73" s="118"/>
      <c r="AO73" s="445"/>
      <c r="AP73" s="446"/>
      <c r="AQ73" s="446"/>
      <c r="AR73" s="447"/>
      <c r="AS73" s="445"/>
      <c r="AT73" s="446"/>
      <c r="AU73" s="446"/>
      <c r="AV73" s="447"/>
      <c r="AW73" s="445"/>
      <c r="AX73" s="446"/>
      <c r="AY73" s="446"/>
      <c r="AZ73" s="447"/>
      <c r="BA73" s="445"/>
      <c r="BB73" s="446"/>
      <c r="BC73" s="446"/>
      <c r="BD73" s="447"/>
      <c r="BE73" s="445"/>
      <c r="BF73" s="446"/>
      <c r="BG73" s="446"/>
      <c r="BH73" s="447"/>
      <c r="BI73" s="445"/>
      <c r="BJ73" s="446"/>
      <c r="BK73" s="446"/>
      <c r="BL73" s="448"/>
      <c r="BM73" s="445"/>
      <c r="BN73" s="446"/>
      <c r="BO73" s="446"/>
      <c r="BP73" s="448"/>
      <c r="BQ73" s="158"/>
      <c r="BR73" s="434"/>
      <c r="BS73" s="434"/>
      <c r="BT73" s="443"/>
      <c r="BU73" s="173"/>
      <c r="BV73" s="215"/>
      <c r="BW73" s="444"/>
      <c r="BX73" s="223"/>
      <c r="BY73" s="158"/>
      <c r="BZ73" s="434"/>
      <c r="CA73" s="434"/>
      <c r="CB73" s="443"/>
      <c r="CC73" s="247"/>
      <c r="CD73" s="351"/>
      <c r="CE73" s="351"/>
      <c r="CF73" s="245"/>
      <c r="CG73" s="356"/>
      <c r="CH73" s="351"/>
      <c r="CI73" s="356"/>
      <c r="CJ73" s="246"/>
      <c r="CK73" s="311"/>
      <c r="CL73" s="352"/>
      <c r="CM73" s="311"/>
      <c r="CN73" s="311"/>
      <c r="CO73" s="311"/>
      <c r="CP73" s="311"/>
      <c r="CQ73" s="311"/>
      <c r="CR73" s="311"/>
      <c r="CS73" s="311"/>
      <c r="CT73" s="311"/>
      <c r="CU73" s="311"/>
      <c r="CV73" s="311"/>
      <c r="CW73" s="311"/>
      <c r="CX73" s="311"/>
      <c r="CY73" s="311"/>
      <c r="CZ73" s="311"/>
      <c r="DA73" s="311"/>
      <c r="DB73" s="311"/>
      <c r="DC73" s="311"/>
      <c r="DD73" s="311"/>
      <c r="DE73" s="1033"/>
      <c r="DF73" s="1076"/>
      <c r="DG73" s="1066"/>
      <c r="DH73" s="1066"/>
      <c r="DI73" s="1059">
        <f>SUMPRODUCT((MOD(COLUMN(I73:DD73)-COLUMN(I73),4)=1)*I73:DD73)</f>
        <v>0</v>
      </c>
      <c r="DJ73" s="1059">
        <f>SUMPRODUCT((MOD(COLUMN(I73:DD73)-COLUMN(J73),4)=2)*I73:DD73)</f>
        <v>0</v>
      </c>
      <c r="DK73" s="1067"/>
      <c r="DL73" s="1068"/>
      <c r="DM73" s="1079"/>
      <c r="DN73" s="178"/>
      <c r="DO73" s="694">
        <f t="shared" si="14"/>
        <v>0</v>
      </c>
      <c r="DP73" s="694">
        <f>DO73-Detailed[[#This Row],[Column66]]</f>
        <v>0</v>
      </c>
      <c r="DQ73" s="694">
        <v>1726555</v>
      </c>
      <c r="DR73" s="179"/>
      <c r="DS73" s="231">
        <f>DQ73-Detailed[[#This Row],[Column66]]</f>
        <v>1726555</v>
      </c>
      <c r="DT73" s="179"/>
      <c r="DU73" s="179"/>
      <c r="DV73" s="179"/>
      <c r="DW73" s="179"/>
      <c r="DX73" s="179"/>
      <c r="DY73" s="179"/>
      <c r="DZ73" s="179"/>
      <c r="EA73" s="179"/>
      <c r="EB73" s="179"/>
      <c r="EC73" s="179"/>
      <c r="ED73" s="179"/>
      <c r="EE73" s="179"/>
      <c r="EF73" s="179"/>
      <c r="EG73" s="179"/>
      <c r="EH73" s="179"/>
      <c r="EI73" s="179"/>
      <c r="EJ73" s="179"/>
      <c r="EK73" s="179"/>
      <c r="EL73" s="179"/>
      <c r="EM73" s="179"/>
      <c r="EN73" s="179"/>
      <c r="EO73" s="179"/>
      <c r="EP73" s="179"/>
      <c r="EQ73" s="179"/>
      <c r="ER73" s="179"/>
      <c r="ES73" s="179"/>
      <c r="ET73" s="179"/>
      <c r="EU73" s="179"/>
      <c r="EV73" s="179"/>
      <c r="EW73" s="179"/>
      <c r="EX73" s="179"/>
      <c r="EY73" s="179"/>
      <c r="EZ73" s="179"/>
      <c r="FA73" s="179"/>
      <c r="FB73" s="179"/>
      <c r="FC73" s="179"/>
      <c r="FD73" s="179"/>
      <c r="FE73" s="179"/>
      <c r="FF73" s="179"/>
      <c r="FG73" s="179"/>
      <c r="FH73" s="179"/>
      <c r="FI73" s="179"/>
      <c r="FJ73" s="179"/>
      <c r="FK73" s="179"/>
      <c r="FL73" s="179"/>
      <c r="FM73" s="179"/>
      <c r="FN73" s="179"/>
      <c r="FO73" s="179"/>
      <c r="FP73" s="179"/>
      <c r="FQ73" s="179"/>
      <c r="FR73" s="179"/>
      <c r="FS73" s="179"/>
      <c r="FT73" s="179"/>
      <c r="FU73" s="179"/>
      <c r="FV73" s="179"/>
      <c r="FW73" s="179"/>
      <c r="FX73" s="179"/>
      <c r="FY73" s="179"/>
      <c r="FZ73" s="179"/>
      <c r="GA73" s="179"/>
      <c r="GB73" s="179"/>
      <c r="GC73" s="179"/>
      <c r="GD73" s="179"/>
      <c r="GE73" s="179"/>
      <c r="GF73" s="179"/>
      <c r="GG73" s="179"/>
      <c r="GH73" s="179"/>
      <c r="GI73" s="179"/>
      <c r="GJ73" s="179"/>
      <c r="GK73" s="179"/>
      <c r="GL73" s="179"/>
      <c r="GM73" s="179"/>
      <c r="GN73" s="179"/>
      <c r="GO73" s="179"/>
      <c r="GP73" s="179"/>
      <c r="GQ73" s="179"/>
      <c r="GR73" s="179"/>
      <c r="GS73" s="179"/>
      <c r="GT73" s="179"/>
      <c r="GU73" s="179"/>
      <c r="GV73" s="179"/>
      <c r="GW73" s="179"/>
      <c r="GX73" s="179"/>
      <c r="GY73" s="179"/>
      <c r="GZ73" s="179"/>
      <c r="HA73" s="179"/>
      <c r="HB73" s="179"/>
      <c r="HC73" s="179"/>
      <c r="HD73" s="179"/>
      <c r="HE73" s="179"/>
      <c r="HF73" s="179"/>
      <c r="HG73" s="179"/>
      <c r="HH73" s="179"/>
      <c r="HI73" s="179"/>
      <c r="HJ73" s="179"/>
      <c r="HK73" s="179"/>
      <c r="HL73" s="179"/>
      <c r="HM73" s="179"/>
      <c r="HN73" s="179"/>
      <c r="HO73" s="179"/>
      <c r="HP73" s="179"/>
      <c r="HQ73" s="179"/>
      <c r="HR73" s="179"/>
      <c r="HS73" s="179"/>
      <c r="HT73" s="179"/>
      <c r="HU73" s="179"/>
      <c r="HV73" s="179"/>
      <c r="HW73" s="179"/>
      <c r="HX73" s="179"/>
      <c r="HY73" s="179"/>
      <c r="HZ73" s="179"/>
      <c r="IA73" s="179"/>
      <c r="IB73" s="179"/>
      <c r="IC73" s="179"/>
      <c r="ID73" s="179"/>
      <c r="IE73" s="179"/>
      <c r="IF73" s="179"/>
      <c r="IG73" s="179"/>
      <c r="IH73" s="179"/>
      <c r="II73" s="179"/>
      <c r="IJ73" s="179"/>
      <c r="IK73" s="179"/>
      <c r="IL73" s="179"/>
      <c r="IM73" s="179"/>
      <c r="IN73" s="179"/>
      <c r="IO73" s="179"/>
      <c r="IP73" s="179"/>
      <c r="IQ73" s="179"/>
      <c r="IR73" s="179"/>
      <c r="IS73" s="179"/>
      <c r="IT73" s="179"/>
      <c r="IU73" s="179"/>
      <c r="IV73" s="179"/>
      <c r="IW73" s="179"/>
      <c r="IX73" s="179"/>
      <c r="IY73" s="179"/>
      <c r="IZ73" s="179"/>
      <c r="JA73" s="179"/>
      <c r="JB73" s="179"/>
      <c r="JC73" s="179"/>
      <c r="JD73" s="179"/>
      <c r="JE73" s="179"/>
      <c r="JF73" s="179"/>
      <c r="JG73" s="179"/>
      <c r="JH73" s="179"/>
      <c r="JI73" s="179"/>
    </row>
    <row r="74" spans="1:269" ht="16.2" thickTop="1">
      <c r="A74" s="759" t="s">
        <v>234</v>
      </c>
      <c r="B74" s="758">
        <v>1</v>
      </c>
      <c r="C74" s="765" t="s">
        <v>304</v>
      </c>
      <c r="D74" s="176"/>
      <c r="E74" s="176"/>
      <c r="F74" s="177"/>
      <c r="G74" s="523" t="s">
        <v>305</v>
      </c>
      <c r="H74" s="524">
        <v>4421850</v>
      </c>
      <c r="I74" s="318">
        <v>45354</v>
      </c>
      <c r="J74" s="55">
        <f>'EGEC - WAS'!M17</f>
        <v>1726555</v>
      </c>
      <c r="K74" s="202">
        <f>J74*15%</f>
        <v>258983.25</v>
      </c>
      <c r="L74" s="67">
        <f>J74+K74</f>
        <v>1985538.25</v>
      </c>
      <c r="M74" s="318"/>
      <c r="N74" s="55"/>
      <c r="O74" s="529"/>
      <c r="P74" s="530"/>
      <c r="Q74" s="69">
        <v>45777</v>
      </c>
      <c r="R74" s="55">
        <f>'EGEC - WAS'!Q17</f>
        <v>1641704.6800000002</v>
      </c>
      <c r="S74" s="202">
        <f>R74*15%</f>
        <v>246255.70200000002</v>
      </c>
      <c r="T74" s="47">
        <f>R74+S74</f>
        <v>1887960.3820000002</v>
      </c>
      <c r="U74" s="69">
        <v>45807</v>
      </c>
      <c r="V74" s="533">
        <f>'EGEC - WAS'!S17</f>
        <v>611379</v>
      </c>
      <c r="W74" s="202">
        <f>V74*15%</f>
        <v>91706.849999999991</v>
      </c>
      <c r="X74" s="47">
        <f>V74+W74</f>
        <v>703085.85</v>
      </c>
      <c r="Y74" s="69">
        <v>45865</v>
      </c>
      <c r="Z74" s="63">
        <f>'EGEC - WAS'!U17</f>
        <v>221091</v>
      </c>
      <c r="AA74" s="63">
        <f>Z74*15%</f>
        <v>33163.65</v>
      </c>
      <c r="AB74" s="56">
        <f>Z74+AA74</f>
        <v>254254.65</v>
      </c>
      <c r="AC74" s="528">
        <v>45901</v>
      </c>
      <c r="AD74" s="533">
        <f>'EGEC - WAS'!W17</f>
        <v>221120.33000000002</v>
      </c>
      <c r="AE74" s="533">
        <f>Detailed[[#This Row],[Column30]]*15%</f>
        <v>33168.049500000001</v>
      </c>
      <c r="AF74" s="530">
        <f>Detailed[[#This Row],[Column30]]+Detailed[[#This Row],[Column31]]</f>
        <v>254288.37950000001</v>
      </c>
      <c r="AG74" s="528"/>
      <c r="AH74" s="526"/>
      <c r="AI74" s="526"/>
      <c r="AJ74" s="530"/>
      <c r="AK74" s="528"/>
      <c r="AL74" s="529"/>
      <c r="AM74" s="529"/>
      <c r="AN74" s="535"/>
      <c r="AO74" s="536"/>
      <c r="AP74" s="537"/>
      <c r="AQ74" s="537"/>
      <c r="AR74" s="538"/>
      <c r="AS74" s="536"/>
      <c r="AT74" s="537"/>
      <c r="AU74" s="537"/>
      <c r="AV74" s="538"/>
      <c r="AW74" s="536"/>
      <c r="AX74" s="537"/>
      <c r="AY74" s="537"/>
      <c r="AZ74" s="538"/>
      <c r="BA74" s="536"/>
      <c r="BB74" s="537"/>
      <c r="BC74" s="537"/>
      <c r="BD74" s="538"/>
      <c r="BE74" s="536"/>
      <c r="BF74" s="537"/>
      <c r="BG74" s="537"/>
      <c r="BH74" s="538"/>
      <c r="BI74" s="536"/>
      <c r="BJ74" s="537"/>
      <c r="BK74" s="537"/>
      <c r="BL74" s="539"/>
      <c r="BM74" s="536"/>
      <c r="BN74" s="537"/>
      <c r="BO74" s="537"/>
      <c r="BP74" s="539"/>
      <c r="BQ74" s="540"/>
      <c r="BR74" s="541"/>
      <c r="BS74" s="541"/>
      <c r="BT74" s="556"/>
      <c r="BU74" s="550"/>
      <c r="BV74" s="555"/>
      <c r="BW74" s="557"/>
      <c r="BX74" s="551"/>
      <c r="BY74" s="540"/>
      <c r="BZ74" s="541"/>
      <c r="CA74" s="541"/>
      <c r="CB74" s="556"/>
      <c r="CC74" s="247"/>
      <c r="CD74" s="351"/>
      <c r="CE74" s="351"/>
      <c r="CF74" s="245"/>
      <c r="CG74" s="356"/>
      <c r="CH74" s="351"/>
      <c r="CI74" s="356"/>
      <c r="CJ74" s="246"/>
      <c r="CK74" s="547"/>
      <c r="CL74" s="548"/>
      <c r="CM74" s="547"/>
      <c r="CN74" s="547"/>
      <c r="CO74" s="547"/>
      <c r="CP74" s="547"/>
      <c r="CQ74" s="547"/>
      <c r="CR74" s="547"/>
      <c r="CS74" s="547"/>
      <c r="CT74" s="547"/>
      <c r="CU74" s="547"/>
      <c r="CV74" s="547"/>
      <c r="CW74" s="547"/>
      <c r="CX74" s="547"/>
      <c r="CY74" s="547"/>
      <c r="CZ74" s="547"/>
      <c r="DA74" s="547"/>
      <c r="DB74" s="547"/>
      <c r="DC74" s="547"/>
      <c r="DD74" s="547"/>
      <c r="DE74" s="172"/>
      <c r="DF74" s="128">
        <f>H74</f>
        <v>4421850</v>
      </c>
      <c r="DG74" s="128">
        <f>DF74*15%</f>
        <v>663277.5</v>
      </c>
      <c r="DH74" s="128">
        <f>DF74+DG74</f>
        <v>5085127.5</v>
      </c>
      <c r="DI74" s="391">
        <f t="shared" si="15"/>
        <v>4421850.01</v>
      </c>
      <c r="DJ74" s="549">
        <f>Detailed[[#This Row],[Column12]]+Detailed[[#This Row],[Column16]]+Detailed[[#This Row],[Column20]]+Detailed[[#This Row],[Column24]]+Detailed[[#This Row],[Column28]]+Detailed[[#This Row],[Column32]]</f>
        <v>5085127.5115</v>
      </c>
      <c r="DK74" s="183">
        <v>1</v>
      </c>
      <c r="DL74" s="184">
        <f>DK74*DF74</f>
        <v>4421850</v>
      </c>
      <c r="DM74" s="377">
        <f>DL74-DI74</f>
        <v>-9.9999997764825821E-3</v>
      </c>
      <c r="DN74" s="178"/>
      <c r="DO74" s="694">
        <f t="shared" si="14"/>
        <v>4421850.01</v>
      </c>
      <c r="DP74" s="694">
        <f>DO74-Detailed[[#This Row],[Column66]]</f>
        <v>0</v>
      </c>
      <c r="DQ74" s="694">
        <v>195000</v>
      </c>
      <c r="DR74" s="179"/>
      <c r="DS74" s="231">
        <f>DQ74-Detailed[[#This Row],[Column66]]</f>
        <v>-4226850.01</v>
      </c>
      <c r="DT74" s="179"/>
      <c r="DU74" s="179"/>
      <c r="DV74" s="179"/>
      <c r="DW74" s="179"/>
      <c r="DX74" s="179"/>
      <c r="DY74" s="179"/>
      <c r="DZ74" s="179"/>
      <c r="EA74" s="179"/>
      <c r="EB74" s="179"/>
      <c r="EC74" s="179"/>
      <c r="ED74" s="179"/>
      <c r="EE74" s="179"/>
      <c r="EF74" s="179"/>
      <c r="EG74" s="179"/>
      <c r="EH74" s="179"/>
      <c r="EI74" s="179"/>
      <c r="EJ74" s="179"/>
      <c r="EK74" s="179"/>
      <c r="EL74" s="179"/>
      <c r="EM74" s="179"/>
      <c r="EN74" s="179"/>
      <c r="EO74" s="179"/>
      <c r="EP74" s="179"/>
      <c r="EQ74" s="179"/>
      <c r="ER74" s="179"/>
      <c r="ES74" s="179"/>
      <c r="ET74" s="179"/>
      <c r="EU74" s="179"/>
      <c r="EV74" s="179"/>
      <c r="EW74" s="179"/>
      <c r="EX74" s="179"/>
      <c r="EY74" s="179"/>
      <c r="EZ74" s="179"/>
      <c r="FA74" s="179"/>
      <c r="FB74" s="179"/>
      <c r="FC74" s="179"/>
      <c r="FD74" s="179"/>
      <c r="FE74" s="179"/>
      <c r="FF74" s="179"/>
      <c r="FG74" s="179"/>
      <c r="FH74" s="179"/>
      <c r="FI74" s="179"/>
      <c r="FJ74" s="179"/>
      <c r="FK74" s="179"/>
      <c r="FL74" s="179"/>
      <c r="FM74" s="179"/>
      <c r="FN74" s="179"/>
      <c r="FO74" s="179"/>
      <c r="FP74" s="179"/>
      <c r="FQ74" s="179"/>
      <c r="FR74" s="179"/>
      <c r="FS74" s="179"/>
      <c r="FT74" s="179"/>
      <c r="FU74" s="179"/>
      <c r="FV74" s="179"/>
      <c r="FW74" s="179"/>
      <c r="FX74" s="179"/>
      <c r="FY74" s="179"/>
      <c r="FZ74" s="179"/>
      <c r="GA74" s="179"/>
      <c r="GB74" s="179"/>
      <c r="GC74" s="179"/>
      <c r="GD74" s="179"/>
      <c r="GE74" s="179"/>
      <c r="GF74" s="179"/>
      <c r="GG74" s="179"/>
      <c r="GH74" s="179"/>
      <c r="GI74" s="179"/>
      <c r="GJ74" s="179"/>
      <c r="GK74" s="179"/>
      <c r="GL74" s="179"/>
      <c r="GM74" s="179"/>
      <c r="GN74" s="179"/>
      <c r="GO74" s="179"/>
      <c r="GP74" s="179"/>
      <c r="GQ74" s="179"/>
      <c r="GR74" s="179"/>
      <c r="GS74" s="179"/>
      <c r="GT74" s="179"/>
      <c r="GU74" s="179"/>
      <c r="GV74" s="179"/>
      <c r="GW74" s="179"/>
      <c r="GX74" s="179"/>
      <c r="GY74" s="179"/>
      <c r="GZ74" s="179"/>
      <c r="HA74" s="179"/>
      <c r="HB74" s="179"/>
      <c r="HC74" s="179"/>
      <c r="HD74" s="179"/>
      <c r="HE74" s="179"/>
      <c r="HF74" s="179"/>
      <c r="HG74" s="179"/>
      <c r="HH74" s="179"/>
      <c r="HI74" s="179"/>
      <c r="HJ74" s="179"/>
      <c r="HK74" s="179"/>
      <c r="HL74" s="179"/>
      <c r="HM74" s="179"/>
      <c r="HN74" s="179"/>
      <c r="HO74" s="179"/>
      <c r="HP74" s="179"/>
      <c r="HQ74" s="179"/>
      <c r="HR74" s="179"/>
      <c r="HS74" s="179"/>
      <c r="HT74" s="179"/>
      <c r="HU74" s="179"/>
      <c r="HV74" s="179"/>
      <c r="HW74" s="179"/>
      <c r="HX74" s="179"/>
      <c r="HY74" s="179"/>
      <c r="HZ74" s="179"/>
      <c r="IA74" s="179"/>
      <c r="IB74" s="179"/>
      <c r="IC74" s="179"/>
      <c r="ID74" s="179"/>
      <c r="IE74" s="179"/>
      <c r="IF74" s="179"/>
      <c r="IG74" s="179"/>
      <c r="IH74" s="179"/>
      <c r="II74" s="179"/>
      <c r="IJ74" s="179"/>
      <c r="IK74" s="179"/>
      <c r="IL74" s="179"/>
      <c r="IM74" s="179"/>
      <c r="IN74" s="179"/>
      <c r="IO74" s="179"/>
      <c r="IP74" s="179"/>
      <c r="IQ74" s="179"/>
      <c r="IR74" s="179"/>
      <c r="IS74" s="179"/>
      <c r="IT74" s="179"/>
      <c r="IU74" s="179"/>
      <c r="IV74" s="179"/>
      <c r="IW74" s="179"/>
      <c r="IX74" s="179"/>
      <c r="IY74" s="179"/>
      <c r="IZ74" s="179"/>
      <c r="JA74" s="179"/>
      <c r="JB74" s="179"/>
      <c r="JC74" s="179"/>
      <c r="JD74" s="179"/>
      <c r="JE74" s="179"/>
      <c r="JF74" s="179"/>
      <c r="JG74" s="179"/>
      <c r="JH74" s="179"/>
      <c r="JI74" s="179"/>
    </row>
    <row r="75" spans="1:269" ht="15.6">
      <c r="A75" s="760" t="s">
        <v>234</v>
      </c>
      <c r="B75" s="147">
        <v>2</v>
      </c>
      <c r="C75" s="139" t="s">
        <v>309</v>
      </c>
      <c r="D75" s="141"/>
      <c r="E75" s="141"/>
      <c r="F75" s="142"/>
      <c r="G75" s="58" t="s">
        <v>310</v>
      </c>
      <c r="H75" s="59">
        <v>650000</v>
      </c>
      <c r="I75" s="564"/>
      <c r="J75" s="55"/>
      <c r="K75" s="55"/>
      <c r="L75" s="67"/>
      <c r="M75" s="318">
        <v>45395</v>
      </c>
      <c r="N75" s="55">
        <f>'EGEC - WAS'!O36</f>
        <v>195000</v>
      </c>
      <c r="O75" s="202">
        <f>N75*15%</f>
        <v>29250</v>
      </c>
      <c r="P75" s="47">
        <f>N75+O75</f>
        <v>224250</v>
      </c>
      <c r="Q75" s="69">
        <v>45777</v>
      </c>
      <c r="R75" s="55">
        <f>'EGEC - WAS'!Q36</f>
        <v>227500</v>
      </c>
      <c r="S75" s="202">
        <f>R75*15%</f>
        <v>34125</v>
      </c>
      <c r="T75" s="47">
        <f>R75+S75</f>
        <v>261625</v>
      </c>
      <c r="U75" s="69">
        <v>45807</v>
      </c>
      <c r="V75" s="533">
        <f>'EGEC - WAS'!S36</f>
        <v>227500</v>
      </c>
      <c r="W75" s="202">
        <f>V75*15%</f>
        <v>34125</v>
      </c>
      <c r="X75" s="47">
        <f>V75+W75</f>
        <v>261625</v>
      </c>
      <c r="Y75" s="318"/>
      <c r="Z75" s="63"/>
      <c r="AA75" s="55"/>
      <c r="AB75" s="47"/>
      <c r="AC75" s="56"/>
      <c r="AD75" s="202"/>
      <c r="AE75" s="202"/>
      <c r="AF75" s="54"/>
      <c r="AG75" s="56"/>
      <c r="AH75" s="55"/>
      <c r="AI75" s="55"/>
      <c r="AJ75" s="54"/>
      <c r="AK75" s="207"/>
      <c r="AL75" s="65"/>
      <c r="AM75" s="65"/>
      <c r="AN75" s="565"/>
      <c r="AO75" s="121"/>
      <c r="AP75" s="124"/>
      <c r="AQ75" s="124"/>
      <c r="AR75" s="123"/>
      <c r="AS75" s="121"/>
      <c r="AT75" s="124"/>
      <c r="AU75" s="124"/>
      <c r="AV75" s="123"/>
      <c r="AW75" s="121"/>
      <c r="AX75" s="124"/>
      <c r="AY75" s="124"/>
      <c r="AZ75" s="123"/>
      <c r="BA75" s="121"/>
      <c r="BB75" s="124"/>
      <c r="BC75" s="124"/>
      <c r="BD75" s="123"/>
      <c r="BE75" s="121"/>
      <c r="BF75" s="124"/>
      <c r="BG75" s="124"/>
      <c r="BH75" s="123"/>
      <c r="BI75" s="121"/>
      <c r="BJ75" s="124"/>
      <c r="BK75" s="124"/>
      <c r="BL75" s="566"/>
      <c r="BM75" s="121"/>
      <c r="BN75" s="124"/>
      <c r="BO75" s="124"/>
      <c r="BP75" s="566"/>
      <c r="BQ75" s="158"/>
      <c r="BR75" s="434"/>
      <c r="BS75" s="434"/>
      <c r="BT75" s="443"/>
      <c r="BU75" s="173"/>
      <c r="BV75" s="215"/>
      <c r="BW75" s="444"/>
      <c r="BX75" s="223"/>
      <c r="BY75" s="158"/>
      <c r="BZ75" s="434"/>
      <c r="CA75" s="434"/>
      <c r="CB75" s="443"/>
      <c r="CC75" s="247"/>
      <c r="CD75" s="351"/>
      <c r="CE75" s="351"/>
      <c r="CF75" s="245"/>
      <c r="CG75" s="356"/>
      <c r="CH75" s="351"/>
      <c r="CI75" s="356"/>
      <c r="CJ75" s="246"/>
      <c r="CK75" s="567"/>
      <c r="CL75" s="352"/>
      <c r="CM75" s="567"/>
      <c r="CN75" s="567"/>
      <c r="CO75" s="567"/>
      <c r="CP75" s="567"/>
      <c r="CQ75" s="567"/>
      <c r="CR75" s="567"/>
      <c r="CS75" s="567"/>
      <c r="CT75" s="567"/>
      <c r="CU75" s="567"/>
      <c r="CV75" s="567"/>
      <c r="CW75" s="567"/>
      <c r="CX75" s="567"/>
      <c r="CY75" s="567"/>
      <c r="CZ75" s="567"/>
      <c r="DA75" s="567"/>
      <c r="DB75" s="567"/>
      <c r="DC75" s="567"/>
      <c r="DD75" s="567"/>
      <c r="DE75" s="568"/>
      <c r="DF75" s="126">
        <f>H75</f>
        <v>650000</v>
      </c>
      <c r="DG75" s="126">
        <f>DF75*15%</f>
        <v>97500</v>
      </c>
      <c r="DH75" s="126">
        <f>DF75+DG75</f>
        <v>747500</v>
      </c>
      <c r="DI75" s="391">
        <f t="shared" si="15"/>
        <v>650000</v>
      </c>
      <c r="DJ75" s="549">
        <f>Detailed[[#This Row],[Column12]]+Detailed[[#This Row],[Column16]]+Detailed[[#This Row],[Column20]]+Detailed[[#This Row],[Column24]]+Detailed[[#This Row],[Column28]]+Detailed[[#This Row],[Column32]]</f>
        <v>747500</v>
      </c>
      <c r="DK75" s="153">
        <v>1</v>
      </c>
      <c r="DL75" s="154">
        <f>DK75*DF75</f>
        <v>650000</v>
      </c>
      <c r="DM75" s="376">
        <f>DL75-DI75</f>
        <v>0</v>
      </c>
      <c r="DN75" s="178"/>
      <c r="DO75" s="694">
        <f t="shared" si="14"/>
        <v>650000</v>
      </c>
      <c r="DP75" s="694">
        <f>DO75-Detailed[[#This Row],[Column66]]</f>
        <v>0</v>
      </c>
      <c r="DQ75" s="694"/>
      <c r="DR75" s="179"/>
      <c r="DS75" s="231">
        <f>DQ75-Detailed[[#This Row],[Column66]]</f>
        <v>-650000</v>
      </c>
      <c r="DT75" s="179"/>
      <c r="DU75" s="179"/>
      <c r="DV75" s="179"/>
      <c r="DW75" s="179"/>
      <c r="DX75" s="179"/>
      <c r="DY75" s="179"/>
      <c r="DZ75" s="179"/>
      <c r="EA75" s="179"/>
      <c r="EB75" s="179"/>
      <c r="EC75" s="179"/>
      <c r="ED75" s="179"/>
      <c r="EE75" s="179"/>
      <c r="EF75" s="179"/>
      <c r="EG75" s="179"/>
      <c r="EH75" s="179"/>
      <c r="EI75" s="179"/>
      <c r="EJ75" s="179"/>
      <c r="EK75" s="179"/>
      <c r="EL75" s="179"/>
      <c r="EM75" s="179"/>
      <c r="EN75" s="179"/>
      <c r="EO75" s="179"/>
      <c r="EP75" s="179"/>
      <c r="EQ75" s="179"/>
      <c r="ER75" s="179"/>
      <c r="ES75" s="179"/>
      <c r="ET75" s="179"/>
      <c r="EU75" s="179"/>
      <c r="EV75" s="179"/>
      <c r="EW75" s="179"/>
      <c r="EX75" s="179"/>
      <c r="EY75" s="179"/>
      <c r="EZ75" s="179"/>
      <c r="FA75" s="179"/>
      <c r="FB75" s="179"/>
      <c r="FC75" s="179"/>
      <c r="FD75" s="179"/>
      <c r="FE75" s="179"/>
      <c r="FF75" s="179"/>
      <c r="FG75" s="179"/>
      <c r="FH75" s="179"/>
      <c r="FI75" s="179"/>
      <c r="FJ75" s="179"/>
      <c r="FK75" s="179"/>
      <c r="FL75" s="179"/>
      <c r="FM75" s="179"/>
      <c r="FN75" s="179"/>
      <c r="FO75" s="179"/>
      <c r="FP75" s="179"/>
      <c r="FQ75" s="179"/>
      <c r="FR75" s="179"/>
      <c r="FS75" s="179"/>
      <c r="FT75" s="179"/>
      <c r="FU75" s="179"/>
      <c r="FV75" s="179"/>
      <c r="FW75" s="179"/>
      <c r="FX75" s="179"/>
      <c r="FY75" s="179"/>
      <c r="FZ75" s="179"/>
      <c r="GA75" s="179"/>
      <c r="GB75" s="179"/>
      <c r="GC75" s="179"/>
      <c r="GD75" s="179"/>
      <c r="GE75" s="179"/>
      <c r="GF75" s="179"/>
      <c r="GG75" s="179"/>
      <c r="GH75" s="179"/>
      <c r="GI75" s="179"/>
      <c r="GJ75" s="179"/>
      <c r="GK75" s="179"/>
      <c r="GL75" s="179"/>
      <c r="GM75" s="179"/>
      <c r="GN75" s="179"/>
      <c r="GO75" s="179"/>
      <c r="GP75" s="179"/>
      <c r="GQ75" s="179"/>
      <c r="GR75" s="179"/>
      <c r="GS75" s="179"/>
      <c r="GT75" s="179"/>
      <c r="GU75" s="179"/>
      <c r="GV75" s="179"/>
      <c r="GW75" s="179"/>
      <c r="GX75" s="179"/>
      <c r="GY75" s="179"/>
      <c r="GZ75" s="179"/>
      <c r="HA75" s="179"/>
      <c r="HB75" s="179"/>
      <c r="HC75" s="179"/>
      <c r="HD75" s="179"/>
      <c r="HE75" s="179"/>
      <c r="HF75" s="179"/>
      <c r="HG75" s="179"/>
      <c r="HH75" s="179"/>
      <c r="HI75" s="179"/>
      <c r="HJ75" s="179"/>
      <c r="HK75" s="179"/>
      <c r="HL75" s="179"/>
      <c r="HM75" s="179"/>
      <c r="HN75" s="179"/>
      <c r="HO75" s="179"/>
      <c r="HP75" s="179"/>
      <c r="HQ75" s="179"/>
      <c r="HR75" s="179"/>
      <c r="HS75" s="179"/>
      <c r="HT75" s="179"/>
      <c r="HU75" s="179"/>
      <c r="HV75" s="179"/>
      <c r="HW75" s="179"/>
      <c r="HX75" s="179"/>
      <c r="HY75" s="179"/>
      <c r="HZ75" s="179"/>
      <c r="IA75" s="179"/>
      <c r="IB75" s="179"/>
      <c r="IC75" s="179"/>
      <c r="ID75" s="179"/>
      <c r="IE75" s="179"/>
      <c r="IF75" s="179"/>
      <c r="IG75" s="179"/>
      <c r="IH75" s="179"/>
      <c r="II75" s="179"/>
      <c r="IJ75" s="179"/>
      <c r="IK75" s="179"/>
      <c r="IL75" s="179"/>
      <c r="IM75" s="179"/>
      <c r="IN75" s="179"/>
      <c r="IO75" s="179"/>
      <c r="IP75" s="179"/>
      <c r="IQ75" s="179"/>
      <c r="IR75" s="179"/>
      <c r="IS75" s="179"/>
      <c r="IT75" s="179"/>
      <c r="IU75" s="179"/>
      <c r="IV75" s="179"/>
      <c r="IW75" s="179"/>
      <c r="IX75" s="179"/>
      <c r="IY75" s="179"/>
      <c r="IZ75" s="179"/>
      <c r="JA75" s="179"/>
      <c r="JB75" s="179"/>
      <c r="JC75" s="179"/>
      <c r="JD75" s="179"/>
      <c r="JE75" s="179"/>
      <c r="JF75" s="179"/>
      <c r="JG75" s="179"/>
      <c r="JH75" s="179"/>
      <c r="JI75" s="179"/>
    </row>
    <row r="76" spans="1:269" ht="16.2" thickBot="1">
      <c r="A76" s="760" t="s">
        <v>234</v>
      </c>
      <c r="B76" s="752">
        <v>4</v>
      </c>
      <c r="C76" s="139" t="s">
        <v>359</v>
      </c>
      <c r="D76" s="141"/>
      <c r="E76" s="141"/>
      <c r="F76" s="142"/>
      <c r="G76" s="58" t="s">
        <v>360</v>
      </c>
      <c r="H76" s="59">
        <v>1150000</v>
      </c>
      <c r="I76" s="564"/>
      <c r="J76" s="55"/>
      <c r="K76" s="55"/>
      <c r="L76" s="67"/>
      <c r="M76" s="207"/>
      <c r="N76" s="65"/>
      <c r="O76" s="65"/>
      <c r="P76" s="54"/>
      <c r="Q76" s="69"/>
      <c r="R76" s="68"/>
      <c r="S76" s="68"/>
      <c r="T76" s="202"/>
      <c r="U76" s="56"/>
      <c r="V76" s="202"/>
      <c r="W76" s="202"/>
      <c r="X76" s="54"/>
      <c r="Y76" s="69">
        <v>45865</v>
      </c>
      <c r="Z76" s="973">
        <v>115000</v>
      </c>
      <c r="AA76" s="63">
        <f>Z76*15%</f>
        <v>17250</v>
      </c>
      <c r="AB76" s="56">
        <f>Z76+AA76</f>
        <v>132250</v>
      </c>
      <c r="AC76" s="528"/>
      <c r="AD76" s="202"/>
      <c r="AE76" s="202"/>
      <c r="AF76" s="54"/>
      <c r="AG76" s="528">
        <v>45917</v>
      </c>
      <c r="AH76" s="972">
        <v>460000</v>
      </c>
      <c r="AI76" s="55">
        <f>Detailed[[#This Row],[Column34]]*15%</f>
        <v>69000</v>
      </c>
      <c r="AJ76" s="54">
        <f>Detailed[[#This Row],[Column34]]+Detailed[[#This Row],[Column35]]</f>
        <v>529000</v>
      </c>
      <c r="AK76" s="207">
        <v>45956</v>
      </c>
      <c r="AL76" s="972">
        <v>575000</v>
      </c>
      <c r="AM76" s="55">
        <f>Detailed[[#This Row],[Column38]]*15%</f>
        <v>86250</v>
      </c>
      <c r="AN76" s="565">
        <f>Detailed[[#This Row],[Column38]]+Detailed[[#This Row],[Column39]]</f>
        <v>661250</v>
      </c>
      <c r="AO76" s="121"/>
      <c r="AP76" s="124"/>
      <c r="AQ76" s="124"/>
      <c r="AR76" s="123"/>
      <c r="AS76" s="121"/>
      <c r="AT76" s="124"/>
      <c r="AU76" s="124"/>
      <c r="AV76" s="123"/>
      <c r="AW76" s="121"/>
      <c r="AX76" s="124"/>
      <c r="AY76" s="124"/>
      <c r="AZ76" s="123"/>
      <c r="BA76" s="121"/>
      <c r="BB76" s="124"/>
      <c r="BC76" s="124"/>
      <c r="BD76" s="123"/>
      <c r="BE76" s="121"/>
      <c r="BF76" s="124"/>
      <c r="BG76" s="124"/>
      <c r="BH76" s="123"/>
      <c r="BI76" s="121"/>
      <c r="BJ76" s="124"/>
      <c r="BK76" s="124"/>
      <c r="BL76" s="566"/>
      <c r="BM76" s="121"/>
      <c r="BN76" s="124"/>
      <c r="BO76" s="124"/>
      <c r="BP76" s="566"/>
      <c r="BQ76" s="158"/>
      <c r="BR76" s="434"/>
      <c r="BS76" s="434"/>
      <c r="BT76" s="443"/>
      <c r="BU76" s="173"/>
      <c r="BV76" s="215"/>
      <c r="BW76" s="444"/>
      <c r="BX76" s="223"/>
      <c r="BY76" s="158"/>
      <c r="BZ76" s="434"/>
      <c r="CA76" s="434"/>
      <c r="CB76" s="443"/>
      <c r="CC76" s="247"/>
      <c r="CD76" s="351"/>
      <c r="CE76" s="351"/>
      <c r="CF76" s="245"/>
      <c r="CG76" s="356"/>
      <c r="CH76" s="351"/>
      <c r="CI76" s="356"/>
      <c r="CJ76" s="246"/>
      <c r="CK76" s="567"/>
      <c r="CL76" s="352"/>
      <c r="CM76" s="567"/>
      <c r="CN76" s="567"/>
      <c r="CO76" s="567"/>
      <c r="CP76" s="567"/>
      <c r="CQ76" s="567"/>
      <c r="CR76" s="567"/>
      <c r="CS76" s="567"/>
      <c r="CT76" s="567"/>
      <c r="CU76" s="567"/>
      <c r="CV76" s="567"/>
      <c r="CW76" s="567"/>
      <c r="CX76" s="567"/>
      <c r="CY76" s="567"/>
      <c r="CZ76" s="567"/>
      <c r="DA76" s="567"/>
      <c r="DB76" s="567"/>
      <c r="DC76" s="567"/>
      <c r="DD76" s="567"/>
      <c r="DE76" s="568"/>
      <c r="DF76" s="115">
        <f>H76</f>
        <v>1150000</v>
      </c>
      <c r="DG76" s="115">
        <f>DF76*15%</f>
        <v>172500</v>
      </c>
      <c r="DH76" s="115">
        <f>DF76+DG76</f>
        <v>1322500</v>
      </c>
      <c r="DI76" s="1042">
        <f t="shared" si="15"/>
        <v>1150000</v>
      </c>
      <c r="DJ76" s="1043">
        <f>Detailed[[#This Row],[Column12]]+Detailed[[#This Row],[Column16]]+Detailed[[#This Row],[Column20]]+Detailed[[#This Row],[Column24]]+Detailed[[#This Row],[Column28]]+Detailed[[#This Row],[Column32]]+Detailed[[#This Row],[Column36]]+Detailed[[#This Row],[Column40]]</f>
        <v>1322500</v>
      </c>
      <c r="DK76" s="212">
        <v>1</v>
      </c>
      <c r="DL76" s="213">
        <f>DK76*DF76</f>
        <v>1150000</v>
      </c>
      <c r="DM76" s="376">
        <f>DL76-DI76</f>
        <v>0</v>
      </c>
      <c r="DN76" s="178"/>
      <c r="DO76" s="694">
        <f t="shared" si="14"/>
        <v>1150000</v>
      </c>
      <c r="DP76" s="694">
        <f>DO76-Detailed[[#This Row],[Column66]]</f>
        <v>0</v>
      </c>
      <c r="DQ76" s="694"/>
      <c r="DR76" s="179"/>
      <c r="DS76" s="231"/>
      <c r="DT76" s="179"/>
      <c r="DU76" s="179"/>
      <c r="DV76" s="179"/>
      <c r="DW76" s="179"/>
      <c r="DX76" s="179"/>
      <c r="DY76" s="179"/>
      <c r="DZ76" s="179"/>
      <c r="EA76" s="179"/>
      <c r="EB76" s="179"/>
      <c r="EC76" s="179"/>
      <c r="ED76" s="179"/>
      <c r="EE76" s="179"/>
      <c r="EF76" s="179"/>
      <c r="EG76" s="179"/>
      <c r="EH76" s="179"/>
      <c r="EI76" s="179"/>
      <c r="EJ76" s="179"/>
      <c r="EK76" s="179"/>
      <c r="EL76" s="179"/>
      <c r="EM76" s="179"/>
      <c r="EN76" s="179"/>
      <c r="EO76" s="179"/>
      <c r="EP76" s="179"/>
      <c r="EQ76" s="179"/>
      <c r="ER76" s="179"/>
      <c r="ES76" s="179"/>
      <c r="ET76" s="179"/>
      <c r="EU76" s="179"/>
      <c r="EV76" s="179"/>
      <c r="EW76" s="179"/>
      <c r="EX76" s="179"/>
      <c r="EY76" s="179"/>
      <c r="EZ76" s="179"/>
      <c r="FA76" s="179"/>
      <c r="FB76" s="179"/>
      <c r="FC76" s="179"/>
      <c r="FD76" s="179"/>
      <c r="FE76" s="179"/>
      <c r="FF76" s="179"/>
      <c r="FG76" s="179"/>
      <c r="FH76" s="179"/>
      <c r="FI76" s="179"/>
      <c r="FJ76" s="179"/>
      <c r="FK76" s="179"/>
      <c r="FL76" s="179"/>
      <c r="FM76" s="179"/>
      <c r="FN76" s="179"/>
      <c r="FO76" s="179"/>
      <c r="FP76" s="179"/>
      <c r="FQ76" s="179"/>
      <c r="FR76" s="179"/>
      <c r="FS76" s="179"/>
      <c r="FT76" s="179"/>
      <c r="FU76" s="179"/>
      <c r="FV76" s="179"/>
      <c r="FW76" s="179"/>
      <c r="FX76" s="179"/>
      <c r="FY76" s="179"/>
      <c r="FZ76" s="179"/>
      <c r="GA76" s="179"/>
      <c r="GB76" s="179"/>
      <c r="GC76" s="179"/>
      <c r="GD76" s="179"/>
      <c r="GE76" s="179"/>
      <c r="GF76" s="179"/>
      <c r="GG76" s="179"/>
      <c r="GH76" s="179"/>
      <c r="GI76" s="179"/>
      <c r="GJ76" s="179"/>
      <c r="GK76" s="179"/>
      <c r="GL76" s="179"/>
      <c r="GM76" s="179"/>
      <c r="GN76" s="179"/>
      <c r="GO76" s="179"/>
      <c r="GP76" s="179"/>
      <c r="GQ76" s="179"/>
      <c r="GR76" s="179"/>
      <c r="GS76" s="179"/>
      <c r="GT76" s="179"/>
      <c r="GU76" s="179"/>
      <c r="GV76" s="179"/>
      <c r="GW76" s="179"/>
      <c r="GX76" s="179"/>
      <c r="GY76" s="179"/>
      <c r="GZ76" s="179"/>
      <c r="HA76" s="179"/>
      <c r="HB76" s="179"/>
      <c r="HC76" s="179"/>
      <c r="HD76" s="179"/>
      <c r="HE76" s="179"/>
      <c r="HF76" s="179"/>
      <c r="HG76" s="179"/>
      <c r="HH76" s="179"/>
      <c r="HI76" s="179"/>
      <c r="HJ76" s="179"/>
      <c r="HK76" s="179"/>
      <c r="HL76" s="179"/>
      <c r="HM76" s="179"/>
      <c r="HN76" s="179"/>
      <c r="HO76" s="179"/>
      <c r="HP76" s="179"/>
      <c r="HQ76" s="179"/>
      <c r="HR76" s="179"/>
      <c r="HS76" s="179"/>
      <c r="HT76" s="179"/>
      <c r="HU76" s="179"/>
      <c r="HV76" s="179"/>
      <c r="HW76" s="179"/>
      <c r="HX76" s="179"/>
      <c r="HY76" s="179"/>
      <c r="HZ76" s="179"/>
      <c r="IA76" s="179"/>
      <c r="IB76" s="179"/>
      <c r="IC76" s="179"/>
      <c r="ID76" s="179"/>
      <c r="IE76" s="179"/>
      <c r="IF76" s="179"/>
      <c r="IG76" s="179"/>
      <c r="IH76" s="179"/>
      <c r="II76" s="179"/>
      <c r="IJ76" s="179"/>
      <c r="IK76" s="179"/>
      <c r="IL76" s="179"/>
      <c r="IM76" s="179"/>
      <c r="IN76" s="179"/>
      <c r="IO76" s="179"/>
      <c r="IP76" s="179"/>
      <c r="IQ76" s="179"/>
      <c r="IR76" s="179"/>
      <c r="IS76" s="179"/>
      <c r="IT76" s="179"/>
      <c r="IU76" s="179"/>
      <c r="IV76" s="179"/>
      <c r="IW76" s="179"/>
      <c r="IX76" s="179"/>
      <c r="IY76" s="179"/>
      <c r="IZ76" s="179"/>
      <c r="JA76" s="179"/>
      <c r="JB76" s="179"/>
      <c r="JC76" s="179"/>
      <c r="JD76" s="179"/>
      <c r="JE76" s="179"/>
      <c r="JF76" s="179"/>
      <c r="JG76" s="179"/>
      <c r="JH76" s="179"/>
      <c r="JI76" s="179"/>
    </row>
    <row r="77" spans="1:269" ht="16.8" thickTop="1" thickBot="1">
      <c r="A77" s="760" t="s">
        <v>234</v>
      </c>
      <c r="B77" s="777">
        <v>4</v>
      </c>
      <c r="C77" s="765" t="s">
        <v>532</v>
      </c>
      <c r="D77" s="779"/>
      <c r="E77" s="779"/>
      <c r="F77" s="780"/>
      <c r="G77" s="781"/>
      <c r="H77" s="782">
        <v>853820</v>
      </c>
      <c r="I77" s="783"/>
      <c r="J77" s="784"/>
      <c r="K77" s="784"/>
      <c r="L77" s="785"/>
      <c r="M77" s="786"/>
      <c r="N77" s="787"/>
      <c r="O77" s="787"/>
      <c r="P77" s="788"/>
      <c r="Q77" s="789"/>
      <c r="R77" s="790"/>
      <c r="S77" s="790"/>
      <c r="T77" s="791"/>
      <c r="U77" s="792"/>
      <c r="V77" s="791"/>
      <c r="W77" s="791"/>
      <c r="X77" s="788"/>
      <c r="Y77" s="792"/>
      <c r="Z77" s="791"/>
      <c r="AA77" s="791"/>
      <c r="AB77" s="788"/>
      <c r="AC77" s="792"/>
      <c r="AD77" s="791"/>
      <c r="AE77" s="791"/>
      <c r="AF77" s="788"/>
      <c r="AG77" s="792"/>
      <c r="AH77" s="784"/>
      <c r="AI77" s="784"/>
      <c r="AJ77" s="788"/>
      <c r="AK77" s="786"/>
      <c r="AL77" s="787"/>
      <c r="AM77" s="787"/>
      <c r="AN77" s="793"/>
      <c r="AO77" s="64">
        <v>45994</v>
      </c>
      <c r="AP77" s="795">
        <f>'EGEC - WAS'!M65</f>
        <v>284606.76</v>
      </c>
      <c r="AQ77" s="795">
        <f>Detailed[[#This Row],[Column42]]*15%</f>
        <v>42691.014000000003</v>
      </c>
      <c r="AR77" s="796">
        <f>Detailed[[#This Row],[Column42]]+Detailed[[#This Row],[Column43]]</f>
        <v>327297.77400000003</v>
      </c>
      <c r="AS77" s="794"/>
      <c r="AT77" s="795"/>
      <c r="AU77" s="795"/>
      <c r="AV77" s="796"/>
      <c r="AW77" s="794"/>
      <c r="AX77" s="795"/>
      <c r="AY77" s="795"/>
      <c r="AZ77" s="796"/>
      <c r="BA77" s="794"/>
      <c r="BB77" s="795"/>
      <c r="BC77" s="795"/>
      <c r="BD77" s="796"/>
      <c r="BE77" s="794"/>
      <c r="BF77" s="795"/>
      <c r="BG77" s="795"/>
      <c r="BH77" s="796"/>
      <c r="BI77" s="794"/>
      <c r="BJ77" s="795"/>
      <c r="BK77" s="795"/>
      <c r="BL77" s="797"/>
      <c r="BM77" s="794"/>
      <c r="BN77" s="795"/>
      <c r="BO77" s="795"/>
      <c r="BP77" s="797"/>
      <c r="BQ77" s="798"/>
      <c r="BR77" s="799"/>
      <c r="BS77" s="799"/>
      <c r="BT77" s="800"/>
      <c r="BU77" s="801"/>
      <c r="BV77" s="802"/>
      <c r="BW77" s="803"/>
      <c r="BX77" s="830"/>
      <c r="BY77" s="798"/>
      <c r="BZ77" s="799"/>
      <c r="CA77" s="799"/>
      <c r="CB77" s="800"/>
      <c r="CC77" s="247"/>
      <c r="CD77" s="351"/>
      <c r="CE77" s="351"/>
      <c r="CF77" s="245"/>
      <c r="CG77" s="356"/>
      <c r="CH77" s="351"/>
      <c r="CI77" s="356"/>
      <c r="CJ77" s="246"/>
      <c r="CK77" s="805"/>
      <c r="CL77" s="806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222"/>
      <c r="DF77" s="1090"/>
      <c r="DG77" s="1091"/>
      <c r="DH77" s="1091"/>
      <c r="DI77" s="1059">
        <f>SUMPRODUCT((MOD(COLUMN(I77:DD77)-COLUMN(I77),4)=1)*I77:DD77)</f>
        <v>284606.76</v>
      </c>
      <c r="DJ77" s="1059">
        <f>SUMPRODUCT((MOD(COLUMN(I77:DD77)-COLUMN(J77),4)=2)*I77:DD77)</f>
        <v>327297.77400000003</v>
      </c>
      <c r="DK77" s="1060"/>
      <c r="DL77" s="1061"/>
      <c r="DM77" s="1092"/>
      <c r="DN77" s="178"/>
      <c r="DO77" s="694">
        <f t="shared" si="14"/>
        <v>284606.76</v>
      </c>
      <c r="DP77" s="694">
        <f>DO77-Detailed[[#This Row],[Column66]]</f>
        <v>0</v>
      </c>
      <c r="DQ77" s="694">
        <v>1921555</v>
      </c>
      <c r="DR77" s="179"/>
      <c r="DS77" s="231">
        <f>DQ77-Detailed[[#This Row],[Column66]]</f>
        <v>1636948.24</v>
      </c>
      <c r="DT77" s="179"/>
      <c r="DU77" s="179"/>
      <c r="DV77" s="179"/>
      <c r="DW77" s="179"/>
      <c r="DX77" s="179"/>
      <c r="DY77" s="179"/>
      <c r="DZ77" s="179"/>
      <c r="EA77" s="179"/>
      <c r="EB77" s="179"/>
      <c r="EC77" s="179"/>
      <c r="ED77" s="179"/>
      <c r="EE77" s="179"/>
      <c r="EF77" s="179"/>
      <c r="EG77" s="179"/>
      <c r="EH77" s="179"/>
      <c r="EI77" s="179"/>
      <c r="EJ77" s="179"/>
      <c r="EK77" s="179"/>
      <c r="EL77" s="179"/>
      <c r="EM77" s="179"/>
      <c r="EN77" s="179"/>
      <c r="EO77" s="179"/>
      <c r="EP77" s="179"/>
      <c r="EQ77" s="179"/>
      <c r="ER77" s="179"/>
      <c r="ES77" s="179"/>
      <c r="ET77" s="179"/>
      <c r="EU77" s="179"/>
      <c r="EV77" s="179"/>
      <c r="EW77" s="179"/>
      <c r="EX77" s="179"/>
      <c r="EY77" s="179"/>
      <c r="EZ77" s="179"/>
      <c r="FA77" s="179"/>
      <c r="FB77" s="179"/>
      <c r="FC77" s="179"/>
      <c r="FD77" s="179"/>
      <c r="FE77" s="179"/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/>
      <c r="FQ77" s="179"/>
      <c r="FR77" s="179"/>
      <c r="FS77" s="179"/>
      <c r="FT77" s="179"/>
      <c r="FU77" s="179"/>
      <c r="FV77" s="179"/>
      <c r="FW77" s="179"/>
      <c r="FX77" s="179"/>
      <c r="FY77" s="179"/>
      <c r="FZ77" s="179"/>
      <c r="GA77" s="179"/>
      <c r="GB77" s="179"/>
      <c r="GC77" s="179"/>
      <c r="GD77" s="179"/>
      <c r="GE77" s="179"/>
      <c r="GF77" s="179"/>
      <c r="GG77" s="179"/>
      <c r="GH77" s="179"/>
      <c r="GI77" s="179"/>
      <c r="GJ77" s="179"/>
      <c r="GK77" s="179"/>
      <c r="GL77" s="179"/>
      <c r="GM77" s="179"/>
      <c r="GN77" s="179"/>
      <c r="GO77" s="179"/>
      <c r="GP77" s="179"/>
      <c r="GQ77" s="179"/>
      <c r="GR77" s="179"/>
      <c r="GS77" s="179"/>
      <c r="GT77" s="179"/>
      <c r="GU77" s="179"/>
      <c r="GV77" s="179"/>
      <c r="GW77" s="179"/>
      <c r="GX77" s="179"/>
      <c r="GY77" s="179"/>
      <c r="GZ77" s="179"/>
      <c r="HA77" s="179"/>
      <c r="HB77" s="179"/>
      <c r="HC77" s="179"/>
      <c r="HD77" s="179"/>
      <c r="HE77" s="179"/>
      <c r="HF77" s="179"/>
      <c r="HG77" s="179"/>
      <c r="HH77" s="179"/>
      <c r="HI77" s="179"/>
      <c r="HJ77" s="179"/>
      <c r="HK77" s="179"/>
      <c r="HL77" s="179"/>
      <c r="HM77" s="179"/>
      <c r="HN77" s="179"/>
      <c r="HO77" s="179"/>
      <c r="HP77" s="179"/>
      <c r="HQ77" s="179"/>
      <c r="HR77" s="179"/>
      <c r="HS77" s="179"/>
      <c r="HT77" s="179"/>
      <c r="HU77" s="179"/>
      <c r="HV77" s="179"/>
      <c r="HW77" s="179"/>
      <c r="HX77" s="179"/>
      <c r="HY77" s="179"/>
      <c r="HZ77" s="179"/>
      <c r="IA77" s="179"/>
      <c r="IB77" s="179"/>
      <c r="IC77" s="179"/>
      <c r="ID77" s="179"/>
      <c r="IE77" s="179"/>
      <c r="IF77" s="179"/>
      <c r="IG77" s="179"/>
      <c r="IH77" s="179"/>
      <c r="II77" s="179"/>
      <c r="IJ77" s="179"/>
      <c r="IK77" s="179"/>
      <c r="IL77" s="179"/>
      <c r="IM77" s="179"/>
      <c r="IN77" s="179"/>
      <c r="IO77" s="179"/>
      <c r="IP77" s="179"/>
      <c r="IQ77" s="179"/>
      <c r="IR77" s="179"/>
      <c r="IS77" s="179"/>
      <c r="IT77" s="179"/>
      <c r="IU77" s="179"/>
      <c r="IV77" s="179"/>
      <c r="IW77" s="179"/>
      <c r="IX77" s="179"/>
      <c r="IY77" s="179"/>
      <c r="IZ77" s="179"/>
      <c r="JA77" s="179"/>
      <c r="JB77" s="179"/>
      <c r="JC77" s="179"/>
      <c r="JD77" s="179"/>
      <c r="JE77" s="179"/>
      <c r="JF77" s="179"/>
      <c r="JG77" s="179"/>
      <c r="JH77" s="179"/>
      <c r="JI77" s="179"/>
    </row>
    <row r="78" spans="1:269" ht="18" customHeight="1" thickBot="1">
      <c r="A78" s="760" t="s">
        <v>234</v>
      </c>
      <c r="B78" s="754"/>
      <c r="C78" s="766"/>
      <c r="D78" s="767"/>
      <c r="E78" s="186"/>
      <c r="F78" s="187"/>
      <c r="G78" s="86"/>
      <c r="H78" s="87"/>
      <c r="I78" s="450"/>
      <c r="J78" s="345">
        <f>SUM(J73:J76)</f>
        <v>1726555</v>
      </c>
      <c r="K78" s="93"/>
      <c r="L78" s="345">
        <f>SUM(L73:L76)</f>
        <v>1985538.25</v>
      </c>
      <c r="M78" s="88"/>
      <c r="N78" s="345">
        <f>SUM(N74:N76)</f>
        <v>195000</v>
      </c>
      <c r="O78" s="203"/>
      <c r="P78" s="320">
        <f>SUM(P74:P76)</f>
        <v>224250</v>
      </c>
      <c r="Q78" s="90"/>
      <c r="R78" s="345">
        <f>SUM(R74:R76)</f>
        <v>1869204.6800000002</v>
      </c>
      <c r="S78" s="203"/>
      <c r="T78" s="320">
        <f>SUM(T74:T76)</f>
        <v>2149585.3820000002</v>
      </c>
      <c r="U78" s="91"/>
      <c r="V78" s="345">
        <f>SUM(V74:V76)</f>
        <v>838879</v>
      </c>
      <c r="W78" s="203"/>
      <c r="X78" s="320">
        <f>SUM(X74:X76)</f>
        <v>964710.85</v>
      </c>
      <c r="Y78" s="91"/>
      <c r="Z78" s="345">
        <f>SUM(Z74:Z76)</f>
        <v>336091</v>
      </c>
      <c r="AA78" s="203"/>
      <c r="AB78" s="320">
        <f>SUM(AB74:AB76)</f>
        <v>386504.65</v>
      </c>
      <c r="AC78" s="91"/>
      <c r="AD78" s="345">
        <f>SUM(AD74:AD77)</f>
        <v>221120.33000000002</v>
      </c>
      <c r="AE78" s="92"/>
      <c r="AF78" s="320">
        <f>SUM(AF73:AF77)</f>
        <v>254288.37950000001</v>
      </c>
      <c r="AG78" s="91"/>
      <c r="AH78" s="345">
        <f>SUM(AH75:AH77)</f>
        <v>460000</v>
      </c>
      <c r="AI78" s="93"/>
      <c r="AJ78" s="320">
        <f>SUM(AJ75:AJ77)</f>
        <v>529000</v>
      </c>
      <c r="AK78" s="88"/>
      <c r="AL78" s="320">
        <f>SUM(AL75:AL77)</f>
        <v>575000</v>
      </c>
      <c r="AM78" s="89"/>
      <c r="AN78" s="320">
        <f>SUM(AN75:AN77)</f>
        <v>661250</v>
      </c>
      <c r="AO78" s="451"/>
      <c r="AP78" s="320">
        <f>AP77</f>
        <v>284606.76</v>
      </c>
      <c r="AQ78" s="320">
        <f>AQ77</f>
        <v>42691.014000000003</v>
      </c>
      <c r="AR78" s="320">
        <f>AR77</f>
        <v>327297.77400000003</v>
      </c>
      <c r="AS78" s="451"/>
      <c r="AT78" s="452"/>
      <c r="AU78" s="452"/>
      <c r="AV78" s="453"/>
      <c r="AW78" s="451"/>
      <c r="AX78" s="452"/>
      <c r="AY78" s="452"/>
      <c r="AZ78" s="453"/>
      <c r="BA78" s="451"/>
      <c r="BB78" s="452"/>
      <c r="BC78" s="452"/>
      <c r="BD78" s="453"/>
      <c r="BE78" s="451"/>
      <c r="BF78" s="452"/>
      <c r="BG78" s="452"/>
      <c r="BH78" s="453"/>
      <c r="BI78" s="451"/>
      <c r="BJ78" s="452"/>
      <c r="BK78" s="452"/>
      <c r="BL78" s="454"/>
      <c r="BM78" s="451"/>
      <c r="BN78" s="452"/>
      <c r="BO78" s="452"/>
      <c r="BP78" s="454"/>
      <c r="BQ78" s="159"/>
      <c r="BR78" s="455"/>
      <c r="BS78" s="455"/>
      <c r="BT78" s="456"/>
      <c r="BU78" s="457"/>
      <c r="BV78" s="458"/>
      <c r="BW78" s="459"/>
      <c r="BX78" s="460"/>
      <c r="BY78" s="159"/>
      <c r="BZ78" s="455"/>
      <c r="CA78" s="455"/>
      <c r="CB78" s="456"/>
      <c r="CC78" s="249"/>
      <c r="CD78" s="353"/>
      <c r="CE78" s="353"/>
      <c r="CF78" s="360"/>
      <c r="CG78" s="358"/>
      <c r="CH78" s="353"/>
      <c r="CI78" s="358"/>
      <c r="CJ78" s="248"/>
      <c r="CK78" s="461"/>
      <c r="CL78" s="462"/>
      <c r="CM78" s="461"/>
      <c r="CN78" s="461"/>
      <c r="CO78" s="461"/>
      <c r="CP78" s="461"/>
      <c r="CQ78" s="461"/>
      <c r="CR78" s="461"/>
      <c r="CS78" s="461"/>
      <c r="CT78" s="461"/>
      <c r="CU78" s="461"/>
      <c r="CV78" s="461"/>
      <c r="CW78" s="461"/>
      <c r="CX78" s="461"/>
      <c r="CY78" s="461"/>
      <c r="CZ78" s="461"/>
      <c r="DA78" s="461"/>
      <c r="DB78" s="461"/>
      <c r="DC78" s="461"/>
      <c r="DD78" s="461"/>
      <c r="DE78" s="1034"/>
      <c r="DF78" s="1093">
        <f>SUM(DF74:DF77)</f>
        <v>6221850</v>
      </c>
      <c r="DG78" s="1094">
        <f>SUM(DG74:DG77)</f>
        <v>933277.5</v>
      </c>
      <c r="DH78" s="1094">
        <f>SUM(DH74:DH77)</f>
        <v>7155127.5</v>
      </c>
      <c r="DI78" s="1095">
        <f>SUM(J78,N78,R78,V78,Z78,AD78,AH78,AL78,AP78,AT78,AX78,BB78,BF78,BJ78,BN78,BR78,BV78,BZ78,CD78,CH78,CL78,CP78,CT78,CX78,DB78)</f>
        <v>6506456.7699999996</v>
      </c>
      <c r="DJ78" s="1095">
        <f>SUM(DJ74:DJ76)</f>
        <v>7155127.5115</v>
      </c>
      <c r="DK78" s="1096"/>
      <c r="DL78" s="1095">
        <f>SUM(DL74:DL76)</f>
        <v>6221850</v>
      </c>
      <c r="DM78" s="1097">
        <f>SUM(DM74:DM76)</f>
        <v>-9.9999997764825821E-3</v>
      </c>
      <c r="DN78" s="178"/>
      <c r="DO78" s="694">
        <f t="shared" si="14"/>
        <v>6506456.7699999996</v>
      </c>
      <c r="DP78" s="694">
        <f>DO78-Detailed[[#This Row],[Column66]]</f>
        <v>0</v>
      </c>
      <c r="DQ78" s="694"/>
      <c r="DR78" s="179"/>
      <c r="DS78" s="231">
        <f>DQ78-Detailed[[#This Row],[Column66]]</f>
        <v>-6506456.7699999996</v>
      </c>
      <c r="DT78" s="179"/>
      <c r="DU78" s="179"/>
      <c r="DV78" s="179"/>
      <c r="DW78" s="179"/>
      <c r="DX78" s="179"/>
      <c r="DY78" s="179"/>
      <c r="DZ78" s="179"/>
      <c r="EA78" s="179"/>
      <c r="EB78" s="179"/>
      <c r="EC78" s="179"/>
      <c r="ED78" s="179"/>
      <c r="EE78" s="179"/>
      <c r="EF78" s="179"/>
      <c r="EG78" s="179"/>
      <c r="EH78" s="179"/>
      <c r="EI78" s="179"/>
      <c r="EJ78" s="179"/>
      <c r="EK78" s="179"/>
      <c r="EL78" s="179"/>
      <c r="EM78" s="179"/>
      <c r="EN78" s="179"/>
      <c r="EO78" s="179"/>
      <c r="EP78" s="179"/>
      <c r="EQ78" s="179"/>
      <c r="ER78" s="179"/>
      <c r="ES78" s="179"/>
      <c r="ET78" s="179"/>
      <c r="EU78" s="179"/>
      <c r="EV78" s="179"/>
      <c r="EW78" s="179"/>
      <c r="EX78" s="179"/>
      <c r="EY78" s="179"/>
      <c r="EZ78" s="179"/>
      <c r="FA78" s="179"/>
      <c r="FB78" s="179"/>
      <c r="FC78" s="179"/>
      <c r="FD78" s="179"/>
      <c r="FE78" s="179"/>
      <c r="FF78" s="179"/>
      <c r="FG78" s="179"/>
      <c r="FH78" s="179"/>
      <c r="FI78" s="179"/>
      <c r="FJ78" s="179"/>
      <c r="FK78" s="179"/>
      <c r="FL78" s="179"/>
      <c r="FM78" s="179"/>
      <c r="FN78" s="179"/>
      <c r="FO78" s="179"/>
      <c r="FP78" s="179"/>
      <c r="FQ78" s="179"/>
      <c r="FR78" s="179"/>
      <c r="FS78" s="179"/>
      <c r="FT78" s="179"/>
      <c r="FU78" s="179"/>
      <c r="FV78" s="179"/>
      <c r="FW78" s="179"/>
      <c r="FX78" s="179"/>
      <c r="FY78" s="179"/>
      <c r="FZ78" s="179"/>
      <c r="GA78" s="179"/>
      <c r="GB78" s="179"/>
      <c r="GC78" s="179"/>
      <c r="GD78" s="179"/>
      <c r="GE78" s="179"/>
      <c r="GF78" s="179"/>
      <c r="GG78" s="179"/>
      <c r="GH78" s="179"/>
      <c r="GI78" s="179"/>
      <c r="GJ78" s="179"/>
      <c r="GK78" s="179"/>
      <c r="GL78" s="179"/>
      <c r="GM78" s="179"/>
      <c r="GN78" s="179"/>
      <c r="GO78" s="179"/>
      <c r="GP78" s="179"/>
      <c r="GQ78" s="179"/>
      <c r="GR78" s="179"/>
      <c r="GS78" s="179"/>
      <c r="GT78" s="179"/>
      <c r="GU78" s="179"/>
      <c r="GV78" s="179"/>
      <c r="GW78" s="179"/>
      <c r="GX78" s="179"/>
      <c r="GY78" s="179"/>
      <c r="GZ78" s="179"/>
      <c r="HA78" s="179"/>
      <c r="HB78" s="179"/>
      <c r="HC78" s="179"/>
      <c r="HD78" s="179"/>
      <c r="HE78" s="179"/>
      <c r="HF78" s="179"/>
      <c r="HG78" s="179"/>
      <c r="HH78" s="179"/>
      <c r="HI78" s="179"/>
      <c r="HJ78" s="179"/>
      <c r="HK78" s="179"/>
      <c r="HL78" s="179"/>
      <c r="HM78" s="179"/>
      <c r="HN78" s="179"/>
      <c r="HO78" s="179"/>
      <c r="HP78" s="179"/>
      <c r="HQ78" s="179"/>
      <c r="HR78" s="179"/>
      <c r="HS78" s="179"/>
      <c r="HT78" s="179"/>
      <c r="HU78" s="179"/>
      <c r="HV78" s="179"/>
      <c r="HW78" s="179"/>
      <c r="HX78" s="179"/>
      <c r="HY78" s="179"/>
      <c r="HZ78" s="179"/>
      <c r="IA78" s="179"/>
      <c r="IB78" s="179"/>
      <c r="IC78" s="179"/>
      <c r="ID78" s="179"/>
      <c r="IE78" s="179"/>
      <c r="IF78" s="179"/>
      <c r="IG78" s="179"/>
      <c r="IH78" s="179"/>
      <c r="II78" s="179"/>
      <c r="IJ78" s="179"/>
      <c r="IK78" s="179"/>
      <c r="IL78" s="179"/>
      <c r="IM78" s="179"/>
      <c r="IN78" s="179"/>
      <c r="IO78" s="179"/>
      <c r="IP78" s="179"/>
      <c r="IQ78" s="179"/>
      <c r="IR78" s="179"/>
      <c r="IS78" s="179"/>
      <c r="IT78" s="179"/>
      <c r="IU78" s="179"/>
      <c r="IV78" s="179"/>
      <c r="IW78" s="179"/>
      <c r="IX78" s="179"/>
      <c r="IY78" s="179"/>
      <c r="IZ78" s="179"/>
      <c r="JA78" s="179"/>
      <c r="JB78" s="179"/>
      <c r="JC78" s="179"/>
      <c r="JD78" s="179"/>
      <c r="JE78" s="179"/>
      <c r="JF78" s="179"/>
      <c r="JG78" s="179"/>
      <c r="JH78" s="179"/>
      <c r="JI78" s="179"/>
    </row>
    <row r="79" spans="1:269" ht="32.4" customHeight="1" thickTop="1">
      <c r="A79" s="761" t="s">
        <v>233</v>
      </c>
      <c r="B79" s="38"/>
      <c r="C79" s="769"/>
      <c r="D79" s="180"/>
      <c r="E79" s="180"/>
      <c r="F79" s="180"/>
      <c r="G79" s="463" t="s">
        <v>306</v>
      </c>
      <c r="H79" s="98">
        <f>F13</f>
        <v>7025000</v>
      </c>
      <c r="I79" s="127"/>
      <c r="J79" s="46"/>
      <c r="K79" s="46"/>
      <c r="L79" s="119"/>
      <c r="M79" s="52"/>
      <c r="N79" s="53"/>
      <c r="O79" s="53"/>
      <c r="P79" s="47"/>
      <c r="Q79" s="120"/>
      <c r="R79" s="131"/>
      <c r="S79" s="131"/>
      <c r="T79" s="51"/>
      <c r="U79" s="50"/>
      <c r="V79" s="51"/>
      <c r="W79" s="51"/>
      <c r="X79" s="47"/>
      <c r="Y79" s="50"/>
      <c r="Z79" s="51"/>
      <c r="AA79" s="51"/>
      <c r="AB79" s="47"/>
      <c r="AC79" s="50"/>
      <c r="AD79" s="51"/>
      <c r="AE79" s="51"/>
      <c r="AF79" s="47"/>
      <c r="AG79" s="50"/>
      <c r="AH79" s="46"/>
      <c r="AI79" s="46"/>
      <c r="AJ79" s="47"/>
      <c r="AK79" s="52"/>
      <c r="AL79" s="53"/>
      <c r="AM79" s="53"/>
      <c r="AN79" s="118"/>
      <c r="AO79" s="445"/>
      <c r="AP79" s="446"/>
      <c r="AQ79" s="446"/>
      <c r="AR79" s="447"/>
      <c r="AS79" s="445"/>
      <c r="AT79" s="446"/>
      <c r="AU79" s="446"/>
      <c r="AV79" s="447"/>
      <c r="AW79" s="445"/>
      <c r="AX79" s="446"/>
      <c r="AY79" s="446"/>
      <c r="AZ79" s="447"/>
      <c r="BA79" s="445"/>
      <c r="BB79" s="446"/>
      <c r="BC79" s="446"/>
      <c r="BD79" s="447"/>
      <c r="BE79" s="445"/>
      <c r="BF79" s="446"/>
      <c r="BG79" s="446"/>
      <c r="BH79" s="447"/>
      <c r="BI79" s="445"/>
      <c r="BJ79" s="446"/>
      <c r="BK79" s="446"/>
      <c r="BL79" s="448"/>
      <c r="BM79" s="445"/>
      <c r="BN79" s="446"/>
      <c r="BO79" s="446"/>
      <c r="BP79" s="448"/>
      <c r="BQ79" s="158"/>
      <c r="BR79" s="434"/>
      <c r="BS79" s="434"/>
      <c r="BT79" s="443"/>
      <c r="BU79" s="173"/>
      <c r="BV79" s="215"/>
      <c r="BW79" s="444"/>
      <c r="BX79" s="223"/>
      <c r="BY79" s="158"/>
      <c r="BZ79" s="434"/>
      <c r="CA79" s="434"/>
      <c r="CB79" s="443"/>
      <c r="CC79" s="247"/>
      <c r="CD79" s="351"/>
      <c r="CE79" s="351"/>
      <c r="CF79" s="245"/>
      <c r="CG79" s="356"/>
      <c r="CH79" s="351"/>
      <c r="CI79" s="356"/>
      <c r="CJ79" s="246"/>
      <c r="CK79" s="311"/>
      <c r="CL79" s="352"/>
      <c r="CM79" s="311"/>
      <c r="CN79" s="311"/>
      <c r="CO79" s="311"/>
      <c r="CP79" s="311"/>
      <c r="CQ79" s="311"/>
      <c r="CR79" s="311"/>
      <c r="CS79" s="311"/>
      <c r="CT79" s="311"/>
      <c r="CU79" s="311"/>
      <c r="CV79" s="311"/>
      <c r="CW79" s="311"/>
      <c r="CX79" s="311"/>
      <c r="CY79" s="311"/>
      <c r="CZ79" s="311"/>
      <c r="DA79" s="311"/>
      <c r="DB79" s="311"/>
      <c r="DC79" s="311"/>
      <c r="DD79" s="311"/>
      <c r="DE79" s="161"/>
      <c r="DF79" s="128"/>
      <c r="DG79" s="128"/>
      <c r="DH79" s="128"/>
      <c r="DI79" s="391">
        <f>SUM(J79,N79,R79,V79,Z79,AD79,AH79,AL79,AP79,AT79,AX79,BB79,BF79,BJ79,BN79,BR79,BV79,BZ79,CD79,CH79,CL79,CP79,CT79,CX79,DB79)</f>
        <v>0</v>
      </c>
      <c r="DJ79" s="128"/>
      <c r="DK79" s="183"/>
      <c r="DL79" s="184"/>
      <c r="DM79" s="129"/>
      <c r="DN79" s="178"/>
      <c r="DO79" s="694">
        <f t="shared" si="14"/>
        <v>0</v>
      </c>
      <c r="DP79" s="694">
        <f>DO79-Detailed[[#This Row],[Column66]]</f>
        <v>0</v>
      </c>
      <c r="DQ79" s="694">
        <v>1999999.85</v>
      </c>
      <c r="DR79" s="179"/>
      <c r="DS79" s="231">
        <f>DQ79-Detailed[[#This Row],[Column66]]</f>
        <v>1999999.85</v>
      </c>
      <c r="DT79" s="179"/>
      <c r="DU79" s="179"/>
      <c r="DV79" s="179"/>
      <c r="DW79" s="179"/>
      <c r="DX79" s="179"/>
      <c r="DY79" s="179"/>
      <c r="DZ79" s="179"/>
      <c r="EA79" s="179"/>
      <c r="EB79" s="179"/>
      <c r="EC79" s="179"/>
      <c r="ED79" s="179"/>
      <c r="EE79" s="179"/>
      <c r="EF79" s="179"/>
      <c r="EG79" s="179"/>
      <c r="EH79" s="179"/>
      <c r="EI79" s="179"/>
      <c r="EJ79" s="179"/>
      <c r="EK79" s="179"/>
      <c r="EL79" s="179"/>
      <c r="EM79" s="179"/>
      <c r="EN79" s="179"/>
      <c r="EO79" s="179"/>
      <c r="EP79" s="179"/>
      <c r="EQ79" s="179"/>
      <c r="ER79" s="179"/>
      <c r="ES79" s="179"/>
      <c r="ET79" s="179"/>
      <c r="EU79" s="179"/>
      <c r="EV79" s="179"/>
      <c r="EW79" s="179"/>
      <c r="EX79" s="179"/>
      <c r="EY79" s="179"/>
      <c r="EZ79" s="179"/>
      <c r="FA79" s="179"/>
      <c r="FB79" s="179"/>
      <c r="FC79" s="179"/>
      <c r="FD79" s="179"/>
      <c r="FE79" s="179"/>
      <c r="FF79" s="179"/>
      <c r="FG79" s="179"/>
      <c r="FH79" s="179"/>
      <c r="FI79" s="179"/>
      <c r="FJ79" s="179"/>
      <c r="FK79" s="179"/>
      <c r="FL79" s="179"/>
      <c r="FM79" s="179"/>
      <c r="FN79" s="179"/>
      <c r="FO79" s="179"/>
      <c r="FP79" s="179"/>
      <c r="FQ79" s="179"/>
      <c r="FR79" s="179"/>
      <c r="FS79" s="179"/>
      <c r="FT79" s="179"/>
      <c r="FU79" s="179"/>
      <c r="FV79" s="179"/>
      <c r="FW79" s="179"/>
      <c r="FX79" s="179"/>
      <c r="FY79" s="179"/>
      <c r="FZ79" s="179"/>
      <c r="GA79" s="179"/>
      <c r="GB79" s="179"/>
      <c r="GC79" s="179"/>
      <c r="GD79" s="179"/>
      <c r="GE79" s="179"/>
      <c r="GF79" s="179"/>
      <c r="GG79" s="179"/>
      <c r="GH79" s="179"/>
      <c r="GI79" s="179"/>
      <c r="GJ79" s="179"/>
      <c r="GK79" s="179"/>
      <c r="GL79" s="179"/>
      <c r="GM79" s="179"/>
      <c r="GN79" s="179"/>
      <c r="GO79" s="179"/>
      <c r="GP79" s="179"/>
      <c r="GQ79" s="179"/>
      <c r="GR79" s="179"/>
      <c r="GS79" s="179"/>
      <c r="GT79" s="179"/>
      <c r="GU79" s="179"/>
      <c r="GV79" s="179"/>
      <c r="GW79" s="179"/>
      <c r="GX79" s="179"/>
      <c r="GY79" s="179"/>
      <c r="GZ79" s="179"/>
      <c r="HA79" s="179"/>
      <c r="HB79" s="179"/>
      <c r="HC79" s="179"/>
      <c r="HD79" s="179"/>
      <c r="HE79" s="179"/>
      <c r="HF79" s="179"/>
      <c r="HG79" s="179"/>
      <c r="HH79" s="179"/>
      <c r="HI79" s="179"/>
      <c r="HJ79" s="179"/>
      <c r="HK79" s="179"/>
      <c r="HL79" s="179"/>
      <c r="HM79" s="179"/>
      <c r="HN79" s="179"/>
      <c r="HO79" s="179"/>
      <c r="HP79" s="179"/>
      <c r="HQ79" s="179"/>
      <c r="HR79" s="179"/>
      <c r="HS79" s="179"/>
      <c r="HT79" s="179"/>
      <c r="HU79" s="179"/>
      <c r="HV79" s="179"/>
      <c r="HW79" s="179"/>
      <c r="HX79" s="179"/>
      <c r="HY79" s="179"/>
      <c r="HZ79" s="179"/>
      <c r="IA79" s="179"/>
      <c r="IB79" s="179"/>
      <c r="IC79" s="179"/>
      <c r="ID79" s="179"/>
      <c r="IE79" s="179"/>
      <c r="IF79" s="179"/>
      <c r="IG79" s="179"/>
      <c r="IH79" s="179"/>
      <c r="II79" s="179"/>
      <c r="IJ79" s="179"/>
      <c r="IK79" s="179"/>
      <c r="IL79" s="179"/>
      <c r="IM79" s="179"/>
      <c r="IN79" s="179"/>
      <c r="IO79" s="179"/>
      <c r="IP79" s="179"/>
      <c r="IQ79" s="179"/>
      <c r="IR79" s="179"/>
      <c r="IS79" s="179"/>
      <c r="IT79" s="179"/>
      <c r="IU79" s="179"/>
      <c r="IV79" s="179"/>
      <c r="IW79" s="179"/>
      <c r="IX79" s="179"/>
      <c r="IY79" s="179"/>
      <c r="IZ79" s="179"/>
      <c r="JA79" s="179"/>
      <c r="JB79" s="179"/>
      <c r="JC79" s="179"/>
      <c r="JD79" s="179"/>
      <c r="JE79" s="179"/>
      <c r="JF79" s="179"/>
      <c r="JG79" s="179"/>
      <c r="JH79" s="179"/>
      <c r="JI79" s="179"/>
    </row>
    <row r="80" spans="1:269" ht="16.2" thickBot="1">
      <c r="A80" s="146" t="s">
        <v>233</v>
      </c>
      <c r="B80" s="57">
        <v>1</v>
      </c>
      <c r="C80" s="765" t="s">
        <v>289</v>
      </c>
      <c r="D80" s="176"/>
      <c r="E80" s="141"/>
      <c r="F80" s="142"/>
      <c r="G80" s="58"/>
      <c r="H80" s="59">
        <v>7025000</v>
      </c>
      <c r="I80" s="318">
        <v>45684</v>
      </c>
      <c r="J80" s="55">
        <f>'ENGICON-RDH4'!F11</f>
        <v>1999999.85</v>
      </c>
      <c r="K80" s="202">
        <f>J80*15%</f>
        <v>299999.97749999998</v>
      </c>
      <c r="L80" s="67">
        <f>J80+K80</f>
        <v>2299999.8275000001</v>
      </c>
      <c r="M80" s="318">
        <v>45839</v>
      </c>
      <c r="N80" s="65">
        <f>'ENGICON-RDH4'!H11</f>
        <v>2350000</v>
      </c>
      <c r="O80" s="202">
        <f>N80*15%</f>
        <v>352500</v>
      </c>
      <c r="P80" s="47">
        <f>N80+O80</f>
        <v>2702500</v>
      </c>
      <c r="Q80" s="318">
        <v>45848</v>
      </c>
      <c r="R80" s="69">
        <f>'ENGICON-RDH4'!J11</f>
        <v>2675000</v>
      </c>
      <c r="S80" s="202">
        <f>R80*15%</f>
        <v>401250</v>
      </c>
      <c r="T80" s="47">
        <f>R80+S80</f>
        <v>3076250</v>
      </c>
      <c r="U80" s="54"/>
      <c r="V80" s="63"/>
      <c r="W80" s="63"/>
      <c r="X80" s="56"/>
      <c r="Y80" s="54"/>
      <c r="Z80" s="63"/>
      <c r="AA80" s="63"/>
      <c r="AB80" s="56"/>
      <c r="AC80" s="54"/>
      <c r="AD80" s="63"/>
      <c r="AE80" s="63"/>
      <c r="AF80" s="56"/>
      <c r="AG80" s="54"/>
      <c r="AH80" s="55"/>
      <c r="AI80" s="55"/>
      <c r="AJ80" s="56"/>
      <c r="AK80" s="64"/>
      <c r="AL80" s="65"/>
      <c r="AM80" s="65"/>
      <c r="AN80" s="125"/>
      <c r="AO80" s="123"/>
      <c r="AP80" s="124"/>
      <c r="AQ80" s="124"/>
      <c r="AR80" s="121"/>
      <c r="AS80" s="123"/>
      <c r="AT80" s="124"/>
      <c r="AU80" s="124"/>
      <c r="AV80" s="121"/>
      <c r="AW80" s="123"/>
      <c r="AX80" s="124"/>
      <c r="AY80" s="124"/>
      <c r="AZ80" s="121"/>
      <c r="BA80" s="123"/>
      <c r="BB80" s="124"/>
      <c r="BC80" s="124"/>
      <c r="BD80" s="121"/>
      <c r="BE80" s="123"/>
      <c r="BF80" s="124"/>
      <c r="BG80" s="124"/>
      <c r="BH80" s="121"/>
      <c r="BI80" s="123"/>
      <c r="BJ80" s="124"/>
      <c r="BK80" s="124"/>
      <c r="BL80" s="122"/>
      <c r="BM80" s="123"/>
      <c r="BN80" s="124"/>
      <c r="BO80" s="124"/>
      <c r="BP80" s="122"/>
      <c r="BQ80" s="158"/>
      <c r="BR80" s="434"/>
      <c r="BS80" s="434"/>
      <c r="BT80" s="443"/>
      <c r="BU80" s="173"/>
      <c r="BV80" s="215"/>
      <c r="BW80" s="444"/>
      <c r="BX80" s="205"/>
      <c r="BY80" s="158"/>
      <c r="BZ80" s="434"/>
      <c r="CA80" s="434"/>
      <c r="CB80" s="443"/>
      <c r="CC80" s="247"/>
      <c r="CD80" s="351"/>
      <c r="CE80" s="351"/>
      <c r="CF80" s="245"/>
      <c r="CG80" s="356"/>
      <c r="CH80" s="351"/>
      <c r="CI80" s="356"/>
      <c r="CJ80" s="246"/>
      <c r="CK80" s="311"/>
      <c r="CL80" s="352"/>
      <c r="CM80" s="311"/>
      <c r="CN80" s="311"/>
      <c r="CO80" s="311"/>
      <c r="CP80" s="311"/>
      <c r="CQ80" s="311"/>
      <c r="CR80" s="311"/>
      <c r="CS80" s="311"/>
      <c r="CT80" s="311"/>
      <c r="CU80" s="311"/>
      <c r="CV80" s="311"/>
      <c r="CW80" s="311"/>
      <c r="CX80" s="311"/>
      <c r="CY80" s="311"/>
      <c r="CZ80" s="311"/>
      <c r="DA80" s="311"/>
      <c r="DB80" s="311"/>
      <c r="DC80" s="311"/>
      <c r="DD80" s="311"/>
      <c r="DE80" s="161"/>
      <c r="DF80" s="126">
        <f>H80</f>
        <v>7025000</v>
      </c>
      <c r="DG80" s="126">
        <f>DF80*15%</f>
        <v>1053750</v>
      </c>
      <c r="DH80" s="126">
        <f>DF80+DG80</f>
        <v>8078750</v>
      </c>
      <c r="DI80" s="391">
        <f>SUM(J80,N80,R80,V80,Z80,AD80,AH80,AL80,AP80,AT80,AX80,BB80,BF80,BJ80,BN80,BR80,BV80,BZ80,CD80,CH80,CL80,CP80,CT80,CX80,DB80)</f>
        <v>7024999.8499999996</v>
      </c>
      <c r="DJ80" s="128">
        <f>Detailed[[#This Row],[Column12]]</f>
        <v>2299999.8275000001</v>
      </c>
      <c r="DK80" s="153">
        <v>1</v>
      </c>
      <c r="DL80" s="154">
        <f>DK80*DF80</f>
        <v>7025000</v>
      </c>
      <c r="DM80" s="376">
        <f>DL80-DI80</f>
        <v>0.15000000037252903</v>
      </c>
      <c r="DN80" s="178"/>
      <c r="DO80" s="694">
        <f t="shared" si="14"/>
        <v>7024999.8499999996</v>
      </c>
      <c r="DP80" s="694">
        <f>DO80-Detailed[[#This Row],[Column66]]</f>
        <v>0</v>
      </c>
      <c r="DQ80" s="694">
        <v>1999999.85</v>
      </c>
      <c r="DR80" s="179"/>
      <c r="DS80" s="231">
        <f>DQ80-Detailed[[#This Row],[Column66]]</f>
        <v>-5025000</v>
      </c>
      <c r="DT80" s="179"/>
      <c r="DU80" s="179"/>
      <c r="DV80" s="179"/>
      <c r="DW80" s="179"/>
      <c r="DX80" s="179"/>
      <c r="DY80" s="179"/>
      <c r="DZ80" s="179"/>
      <c r="EA80" s="179"/>
      <c r="EB80" s="179"/>
      <c r="EC80" s="179"/>
      <c r="ED80" s="179"/>
      <c r="EE80" s="179"/>
      <c r="EF80" s="179"/>
      <c r="EG80" s="179"/>
      <c r="EH80" s="179"/>
      <c r="EI80" s="179"/>
      <c r="EJ80" s="179"/>
      <c r="EK80" s="179"/>
      <c r="EL80" s="179"/>
      <c r="EM80" s="179"/>
      <c r="EN80" s="179"/>
      <c r="EO80" s="179"/>
      <c r="EP80" s="179"/>
      <c r="EQ80" s="179"/>
      <c r="ER80" s="179"/>
      <c r="ES80" s="179"/>
      <c r="ET80" s="179"/>
      <c r="EU80" s="179"/>
      <c r="EV80" s="179"/>
      <c r="EW80" s="179"/>
      <c r="EX80" s="179"/>
      <c r="EY80" s="179"/>
      <c r="EZ80" s="179"/>
      <c r="FA80" s="179"/>
      <c r="FB80" s="179"/>
      <c r="FC80" s="179"/>
      <c r="FD80" s="179"/>
      <c r="FE80" s="179"/>
      <c r="FF80" s="179"/>
      <c r="FG80" s="179"/>
      <c r="FH80" s="179"/>
      <c r="FI80" s="179"/>
      <c r="FJ80" s="179"/>
      <c r="FK80" s="179"/>
      <c r="FL80" s="179"/>
      <c r="FM80" s="179"/>
      <c r="FN80" s="179"/>
      <c r="FO80" s="179"/>
      <c r="FP80" s="179"/>
      <c r="FQ80" s="179"/>
      <c r="FR80" s="179"/>
      <c r="FS80" s="179"/>
      <c r="FT80" s="179"/>
      <c r="FU80" s="179"/>
      <c r="FV80" s="179"/>
      <c r="FW80" s="179"/>
      <c r="FX80" s="179"/>
      <c r="FY80" s="179"/>
      <c r="FZ80" s="179"/>
      <c r="GA80" s="179"/>
      <c r="GB80" s="179"/>
      <c r="GC80" s="179"/>
      <c r="GD80" s="179"/>
      <c r="GE80" s="179"/>
      <c r="GF80" s="179"/>
      <c r="GG80" s="179"/>
      <c r="GH80" s="179"/>
      <c r="GI80" s="179"/>
      <c r="GJ80" s="179"/>
      <c r="GK80" s="179"/>
      <c r="GL80" s="179"/>
      <c r="GM80" s="179"/>
      <c r="GN80" s="179"/>
      <c r="GO80" s="179"/>
      <c r="GP80" s="179"/>
      <c r="GQ80" s="179"/>
      <c r="GR80" s="179"/>
      <c r="GS80" s="179"/>
      <c r="GT80" s="179"/>
      <c r="GU80" s="179"/>
      <c r="GV80" s="179"/>
      <c r="GW80" s="179"/>
      <c r="GX80" s="179"/>
      <c r="GY80" s="179"/>
      <c r="GZ80" s="179"/>
      <c r="HA80" s="179"/>
      <c r="HB80" s="179"/>
      <c r="HC80" s="179"/>
      <c r="HD80" s="179"/>
      <c r="HE80" s="179"/>
      <c r="HF80" s="179"/>
      <c r="HG80" s="179"/>
      <c r="HH80" s="179"/>
      <c r="HI80" s="179"/>
      <c r="HJ80" s="179"/>
      <c r="HK80" s="179"/>
      <c r="HL80" s="179"/>
      <c r="HM80" s="179"/>
      <c r="HN80" s="179"/>
      <c r="HO80" s="179"/>
      <c r="HP80" s="179"/>
      <c r="HQ80" s="179"/>
      <c r="HR80" s="179"/>
      <c r="HS80" s="179"/>
      <c r="HT80" s="179"/>
      <c r="HU80" s="179"/>
      <c r="HV80" s="179"/>
      <c r="HW80" s="179"/>
      <c r="HX80" s="179"/>
      <c r="HY80" s="179"/>
      <c r="HZ80" s="179"/>
      <c r="IA80" s="179"/>
      <c r="IB80" s="179"/>
      <c r="IC80" s="179"/>
      <c r="ID80" s="179"/>
      <c r="IE80" s="179"/>
      <c r="IF80" s="179"/>
      <c r="IG80" s="179"/>
      <c r="IH80" s="179"/>
      <c r="II80" s="179"/>
      <c r="IJ80" s="179"/>
      <c r="IK80" s="179"/>
      <c r="IL80" s="179"/>
      <c r="IM80" s="179"/>
      <c r="IN80" s="179"/>
      <c r="IO80" s="179"/>
      <c r="IP80" s="179"/>
      <c r="IQ80" s="179"/>
      <c r="IR80" s="179"/>
      <c r="IS80" s="179"/>
      <c r="IT80" s="179"/>
      <c r="IU80" s="179"/>
      <c r="IV80" s="179"/>
      <c r="IW80" s="179"/>
      <c r="IX80" s="179"/>
      <c r="IY80" s="179"/>
      <c r="IZ80" s="179"/>
      <c r="JA80" s="179"/>
      <c r="JB80" s="179"/>
      <c r="JC80" s="179"/>
      <c r="JD80" s="179"/>
      <c r="JE80" s="179"/>
      <c r="JF80" s="179"/>
      <c r="JG80" s="179"/>
      <c r="JH80" s="179"/>
      <c r="JI80" s="179"/>
    </row>
    <row r="81" spans="1:269" ht="17.399999999999999" customHeight="1" thickBot="1">
      <c r="A81" s="755" t="s">
        <v>233</v>
      </c>
      <c r="B81" s="70"/>
      <c r="C81" s="766"/>
      <c r="D81" s="767"/>
      <c r="E81" s="767"/>
      <c r="F81" s="772"/>
      <c r="G81" s="73"/>
      <c r="H81" s="74"/>
      <c r="I81" s="75"/>
      <c r="J81" s="82"/>
      <c r="K81" s="82"/>
      <c r="L81" s="76"/>
      <c r="M81" s="77"/>
      <c r="N81" s="78"/>
      <c r="O81" s="78"/>
      <c r="P81" s="62"/>
      <c r="Q81" s="79"/>
      <c r="R81" s="80"/>
      <c r="S81" s="80"/>
      <c r="T81" s="61"/>
      <c r="U81" s="81"/>
      <c r="V81" s="61"/>
      <c r="W81" s="61"/>
      <c r="X81" s="62"/>
      <c r="Y81" s="81"/>
      <c r="Z81" s="61"/>
      <c r="AA81" s="61"/>
      <c r="AB81" s="62"/>
      <c r="AC81" s="81"/>
      <c r="AD81" s="61"/>
      <c r="AE81" s="61"/>
      <c r="AF81" s="62"/>
      <c r="AG81" s="81"/>
      <c r="AH81" s="82"/>
      <c r="AI81" s="82"/>
      <c r="AJ81" s="62"/>
      <c r="AK81" s="77"/>
      <c r="AL81" s="78"/>
      <c r="AM81" s="78"/>
      <c r="AN81" s="492"/>
      <c r="AO81" s="493"/>
      <c r="AP81" s="494"/>
      <c r="AQ81" s="494"/>
      <c r="AR81" s="495"/>
      <c r="AS81" s="493"/>
      <c r="AT81" s="494"/>
      <c r="AU81" s="494"/>
      <c r="AV81" s="495"/>
      <c r="AW81" s="493"/>
      <c r="AX81" s="494"/>
      <c r="AY81" s="494"/>
      <c r="AZ81" s="495"/>
      <c r="BA81" s="493"/>
      <c r="BB81" s="494"/>
      <c r="BC81" s="494"/>
      <c r="BD81" s="495"/>
      <c r="BE81" s="493"/>
      <c r="BF81" s="494"/>
      <c r="BG81" s="494"/>
      <c r="BH81" s="495"/>
      <c r="BI81" s="493"/>
      <c r="BJ81" s="494"/>
      <c r="BK81" s="494"/>
      <c r="BL81" s="496"/>
      <c r="BM81" s="493"/>
      <c r="BN81" s="494"/>
      <c r="BO81" s="494"/>
      <c r="BP81" s="496"/>
      <c r="BQ81" s="158"/>
      <c r="BR81" s="434"/>
      <c r="BS81" s="434"/>
      <c r="BT81" s="443"/>
      <c r="BU81" s="173"/>
      <c r="BV81" s="215"/>
      <c r="BW81" s="444"/>
      <c r="BX81" s="205"/>
      <c r="BY81" s="158"/>
      <c r="BZ81" s="434"/>
      <c r="CA81" s="434"/>
      <c r="CB81" s="443"/>
      <c r="CC81" s="247"/>
      <c r="CD81" s="351"/>
      <c r="CE81" s="351"/>
      <c r="CF81" s="245"/>
      <c r="CG81" s="356"/>
      <c r="CH81" s="351"/>
      <c r="CI81" s="356"/>
      <c r="CJ81" s="246"/>
      <c r="CK81" s="311"/>
      <c r="CL81" s="352"/>
      <c r="CM81" s="311"/>
      <c r="CN81" s="311"/>
      <c r="CO81" s="311"/>
      <c r="CP81" s="311"/>
      <c r="CQ81" s="311"/>
      <c r="CR81" s="311"/>
      <c r="CS81" s="311"/>
      <c r="CT81" s="311"/>
      <c r="CU81" s="311"/>
      <c r="CV81" s="311"/>
      <c r="CW81" s="311"/>
      <c r="CX81" s="311"/>
      <c r="CY81" s="311"/>
      <c r="CZ81" s="311"/>
      <c r="DA81" s="311"/>
      <c r="DB81" s="311"/>
      <c r="DC81" s="311"/>
      <c r="DD81" s="311"/>
      <c r="DE81" s="172"/>
      <c r="DF81" s="1040">
        <f>SUM(DF79:DF80)</f>
        <v>7025000</v>
      </c>
      <c r="DG81" s="1040">
        <f>SUM(DG79:DG80)</f>
        <v>1053750</v>
      </c>
      <c r="DH81" s="1040">
        <f>SUM(DH79:DH80)</f>
        <v>8078750</v>
      </c>
      <c r="DI81" s="1040">
        <f>SUM(DI79:DI80)</f>
        <v>7024999.8499999996</v>
      </c>
      <c r="DJ81" s="1040">
        <f>SUM(DJ79:DJ80)</f>
        <v>2299999.8275000001</v>
      </c>
      <c r="DK81" s="1044"/>
      <c r="DL81" s="1040">
        <f>SUM(DL79:DL80)</f>
        <v>7025000</v>
      </c>
      <c r="DM81" s="1040">
        <f>SUM(DM79:DM80)</f>
        <v>0.15000000037252903</v>
      </c>
      <c r="DN81" s="178"/>
      <c r="DO81" s="694">
        <f t="shared" si="14"/>
        <v>0</v>
      </c>
      <c r="DP81" s="694">
        <f>DO81-Detailed[[#This Row],[Column66]]</f>
        <v>-7024999.8499999996</v>
      </c>
      <c r="DQ81" s="694"/>
      <c r="DR81" s="179"/>
      <c r="DS81" s="231">
        <f>DQ81-Detailed[[#This Row],[Column66]]</f>
        <v>-7024999.8499999996</v>
      </c>
      <c r="DT81" s="179"/>
      <c r="DU81" s="179"/>
      <c r="DV81" s="179"/>
      <c r="DW81" s="179"/>
      <c r="DX81" s="179"/>
      <c r="DY81" s="179"/>
      <c r="DZ81" s="179"/>
      <c r="EA81" s="179"/>
      <c r="EB81" s="179"/>
      <c r="EC81" s="179"/>
      <c r="ED81" s="179"/>
      <c r="EE81" s="179"/>
      <c r="EF81" s="179"/>
      <c r="EG81" s="179"/>
      <c r="EH81" s="179"/>
      <c r="EI81" s="179"/>
      <c r="EJ81" s="179"/>
      <c r="EK81" s="179"/>
      <c r="EL81" s="179"/>
      <c r="EM81" s="179"/>
      <c r="EN81" s="179"/>
      <c r="EO81" s="179"/>
      <c r="EP81" s="179"/>
      <c r="EQ81" s="179"/>
      <c r="ER81" s="179"/>
      <c r="ES81" s="179"/>
      <c r="ET81" s="179"/>
      <c r="EU81" s="179"/>
      <c r="EV81" s="179"/>
      <c r="EW81" s="179"/>
      <c r="EX81" s="179"/>
      <c r="EY81" s="179"/>
      <c r="EZ81" s="179"/>
      <c r="FA81" s="179"/>
      <c r="FB81" s="179"/>
      <c r="FC81" s="179"/>
      <c r="FD81" s="179"/>
      <c r="FE81" s="179"/>
      <c r="FF81" s="179"/>
      <c r="FG81" s="179"/>
      <c r="FH81" s="179"/>
      <c r="FI81" s="179"/>
      <c r="FJ81" s="179"/>
      <c r="FK81" s="179"/>
      <c r="FL81" s="179"/>
      <c r="FM81" s="179"/>
      <c r="FN81" s="179"/>
      <c r="FO81" s="179"/>
      <c r="FP81" s="179"/>
      <c r="FQ81" s="179"/>
      <c r="FR81" s="179"/>
      <c r="FS81" s="179"/>
      <c r="FT81" s="179"/>
      <c r="FU81" s="179"/>
      <c r="FV81" s="179"/>
      <c r="FW81" s="179"/>
      <c r="FX81" s="179"/>
      <c r="FY81" s="179"/>
      <c r="FZ81" s="179"/>
      <c r="GA81" s="179"/>
      <c r="GB81" s="179"/>
      <c r="GC81" s="179"/>
      <c r="GD81" s="179"/>
      <c r="GE81" s="179"/>
      <c r="GF81" s="179"/>
      <c r="GG81" s="179"/>
      <c r="GH81" s="179"/>
      <c r="GI81" s="179"/>
      <c r="GJ81" s="179"/>
      <c r="GK81" s="179"/>
      <c r="GL81" s="179"/>
      <c r="GM81" s="179"/>
      <c r="GN81" s="179"/>
      <c r="GO81" s="179"/>
      <c r="GP81" s="179"/>
      <c r="GQ81" s="179"/>
      <c r="GR81" s="179"/>
      <c r="GS81" s="179"/>
      <c r="GT81" s="179"/>
      <c r="GU81" s="179"/>
      <c r="GV81" s="179"/>
      <c r="GW81" s="179"/>
      <c r="GX81" s="179"/>
      <c r="GY81" s="179"/>
      <c r="GZ81" s="179"/>
      <c r="HA81" s="179"/>
      <c r="HB81" s="179"/>
      <c r="HC81" s="179"/>
      <c r="HD81" s="179"/>
      <c r="HE81" s="179"/>
      <c r="HF81" s="179"/>
      <c r="HG81" s="179"/>
      <c r="HH81" s="179"/>
      <c r="HI81" s="179"/>
      <c r="HJ81" s="179"/>
      <c r="HK81" s="179"/>
      <c r="HL81" s="179"/>
      <c r="HM81" s="179"/>
      <c r="HN81" s="179"/>
      <c r="HO81" s="179"/>
      <c r="HP81" s="179"/>
      <c r="HQ81" s="179"/>
      <c r="HR81" s="179"/>
      <c r="HS81" s="179"/>
      <c r="HT81" s="179"/>
      <c r="HU81" s="179"/>
      <c r="HV81" s="179"/>
      <c r="HW81" s="179"/>
      <c r="HX81" s="179"/>
      <c r="HY81" s="179"/>
      <c r="HZ81" s="179"/>
      <c r="IA81" s="179"/>
      <c r="IB81" s="179"/>
      <c r="IC81" s="179"/>
      <c r="ID81" s="179"/>
      <c r="IE81" s="179"/>
      <c r="IF81" s="179"/>
      <c r="IG81" s="179"/>
      <c r="IH81" s="179"/>
      <c r="II81" s="179"/>
      <c r="IJ81" s="179"/>
      <c r="IK81" s="179"/>
      <c r="IL81" s="179"/>
      <c r="IM81" s="179"/>
      <c r="IN81" s="179"/>
      <c r="IO81" s="179"/>
      <c r="IP81" s="179"/>
      <c r="IQ81" s="179"/>
      <c r="IR81" s="179"/>
      <c r="IS81" s="179"/>
      <c r="IT81" s="179"/>
      <c r="IU81" s="179"/>
      <c r="IV81" s="179"/>
      <c r="IW81" s="179"/>
      <c r="IX81" s="179"/>
      <c r="IY81" s="179"/>
      <c r="IZ81" s="179"/>
      <c r="JA81" s="179"/>
      <c r="JB81" s="179"/>
      <c r="JC81" s="179"/>
      <c r="JD81" s="179"/>
      <c r="JE81" s="179"/>
      <c r="JF81" s="179"/>
      <c r="JG81" s="179"/>
      <c r="JH81" s="179"/>
      <c r="JI81" s="179"/>
    </row>
    <row r="82" spans="1:269" ht="16.8" thickTop="1" thickBot="1">
      <c r="A82" s="762" t="s">
        <v>236</v>
      </c>
      <c r="B82" s="771"/>
      <c r="C82" s="180"/>
      <c r="D82" s="180"/>
      <c r="E82" s="180"/>
      <c r="F82" s="775"/>
      <c r="G82" s="773" t="s">
        <v>313</v>
      </c>
      <c r="H82" s="774">
        <f>F14</f>
        <v>59999685.82</v>
      </c>
      <c r="I82" s="498"/>
      <c r="J82" s="100"/>
      <c r="K82" s="499"/>
      <c r="L82" s="117"/>
      <c r="M82" s="102"/>
      <c r="N82" s="103"/>
      <c r="O82" s="105"/>
      <c r="P82" s="110"/>
      <c r="Q82" s="105"/>
      <c r="R82" s="106"/>
      <c r="S82" s="106"/>
      <c r="T82" s="109"/>
      <c r="U82" s="108"/>
      <c r="V82" s="109"/>
      <c r="W82" s="109"/>
      <c r="X82" s="110"/>
      <c r="Y82" s="108"/>
      <c r="Z82" s="109"/>
      <c r="AA82" s="109"/>
      <c r="AB82" s="110"/>
      <c r="AC82" s="108"/>
      <c r="AD82" s="109"/>
      <c r="AE82" s="109"/>
      <c r="AF82" s="110"/>
      <c r="AG82" s="108"/>
      <c r="AH82" s="100"/>
      <c r="AI82" s="100"/>
      <c r="AJ82" s="110"/>
      <c r="AK82" s="102"/>
      <c r="AL82" s="103"/>
      <c r="AM82" s="103"/>
      <c r="AN82" s="500"/>
      <c r="AO82" s="501"/>
      <c r="AP82" s="502"/>
      <c r="AQ82" s="502"/>
      <c r="AR82" s="503"/>
      <c r="AS82" s="501"/>
      <c r="AT82" s="502"/>
      <c r="AU82" s="502"/>
      <c r="AV82" s="503"/>
      <c r="AW82" s="501"/>
      <c r="AX82" s="502"/>
      <c r="AY82" s="502"/>
      <c r="AZ82" s="503"/>
      <c r="BA82" s="501"/>
      <c r="BB82" s="502"/>
      <c r="BC82" s="502"/>
      <c r="BD82" s="503"/>
      <c r="BE82" s="501"/>
      <c r="BF82" s="502"/>
      <c r="BG82" s="502"/>
      <c r="BH82" s="503"/>
      <c r="BI82" s="501"/>
      <c r="BJ82" s="502"/>
      <c r="BK82" s="502"/>
      <c r="BL82" s="504"/>
      <c r="BM82" s="501"/>
      <c r="BN82" s="502"/>
      <c r="BO82" s="502"/>
      <c r="BP82" s="503"/>
      <c r="BQ82" s="505"/>
      <c r="BR82" s="348"/>
      <c r="BS82" s="348"/>
      <c r="BT82" s="506"/>
      <c r="BU82" s="108"/>
      <c r="BV82" s="507"/>
      <c r="BW82" s="100"/>
      <c r="BX82" s="206"/>
      <c r="BY82" s="505"/>
      <c r="BZ82" s="348"/>
      <c r="CA82" s="348"/>
      <c r="CB82" s="506"/>
      <c r="CC82" s="508"/>
      <c r="CD82" s="354"/>
      <c r="CE82" s="354"/>
      <c r="CF82" s="509"/>
      <c r="CG82" s="355"/>
      <c r="CH82" s="354"/>
      <c r="CI82" s="355"/>
      <c r="CJ82" s="510"/>
      <c r="CK82" s="355"/>
      <c r="CL82" s="354"/>
      <c r="CM82" s="355"/>
      <c r="CN82" s="510"/>
      <c r="CO82" s="510"/>
      <c r="CP82" s="510"/>
      <c r="CQ82" s="510"/>
      <c r="CR82" s="510"/>
      <c r="CS82" s="510"/>
      <c r="CT82" s="510"/>
      <c r="CU82" s="510"/>
      <c r="CV82" s="510"/>
      <c r="CW82" s="510"/>
      <c r="CX82" s="510"/>
      <c r="CY82" s="510"/>
      <c r="CZ82" s="510"/>
      <c r="DA82" s="510"/>
      <c r="DB82" s="510"/>
      <c r="DC82" s="510"/>
      <c r="DD82" s="510"/>
      <c r="DE82" s="1035"/>
      <c r="DF82" s="1057"/>
      <c r="DG82" s="1058"/>
      <c r="DH82" s="1058"/>
      <c r="DI82" s="1059">
        <f t="shared" ref="DI82" si="16">SUM(J82,N82,R82,V82,Z82,AD82,AH82,AL82,AP82,AT82,AX82,BB82,BF82,BJ82,BN82,BR82,BV82,BZ82,CD82,CH82,CL82,CP82,CT82,CX82,DB82)</f>
        <v>0</v>
      </c>
      <c r="DJ82" s="1058">
        <f>L82+P82+T82+X82+AB82+AF82+AJ82+AN82+AR82+Detailed[[#This Row],[Column48]]+Detailed[[#This Row],[Column52]]+Detailed[[#This Row],[Column56]]+Detailed[[#This Row],[Column60]]+Detailed[[#This Row],[Column64]]+Detailed[[#This Row],[Column71]]+Detailed[[#This Row],[Column75]]+Detailed[[#This Row],[Column80]]</f>
        <v>0</v>
      </c>
      <c r="DK82" s="1060"/>
      <c r="DL82" s="1061"/>
      <c r="DM82" s="1098"/>
      <c r="DN82" s="178"/>
      <c r="DO82" s="694">
        <f t="shared" si="14"/>
        <v>0</v>
      </c>
      <c r="DP82" s="694">
        <f>DO82-Detailed[[#This Row],[Column66]]</f>
        <v>0</v>
      </c>
      <c r="DQ82" s="694"/>
      <c r="DR82" s="179"/>
      <c r="DS82" s="231">
        <f>DQ82-Detailed[[#This Row],[Column66]]</f>
        <v>0</v>
      </c>
      <c r="DT82" s="179"/>
      <c r="DU82" s="179"/>
      <c r="DV82" s="179"/>
      <c r="DW82" s="179"/>
      <c r="DX82" s="179"/>
      <c r="DY82" s="179"/>
      <c r="DZ82" s="179"/>
      <c r="EA82" s="179"/>
      <c r="EB82" s="179"/>
      <c r="EC82" s="179"/>
      <c r="ED82" s="179"/>
      <c r="EE82" s="179"/>
      <c r="EF82" s="179"/>
      <c r="EG82" s="179"/>
      <c r="EH82" s="179"/>
      <c r="EI82" s="179"/>
      <c r="EJ82" s="179"/>
      <c r="EK82" s="179"/>
      <c r="EL82" s="179"/>
      <c r="EM82" s="179"/>
      <c r="EN82" s="179"/>
      <c r="EO82" s="179"/>
      <c r="EP82" s="179"/>
      <c r="EQ82" s="179"/>
      <c r="ER82" s="179"/>
      <c r="ES82" s="179"/>
      <c r="ET82" s="179"/>
      <c r="EU82" s="179"/>
      <c r="EV82" s="179"/>
      <c r="EW82" s="179"/>
      <c r="EX82" s="179"/>
      <c r="EY82" s="179"/>
      <c r="EZ82" s="179"/>
      <c r="FA82" s="179"/>
      <c r="FB82" s="179"/>
      <c r="FC82" s="179"/>
      <c r="FD82" s="179"/>
      <c r="FE82" s="179"/>
      <c r="FF82" s="179"/>
      <c r="FG82" s="179"/>
      <c r="FH82" s="179"/>
      <c r="FI82" s="179"/>
      <c r="FJ82" s="179"/>
      <c r="FK82" s="179"/>
      <c r="FL82" s="179"/>
      <c r="FM82" s="179"/>
      <c r="FN82" s="179"/>
      <c r="FO82" s="179"/>
      <c r="FP82" s="179"/>
      <c r="FQ82" s="179"/>
      <c r="FR82" s="179"/>
      <c r="FS82" s="179"/>
      <c r="FT82" s="179"/>
      <c r="FU82" s="179"/>
      <c r="FV82" s="179"/>
      <c r="FW82" s="179"/>
      <c r="FX82" s="179"/>
      <c r="FY82" s="179"/>
      <c r="FZ82" s="179"/>
      <c r="GA82" s="179"/>
      <c r="GB82" s="179"/>
      <c r="GC82" s="179"/>
      <c r="GD82" s="179"/>
      <c r="GE82" s="179"/>
      <c r="GF82" s="179"/>
      <c r="GG82" s="179"/>
      <c r="GH82" s="179"/>
      <c r="GI82" s="179"/>
      <c r="GJ82" s="179"/>
      <c r="GK82" s="179"/>
      <c r="GL82" s="179"/>
      <c r="GM82" s="179"/>
      <c r="GN82" s="179"/>
      <c r="GO82" s="179"/>
      <c r="GP82" s="179"/>
      <c r="GQ82" s="179"/>
      <c r="GR82" s="179"/>
      <c r="GS82" s="179"/>
      <c r="GT82" s="179"/>
      <c r="GU82" s="179"/>
      <c r="GV82" s="179"/>
      <c r="GW82" s="179"/>
      <c r="GX82" s="179"/>
      <c r="GY82" s="179"/>
      <c r="GZ82" s="179"/>
      <c r="HA82" s="179"/>
      <c r="HB82" s="179"/>
      <c r="HC82" s="179"/>
      <c r="HD82" s="179"/>
      <c r="HE82" s="179"/>
      <c r="HF82" s="179"/>
      <c r="HG82" s="179"/>
      <c r="HH82" s="179"/>
      <c r="HI82" s="179"/>
      <c r="HJ82" s="179"/>
      <c r="HK82" s="179"/>
      <c r="HL82" s="179"/>
      <c r="HM82" s="179"/>
      <c r="HN82" s="179"/>
      <c r="HO82" s="179"/>
      <c r="HP82" s="179"/>
      <c r="HQ82" s="179"/>
      <c r="HR82" s="179"/>
      <c r="HS82" s="179"/>
      <c r="HT82" s="179"/>
      <c r="HU82" s="179"/>
      <c r="HV82" s="179"/>
      <c r="HW82" s="179"/>
      <c r="HX82" s="179"/>
      <c r="HY82" s="179"/>
      <c r="HZ82" s="179"/>
      <c r="IA82" s="179"/>
      <c r="IB82" s="179"/>
      <c r="IC82" s="179"/>
      <c r="ID82" s="179"/>
      <c r="IE82" s="179"/>
      <c r="IF82" s="179"/>
      <c r="IG82" s="179"/>
      <c r="IH82" s="179"/>
      <c r="II82" s="179"/>
      <c r="IJ82" s="179"/>
      <c r="IK82" s="179"/>
      <c r="IL82" s="179"/>
      <c r="IM82" s="179"/>
      <c r="IN82" s="179"/>
      <c r="IO82" s="179"/>
      <c r="IP82" s="179"/>
      <c r="IQ82" s="179"/>
      <c r="IR82" s="179"/>
      <c r="IS82" s="179"/>
      <c r="IT82" s="179"/>
      <c r="IU82" s="179"/>
      <c r="IV82" s="179"/>
      <c r="IW82" s="179"/>
      <c r="IX82" s="179"/>
      <c r="IY82" s="179"/>
      <c r="IZ82" s="179"/>
      <c r="JA82" s="179"/>
      <c r="JB82" s="179"/>
      <c r="JC82" s="179"/>
      <c r="JD82" s="179"/>
      <c r="JE82" s="179"/>
      <c r="JF82" s="179"/>
      <c r="JG82" s="179"/>
      <c r="JH82" s="179"/>
      <c r="JI82" s="179"/>
    </row>
    <row r="83" spans="1:269" ht="16.8" thickTop="1" thickBot="1">
      <c r="A83" s="756" t="s">
        <v>236</v>
      </c>
      <c r="B83" s="750"/>
      <c r="C83" s="570"/>
      <c r="D83" s="763"/>
      <c r="E83" s="763"/>
      <c r="F83" s="764"/>
      <c r="G83" s="465"/>
      <c r="H83" s="470">
        <v>1</v>
      </c>
      <c r="I83" s="318">
        <v>45645</v>
      </c>
      <c r="J83" s="471">
        <v>40768</v>
      </c>
      <c r="K83" s="202">
        <f t="shared" ref="K83:K96" si="17">J83*15%</f>
        <v>6115.2</v>
      </c>
      <c r="L83" s="67">
        <f t="shared" ref="L83:L96" si="18">J83+K83</f>
        <v>46883.199999999997</v>
      </c>
      <c r="M83" s="472"/>
      <c r="N83" s="473"/>
      <c r="O83" s="473"/>
      <c r="P83" s="474"/>
      <c r="Q83" s="475"/>
      <c r="R83" s="476"/>
      <c r="S83" s="476"/>
      <c r="T83" s="477"/>
      <c r="U83" s="478"/>
      <c r="V83" s="477"/>
      <c r="W83" s="477"/>
      <c r="X83" s="474"/>
      <c r="Y83" s="478"/>
      <c r="Z83" s="477"/>
      <c r="AA83" s="477"/>
      <c r="AB83" s="474"/>
      <c r="AC83" s="478"/>
      <c r="AD83" s="477"/>
      <c r="AE83" s="477"/>
      <c r="AF83" s="474"/>
      <c r="AG83" s="478"/>
      <c r="AH83" s="471"/>
      <c r="AI83" s="471"/>
      <c r="AJ83" s="474"/>
      <c r="AK83" s="472"/>
      <c r="AL83" s="473"/>
      <c r="AM83" s="473"/>
      <c r="AN83" s="479"/>
      <c r="AO83" s="480"/>
      <c r="AP83" s="481"/>
      <c r="AQ83" s="481"/>
      <c r="AR83" s="482"/>
      <c r="AS83" s="480"/>
      <c r="AT83" s="481"/>
      <c r="AU83" s="481"/>
      <c r="AV83" s="482"/>
      <c r="AW83" s="480"/>
      <c r="AX83" s="481"/>
      <c r="AY83" s="481"/>
      <c r="AZ83" s="482"/>
      <c r="BA83" s="480"/>
      <c r="BB83" s="481"/>
      <c r="BC83" s="481"/>
      <c r="BD83" s="482"/>
      <c r="BE83" s="480"/>
      <c r="BF83" s="481"/>
      <c r="BG83" s="481"/>
      <c r="BH83" s="482"/>
      <c r="BI83" s="480"/>
      <c r="BJ83" s="481"/>
      <c r="BK83" s="481"/>
      <c r="BL83" s="483"/>
      <c r="BM83" s="480"/>
      <c r="BN83" s="481"/>
      <c r="BO83" s="481"/>
      <c r="BP83" s="483"/>
      <c r="BQ83" s="466"/>
      <c r="BR83" s="484"/>
      <c r="BS83" s="484"/>
      <c r="BT83" s="485"/>
      <c r="BU83" s="486"/>
      <c r="BV83" s="467"/>
      <c r="BW83" s="487"/>
      <c r="BX83" s="488"/>
      <c r="BY83" s="466"/>
      <c r="BZ83" s="484"/>
      <c r="CA83" s="484"/>
      <c r="CB83" s="485"/>
      <c r="CC83" s="247"/>
      <c r="CD83" s="351"/>
      <c r="CE83" s="351"/>
      <c r="CF83" s="245"/>
      <c r="CG83" s="356"/>
      <c r="CH83" s="351"/>
      <c r="CI83" s="356"/>
      <c r="CJ83" s="246"/>
      <c r="CK83" s="489"/>
      <c r="CL83" s="490"/>
      <c r="CM83" s="489"/>
      <c r="CN83" s="489"/>
      <c r="CO83" s="489"/>
      <c r="CP83" s="489"/>
      <c r="CQ83" s="489"/>
      <c r="CR83" s="489"/>
      <c r="CS83" s="489"/>
      <c r="CT83" s="489"/>
      <c r="CU83" s="489"/>
      <c r="CV83" s="489"/>
      <c r="CW83" s="489"/>
      <c r="CX83" s="489"/>
      <c r="CY83" s="489"/>
      <c r="CZ83" s="489"/>
      <c r="DA83" s="489"/>
      <c r="DB83" s="489"/>
      <c r="DC83" s="489"/>
      <c r="DD83" s="489"/>
      <c r="DE83" s="1033"/>
      <c r="DF83" s="1099"/>
      <c r="DG83" s="468"/>
      <c r="DH83" s="468"/>
      <c r="DI83" s="1059">
        <f t="shared" ref="DI83:DI97" si="19">SUMPRODUCT((MOD(COLUMN(I83:DD83)-COLUMN(I83),4)=1)*I83:DD83)</f>
        <v>40768</v>
      </c>
      <c r="DJ83" s="1059">
        <f t="shared" ref="DJ83:DJ97" si="20">SUMPRODUCT((MOD(COLUMN(I83:DD83)-COLUMN(J83),4)=2)*I83:DD83)</f>
        <v>46883.199999999997</v>
      </c>
      <c r="DK83" s="153"/>
      <c r="DL83" s="154"/>
      <c r="DM83" s="1100"/>
      <c r="DN83" s="178"/>
      <c r="DO83" s="694">
        <f t="shared" si="14"/>
        <v>40768</v>
      </c>
      <c r="DP83" s="694">
        <f>DO83-Detailed[[#This Row],[Column66]]</f>
        <v>0</v>
      </c>
      <c r="DQ83" s="694"/>
      <c r="DR83" s="179"/>
      <c r="DS83" s="231">
        <f>DQ83-Detailed[[#This Row],[Column66]]</f>
        <v>-40768</v>
      </c>
      <c r="DT83" s="179"/>
      <c r="DU83" s="179"/>
      <c r="DV83" s="179"/>
      <c r="DW83" s="179"/>
      <c r="DX83" s="179"/>
      <c r="DY83" s="179"/>
      <c r="DZ83" s="179"/>
      <c r="EA83" s="179"/>
      <c r="EB83" s="179"/>
      <c r="EC83" s="179"/>
      <c r="ED83" s="179"/>
      <c r="EE83" s="179"/>
      <c r="EF83" s="179"/>
      <c r="EG83" s="179"/>
      <c r="EH83" s="179"/>
      <c r="EI83" s="179"/>
      <c r="EJ83" s="179"/>
      <c r="EK83" s="179"/>
      <c r="EL83" s="179"/>
      <c r="EM83" s="179"/>
      <c r="EN83" s="179"/>
      <c r="EO83" s="179"/>
      <c r="EP83" s="179"/>
      <c r="EQ83" s="179"/>
      <c r="ER83" s="179"/>
      <c r="ES83" s="179"/>
      <c r="ET83" s="179"/>
      <c r="EU83" s="179"/>
      <c r="EV83" s="179"/>
      <c r="EW83" s="179"/>
      <c r="EX83" s="179"/>
      <c r="EY83" s="179"/>
      <c r="EZ83" s="179"/>
      <c r="FA83" s="179"/>
      <c r="FB83" s="179"/>
      <c r="FC83" s="179"/>
      <c r="FD83" s="179"/>
      <c r="FE83" s="179"/>
      <c r="FF83" s="179"/>
      <c r="FG83" s="179"/>
      <c r="FH83" s="179"/>
      <c r="FI83" s="179"/>
      <c r="FJ83" s="179"/>
      <c r="FK83" s="179"/>
      <c r="FL83" s="179"/>
      <c r="FM83" s="179"/>
      <c r="FN83" s="179"/>
      <c r="FO83" s="179"/>
      <c r="FP83" s="179"/>
      <c r="FQ83" s="179"/>
      <c r="FR83" s="179"/>
      <c r="FS83" s="179"/>
      <c r="FT83" s="179"/>
      <c r="FU83" s="179"/>
      <c r="FV83" s="179"/>
      <c r="FW83" s="179"/>
      <c r="FX83" s="179"/>
      <c r="FY83" s="179"/>
      <c r="FZ83" s="179"/>
      <c r="GA83" s="179"/>
      <c r="GB83" s="179"/>
      <c r="GC83" s="179"/>
      <c r="GD83" s="179"/>
      <c r="GE83" s="179"/>
      <c r="GF83" s="179"/>
      <c r="GG83" s="179"/>
      <c r="GH83" s="179"/>
      <c r="GI83" s="179"/>
      <c r="GJ83" s="179"/>
      <c r="GK83" s="179"/>
      <c r="GL83" s="179"/>
      <c r="GM83" s="179"/>
      <c r="GN83" s="179"/>
      <c r="GO83" s="179"/>
      <c r="GP83" s="179"/>
      <c r="GQ83" s="179"/>
      <c r="GR83" s="179"/>
      <c r="GS83" s="179"/>
      <c r="GT83" s="179"/>
      <c r="GU83" s="179"/>
      <c r="GV83" s="179"/>
      <c r="GW83" s="179"/>
      <c r="GX83" s="179"/>
      <c r="GY83" s="179"/>
      <c r="GZ83" s="179"/>
      <c r="HA83" s="179"/>
      <c r="HB83" s="179"/>
      <c r="HC83" s="179"/>
      <c r="HD83" s="179"/>
      <c r="HE83" s="179"/>
      <c r="HF83" s="179"/>
      <c r="HG83" s="179"/>
      <c r="HH83" s="179"/>
      <c r="HI83" s="179"/>
      <c r="HJ83" s="179"/>
      <c r="HK83" s="179"/>
      <c r="HL83" s="179"/>
      <c r="HM83" s="179"/>
      <c r="HN83" s="179"/>
      <c r="HO83" s="179"/>
      <c r="HP83" s="179"/>
      <c r="HQ83" s="179"/>
      <c r="HR83" s="179"/>
      <c r="HS83" s="179"/>
      <c r="HT83" s="179"/>
      <c r="HU83" s="179"/>
      <c r="HV83" s="179"/>
      <c r="HW83" s="179"/>
      <c r="HX83" s="179"/>
      <c r="HY83" s="179"/>
      <c r="HZ83" s="179"/>
      <c r="IA83" s="179"/>
      <c r="IB83" s="179"/>
      <c r="IC83" s="179"/>
      <c r="ID83" s="179"/>
      <c r="IE83" s="179"/>
      <c r="IF83" s="179"/>
      <c r="IG83" s="179"/>
      <c r="IH83" s="179"/>
      <c r="II83" s="179"/>
      <c r="IJ83" s="179"/>
      <c r="IK83" s="179"/>
      <c r="IL83" s="179"/>
      <c r="IM83" s="179"/>
      <c r="IN83" s="179"/>
      <c r="IO83" s="179"/>
      <c r="IP83" s="179"/>
      <c r="IQ83" s="179"/>
      <c r="IR83" s="179"/>
      <c r="IS83" s="179"/>
      <c r="IT83" s="179"/>
      <c r="IU83" s="179"/>
      <c r="IV83" s="179"/>
      <c r="IW83" s="179"/>
      <c r="IX83" s="179"/>
      <c r="IY83" s="179"/>
      <c r="IZ83" s="179"/>
      <c r="JA83" s="179"/>
      <c r="JB83" s="179"/>
      <c r="JC83" s="179"/>
      <c r="JD83" s="179"/>
      <c r="JE83" s="179"/>
      <c r="JF83" s="179"/>
      <c r="JG83" s="179"/>
      <c r="JH83" s="179"/>
      <c r="JI83" s="179"/>
    </row>
    <row r="84" spans="1:269" ht="16.8" thickTop="1" thickBot="1">
      <c r="A84" s="756" t="s">
        <v>236</v>
      </c>
      <c r="B84" s="751"/>
      <c r="C84" s="570"/>
      <c r="D84" s="571"/>
      <c r="E84" s="571"/>
      <c r="F84" s="572"/>
      <c r="G84" s="573"/>
      <c r="H84" s="470">
        <v>2</v>
      </c>
      <c r="I84" s="318">
        <v>45645</v>
      </c>
      <c r="J84" s="575">
        <v>866679.33</v>
      </c>
      <c r="K84" s="202">
        <f t="shared" si="17"/>
        <v>130001.89949999998</v>
      </c>
      <c r="L84" s="67">
        <f t="shared" si="18"/>
        <v>996681.2294999999</v>
      </c>
      <c r="M84" s="576"/>
      <c r="N84" s="577"/>
      <c r="O84" s="577"/>
      <c r="P84" s="578"/>
      <c r="Q84" s="579"/>
      <c r="R84" s="580"/>
      <c r="S84" s="580"/>
      <c r="T84" s="581"/>
      <c r="U84" s="582"/>
      <c r="V84" s="581"/>
      <c r="W84" s="581"/>
      <c r="X84" s="578"/>
      <c r="Y84" s="582"/>
      <c r="Z84" s="581"/>
      <c r="AA84" s="581"/>
      <c r="AB84" s="578"/>
      <c r="AC84" s="582"/>
      <c r="AD84" s="581"/>
      <c r="AE84" s="581"/>
      <c r="AF84" s="578"/>
      <c r="AG84" s="582"/>
      <c r="AH84" s="575"/>
      <c r="AI84" s="575"/>
      <c r="AJ84" s="578"/>
      <c r="AK84" s="576"/>
      <c r="AL84" s="577"/>
      <c r="AM84" s="577"/>
      <c r="AN84" s="583"/>
      <c r="AO84" s="584"/>
      <c r="AP84" s="585"/>
      <c r="AQ84" s="585"/>
      <c r="AR84" s="586"/>
      <c r="AS84" s="584"/>
      <c r="AT84" s="585"/>
      <c r="AU84" s="585"/>
      <c r="AV84" s="586"/>
      <c r="AW84" s="584"/>
      <c r="AX84" s="585"/>
      <c r="AY84" s="585"/>
      <c r="AZ84" s="586"/>
      <c r="BA84" s="584"/>
      <c r="BB84" s="585"/>
      <c r="BC84" s="585"/>
      <c r="BD84" s="586"/>
      <c r="BE84" s="584"/>
      <c r="BF84" s="585"/>
      <c r="BG84" s="585"/>
      <c r="BH84" s="586"/>
      <c r="BI84" s="584"/>
      <c r="BJ84" s="585"/>
      <c r="BK84" s="585"/>
      <c r="BL84" s="587"/>
      <c r="BM84" s="584"/>
      <c r="BN84" s="585"/>
      <c r="BO84" s="585"/>
      <c r="BP84" s="587"/>
      <c r="BQ84" s="588"/>
      <c r="BR84" s="589"/>
      <c r="BS84" s="589"/>
      <c r="BT84" s="590"/>
      <c r="BU84" s="591"/>
      <c r="BV84" s="592"/>
      <c r="BW84" s="593"/>
      <c r="BX84" s="594"/>
      <c r="BY84" s="588"/>
      <c r="BZ84" s="589"/>
      <c r="CA84" s="589"/>
      <c r="CB84" s="590"/>
      <c r="CC84" s="247"/>
      <c r="CD84" s="351"/>
      <c r="CE84" s="351"/>
      <c r="CF84" s="245"/>
      <c r="CG84" s="356"/>
      <c r="CH84" s="351"/>
      <c r="CI84" s="356"/>
      <c r="CJ84" s="246"/>
      <c r="CK84" s="595"/>
      <c r="CL84" s="596"/>
      <c r="CM84" s="595"/>
      <c r="CN84" s="595"/>
      <c r="CO84" s="595"/>
      <c r="CP84" s="595"/>
      <c r="CQ84" s="595"/>
      <c r="CR84" s="595"/>
      <c r="CS84" s="595"/>
      <c r="CT84" s="595"/>
      <c r="CU84" s="595"/>
      <c r="CV84" s="595"/>
      <c r="CW84" s="595"/>
      <c r="CX84" s="595"/>
      <c r="CY84" s="595"/>
      <c r="CZ84" s="595"/>
      <c r="DA84" s="595"/>
      <c r="DB84" s="595"/>
      <c r="DC84" s="595"/>
      <c r="DD84" s="595"/>
      <c r="DE84" s="1033"/>
      <c r="DF84" s="1101"/>
      <c r="DG84" s="597"/>
      <c r="DH84" s="597"/>
      <c r="DI84" s="1059">
        <f t="shared" si="19"/>
        <v>866679.33</v>
      </c>
      <c r="DJ84" s="1059">
        <f t="shared" si="20"/>
        <v>996681.2294999999</v>
      </c>
      <c r="DK84" s="153"/>
      <c r="DL84" s="154"/>
      <c r="DM84" s="1102"/>
      <c r="DN84" s="178"/>
      <c r="DO84" s="694">
        <f t="shared" si="14"/>
        <v>866679.33</v>
      </c>
      <c r="DP84" s="694">
        <f>DO84-Detailed[[#This Row],[Column66]]</f>
        <v>0</v>
      </c>
      <c r="DQ84" s="694"/>
      <c r="DR84" s="179"/>
      <c r="DS84" s="231">
        <f>DQ84-Detailed[[#This Row],[Column66]]</f>
        <v>-866679.33</v>
      </c>
      <c r="DT84" s="179"/>
      <c r="DU84" s="179"/>
      <c r="DV84" s="179"/>
      <c r="DW84" s="179"/>
      <c r="DX84" s="179"/>
      <c r="DY84" s="179"/>
      <c r="DZ84" s="179"/>
      <c r="EA84" s="179"/>
      <c r="EB84" s="179"/>
      <c r="EC84" s="179"/>
      <c r="ED84" s="179"/>
      <c r="EE84" s="179"/>
      <c r="EF84" s="179"/>
      <c r="EG84" s="179"/>
      <c r="EH84" s="179"/>
      <c r="EI84" s="179"/>
      <c r="EJ84" s="179"/>
      <c r="EK84" s="179"/>
      <c r="EL84" s="179"/>
      <c r="EM84" s="179"/>
      <c r="EN84" s="179"/>
      <c r="EO84" s="179"/>
      <c r="EP84" s="179"/>
      <c r="EQ84" s="179"/>
      <c r="ER84" s="179"/>
      <c r="ES84" s="179"/>
      <c r="ET84" s="179"/>
      <c r="EU84" s="179"/>
      <c r="EV84" s="179"/>
      <c r="EW84" s="179"/>
      <c r="EX84" s="179"/>
      <c r="EY84" s="179"/>
      <c r="EZ84" s="179"/>
      <c r="FA84" s="179"/>
      <c r="FB84" s="179"/>
      <c r="FC84" s="179"/>
      <c r="FD84" s="179"/>
      <c r="FE84" s="179"/>
      <c r="FF84" s="179"/>
      <c r="FG84" s="179"/>
      <c r="FH84" s="179"/>
      <c r="FI84" s="179"/>
      <c r="FJ84" s="179"/>
      <c r="FK84" s="179"/>
      <c r="FL84" s="179"/>
      <c r="FM84" s="179"/>
      <c r="FN84" s="179"/>
      <c r="FO84" s="179"/>
      <c r="FP84" s="179"/>
      <c r="FQ84" s="179"/>
      <c r="FR84" s="179"/>
      <c r="FS84" s="179"/>
      <c r="FT84" s="179"/>
      <c r="FU84" s="179"/>
      <c r="FV84" s="179"/>
      <c r="FW84" s="179"/>
      <c r="FX84" s="179"/>
      <c r="FY84" s="179"/>
      <c r="FZ84" s="179"/>
      <c r="GA84" s="179"/>
      <c r="GB84" s="179"/>
      <c r="GC84" s="179"/>
      <c r="GD84" s="179"/>
      <c r="GE84" s="179"/>
      <c r="GF84" s="179"/>
      <c r="GG84" s="179"/>
      <c r="GH84" s="179"/>
      <c r="GI84" s="179"/>
      <c r="GJ84" s="179"/>
      <c r="GK84" s="179"/>
      <c r="GL84" s="179"/>
      <c r="GM84" s="179"/>
      <c r="GN84" s="179"/>
      <c r="GO84" s="179"/>
      <c r="GP84" s="179"/>
      <c r="GQ84" s="179"/>
      <c r="GR84" s="179"/>
      <c r="GS84" s="179"/>
      <c r="GT84" s="179"/>
      <c r="GU84" s="179"/>
      <c r="GV84" s="179"/>
      <c r="GW84" s="179"/>
      <c r="GX84" s="179"/>
      <c r="GY84" s="179"/>
      <c r="GZ84" s="179"/>
      <c r="HA84" s="179"/>
      <c r="HB84" s="179"/>
      <c r="HC84" s="179"/>
      <c r="HD84" s="179"/>
      <c r="HE84" s="179"/>
      <c r="HF84" s="179"/>
      <c r="HG84" s="179"/>
      <c r="HH84" s="179"/>
      <c r="HI84" s="179"/>
      <c r="HJ84" s="179"/>
      <c r="HK84" s="179"/>
      <c r="HL84" s="179"/>
      <c r="HM84" s="179"/>
      <c r="HN84" s="179"/>
      <c r="HO84" s="179"/>
      <c r="HP84" s="179"/>
      <c r="HQ84" s="179"/>
      <c r="HR84" s="179"/>
      <c r="HS84" s="179"/>
      <c r="HT84" s="179"/>
      <c r="HU84" s="179"/>
      <c r="HV84" s="179"/>
      <c r="HW84" s="179"/>
      <c r="HX84" s="179"/>
      <c r="HY84" s="179"/>
      <c r="HZ84" s="179"/>
      <c r="IA84" s="179"/>
      <c r="IB84" s="179"/>
      <c r="IC84" s="179"/>
      <c r="ID84" s="179"/>
      <c r="IE84" s="179"/>
      <c r="IF84" s="179"/>
      <c r="IG84" s="179"/>
      <c r="IH84" s="179"/>
      <c r="II84" s="179"/>
      <c r="IJ84" s="179"/>
      <c r="IK84" s="179"/>
      <c r="IL84" s="179"/>
      <c r="IM84" s="179"/>
      <c r="IN84" s="179"/>
      <c r="IO84" s="179"/>
      <c r="IP84" s="179"/>
      <c r="IQ84" s="179"/>
      <c r="IR84" s="179"/>
      <c r="IS84" s="179"/>
      <c r="IT84" s="179"/>
      <c r="IU84" s="179"/>
      <c r="IV84" s="179"/>
      <c r="IW84" s="179"/>
      <c r="IX84" s="179"/>
      <c r="IY84" s="179"/>
      <c r="IZ84" s="179"/>
      <c r="JA84" s="179"/>
      <c r="JB84" s="179"/>
      <c r="JC84" s="179"/>
      <c r="JD84" s="179"/>
      <c r="JE84" s="179"/>
      <c r="JF84" s="179"/>
      <c r="JG84" s="179"/>
      <c r="JH84" s="179"/>
      <c r="JI84" s="179"/>
    </row>
    <row r="85" spans="1:269" ht="16.8" thickTop="1" thickBot="1">
      <c r="A85" s="756" t="s">
        <v>236</v>
      </c>
      <c r="B85" s="751"/>
      <c r="C85" s="570"/>
      <c r="D85" s="571"/>
      <c r="E85" s="571"/>
      <c r="F85" s="572"/>
      <c r="G85" s="573"/>
      <c r="H85" s="59">
        <v>3</v>
      </c>
      <c r="I85" s="318">
        <v>45658</v>
      </c>
      <c r="J85" s="575">
        <v>1114782.01</v>
      </c>
      <c r="K85" s="202">
        <f t="shared" si="17"/>
        <v>167217.3015</v>
      </c>
      <c r="L85" s="67">
        <f t="shared" si="18"/>
        <v>1281999.3115000001</v>
      </c>
      <c r="M85" s="576"/>
      <c r="N85" s="577"/>
      <c r="O85" s="577"/>
      <c r="P85" s="578"/>
      <c r="Q85" s="579"/>
      <c r="R85" s="580"/>
      <c r="S85" s="580"/>
      <c r="T85" s="581"/>
      <c r="U85" s="582"/>
      <c r="V85" s="581"/>
      <c r="W85" s="581"/>
      <c r="X85" s="578"/>
      <c r="Y85" s="582"/>
      <c r="Z85" s="581"/>
      <c r="AA85" s="581"/>
      <c r="AB85" s="578"/>
      <c r="AC85" s="582"/>
      <c r="AD85" s="581"/>
      <c r="AE85" s="581"/>
      <c r="AF85" s="578"/>
      <c r="AG85" s="582"/>
      <c r="AH85" s="575"/>
      <c r="AI85" s="575"/>
      <c r="AJ85" s="578"/>
      <c r="AK85" s="576"/>
      <c r="AL85" s="577"/>
      <c r="AM85" s="577"/>
      <c r="AN85" s="583"/>
      <c r="AO85" s="584"/>
      <c r="AP85" s="585"/>
      <c r="AQ85" s="585"/>
      <c r="AR85" s="586"/>
      <c r="AS85" s="584"/>
      <c r="AT85" s="585"/>
      <c r="AU85" s="585"/>
      <c r="AV85" s="586"/>
      <c r="AW85" s="584"/>
      <c r="AX85" s="585"/>
      <c r="AY85" s="585"/>
      <c r="AZ85" s="586"/>
      <c r="BA85" s="584"/>
      <c r="BB85" s="585"/>
      <c r="BC85" s="585"/>
      <c r="BD85" s="586"/>
      <c r="BE85" s="584"/>
      <c r="BF85" s="585"/>
      <c r="BG85" s="585"/>
      <c r="BH85" s="586"/>
      <c r="BI85" s="584"/>
      <c r="BJ85" s="585"/>
      <c r="BK85" s="585"/>
      <c r="BL85" s="587"/>
      <c r="BM85" s="584"/>
      <c r="BN85" s="585"/>
      <c r="BO85" s="585"/>
      <c r="BP85" s="587"/>
      <c r="BQ85" s="588"/>
      <c r="BR85" s="589"/>
      <c r="BS85" s="589"/>
      <c r="BT85" s="590"/>
      <c r="BU85" s="591"/>
      <c r="BV85" s="592"/>
      <c r="BW85" s="593"/>
      <c r="BX85" s="594"/>
      <c r="BY85" s="588"/>
      <c r="BZ85" s="589"/>
      <c r="CA85" s="589"/>
      <c r="CB85" s="590"/>
      <c r="CC85" s="247"/>
      <c r="CD85" s="351"/>
      <c r="CE85" s="351"/>
      <c r="CF85" s="245"/>
      <c r="CG85" s="356"/>
      <c r="CH85" s="351"/>
      <c r="CI85" s="356"/>
      <c r="CJ85" s="246"/>
      <c r="CK85" s="595"/>
      <c r="CL85" s="596"/>
      <c r="CM85" s="595"/>
      <c r="CN85" s="595"/>
      <c r="CO85" s="595"/>
      <c r="CP85" s="595"/>
      <c r="CQ85" s="595"/>
      <c r="CR85" s="595"/>
      <c r="CS85" s="595"/>
      <c r="CT85" s="595"/>
      <c r="CU85" s="595"/>
      <c r="CV85" s="595"/>
      <c r="CW85" s="595"/>
      <c r="CX85" s="595"/>
      <c r="CY85" s="595"/>
      <c r="CZ85" s="595"/>
      <c r="DA85" s="595"/>
      <c r="DB85" s="595"/>
      <c r="DC85" s="595"/>
      <c r="DD85" s="595"/>
      <c r="DE85" s="1033"/>
      <c r="DF85" s="1101"/>
      <c r="DG85" s="597"/>
      <c r="DH85" s="597"/>
      <c r="DI85" s="1059">
        <f t="shared" si="19"/>
        <v>1114782.01</v>
      </c>
      <c r="DJ85" s="1059">
        <f t="shared" si="20"/>
        <v>1281999.3115000001</v>
      </c>
      <c r="DK85" s="153"/>
      <c r="DL85" s="154"/>
      <c r="DM85" s="1102"/>
      <c r="DN85" s="178"/>
      <c r="DO85" s="694">
        <f t="shared" si="14"/>
        <v>1114782.01</v>
      </c>
      <c r="DP85" s="694">
        <f>DO85-Detailed[[#This Row],[Column66]]</f>
        <v>0</v>
      </c>
      <c r="DQ85" s="694"/>
      <c r="DR85" s="179"/>
      <c r="DS85" s="231">
        <f>DQ85-Detailed[[#This Row],[Column66]]</f>
        <v>-1114782.01</v>
      </c>
      <c r="DT85" s="179"/>
      <c r="DU85" s="179"/>
      <c r="DV85" s="179"/>
      <c r="DW85" s="179"/>
      <c r="DX85" s="179"/>
      <c r="DY85" s="179"/>
      <c r="DZ85" s="179"/>
      <c r="EA85" s="179"/>
      <c r="EB85" s="179"/>
      <c r="EC85" s="179"/>
      <c r="ED85" s="179"/>
      <c r="EE85" s="179"/>
      <c r="EF85" s="179"/>
      <c r="EG85" s="179"/>
      <c r="EH85" s="179"/>
      <c r="EI85" s="179"/>
      <c r="EJ85" s="179"/>
      <c r="EK85" s="179"/>
      <c r="EL85" s="179"/>
      <c r="EM85" s="179"/>
      <c r="EN85" s="179"/>
      <c r="EO85" s="179"/>
      <c r="EP85" s="179"/>
      <c r="EQ85" s="179"/>
      <c r="ER85" s="179"/>
      <c r="ES85" s="179"/>
      <c r="ET85" s="179"/>
      <c r="EU85" s="179"/>
      <c r="EV85" s="179"/>
      <c r="EW85" s="179"/>
      <c r="EX85" s="179"/>
      <c r="EY85" s="179"/>
      <c r="EZ85" s="179"/>
      <c r="FA85" s="179"/>
      <c r="FB85" s="179"/>
      <c r="FC85" s="179"/>
      <c r="FD85" s="179"/>
      <c r="FE85" s="179"/>
      <c r="FF85" s="179"/>
      <c r="FG85" s="179"/>
      <c r="FH85" s="179"/>
      <c r="FI85" s="179"/>
      <c r="FJ85" s="179"/>
      <c r="FK85" s="179"/>
      <c r="FL85" s="179"/>
      <c r="FM85" s="179"/>
      <c r="FN85" s="179"/>
      <c r="FO85" s="179"/>
      <c r="FP85" s="179"/>
      <c r="FQ85" s="179"/>
      <c r="FR85" s="179"/>
      <c r="FS85" s="179"/>
      <c r="FT85" s="179"/>
      <c r="FU85" s="179"/>
      <c r="FV85" s="179"/>
      <c r="FW85" s="179"/>
      <c r="FX85" s="179"/>
      <c r="FY85" s="179"/>
      <c r="FZ85" s="179"/>
      <c r="GA85" s="179"/>
      <c r="GB85" s="179"/>
      <c r="GC85" s="179"/>
      <c r="GD85" s="179"/>
      <c r="GE85" s="179"/>
      <c r="GF85" s="179"/>
      <c r="GG85" s="179"/>
      <c r="GH85" s="179"/>
      <c r="GI85" s="179"/>
      <c r="GJ85" s="179"/>
      <c r="GK85" s="179"/>
      <c r="GL85" s="179"/>
      <c r="GM85" s="179"/>
      <c r="GN85" s="179"/>
      <c r="GO85" s="179"/>
      <c r="GP85" s="179"/>
      <c r="GQ85" s="179"/>
      <c r="GR85" s="179"/>
      <c r="GS85" s="179"/>
      <c r="GT85" s="179"/>
      <c r="GU85" s="179"/>
      <c r="GV85" s="179"/>
      <c r="GW85" s="179"/>
      <c r="GX85" s="179"/>
      <c r="GY85" s="179"/>
      <c r="GZ85" s="179"/>
      <c r="HA85" s="179"/>
      <c r="HB85" s="179"/>
      <c r="HC85" s="179"/>
      <c r="HD85" s="179"/>
      <c r="HE85" s="179"/>
      <c r="HF85" s="179"/>
      <c r="HG85" s="179"/>
      <c r="HH85" s="179"/>
      <c r="HI85" s="179"/>
      <c r="HJ85" s="179"/>
      <c r="HK85" s="179"/>
      <c r="HL85" s="179"/>
      <c r="HM85" s="179"/>
      <c r="HN85" s="179"/>
      <c r="HO85" s="179"/>
      <c r="HP85" s="179"/>
      <c r="HQ85" s="179"/>
      <c r="HR85" s="179"/>
      <c r="HS85" s="179"/>
      <c r="HT85" s="179"/>
      <c r="HU85" s="179"/>
      <c r="HV85" s="179"/>
      <c r="HW85" s="179"/>
      <c r="HX85" s="179"/>
      <c r="HY85" s="179"/>
      <c r="HZ85" s="179"/>
      <c r="IA85" s="179"/>
      <c r="IB85" s="179"/>
      <c r="IC85" s="179"/>
      <c r="ID85" s="179"/>
      <c r="IE85" s="179"/>
      <c r="IF85" s="179"/>
      <c r="IG85" s="179"/>
      <c r="IH85" s="179"/>
      <c r="II85" s="179"/>
      <c r="IJ85" s="179"/>
      <c r="IK85" s="179"/>
      <c r="IL85" s="179"/>
      <c r="IM85" s="179"/>
      <c r="IN85" s="179"/>
      <c r="IO85" s="179"/>
      <c r="IP85" s="179"/>
      <c r="IQ85" s="179"/>
      <c r="IR85" s="179"/>
      <c r="IS85" s="179"/>
      <c r="IT85" s="179"/>
      <c r="IU85" s="179"/>
      <c r="IV85" s="179"/>
      <c r="IW85" s="179"/>
      <c r="IX85" s="179"/>
      <c r="IY85" s="179"/>
      <c r="IZ85" s="179"/>
      <c r="JA85" s="179"/>
      <c r="JB85" s="179"/>
      <c r="JC85" s="179"/>
      <c r="JD85" s="179"/>
      <c r="JE85" s="179"/>
      <c r="JF85" s="179"/>
      <c r="JG85" s="179"/>
      <c r="JH85" s="179"/>
      <c r="JI85" s="179"/>
    </row>
    <row r="86" spans="1:269" ht="16.8" thickTop="1" thickBot="1">
      <c r="A86" s="756" t="s">
        <v>236</v>
      </c>
      <c r="B86" s="751"/>
      <c r="C86" s="570"/>
      <c r="D86" s="571"/>
      <c r="E86" s="571"/>
      <c r="F86" s="572"/>
      <c r="G86" s="573"/>
      <c r="H86" s="574">
        <v>4</v>
      </c>
      <c r="I86" s="318">
        <v>45692</v>
      </c>
      <c r="J86" s="575">
        <v>1206719.08</v>
      </c>
      <c r="K86" s="202">
        <f t="shared" si="17"/>
        <v>181007.86199999999</v>
      </c>
      <c r="L86" s="67">
        <f t="shared" si="18"/>
        <v>1387726.942</v>
      </c>
      <c r="M86" s="576"/>
      <c r="N86" s="577"/>
      <c r="O86" s="577"/>
      <c r="P86" s="578"/>
      <c r="Q86" s="579"/>
      <c r="R86" s="580"/>
      <c r="S86" s="580"/>
      <c r="T86" s="581"/>
      <c r="U86" s="582"/>
      <c r="V86" s="581"/>
      <c r="W86" s="581"/>
      <c r="X86" s="578"/>
      <c r="Y86" s="582"/>
      <c r="Z86" s="581"/>
      <c r="AA86" s="581"/>
      <c r="AB86" s="578"/>
      <c r="AC86" s="582"/>
      <c r="AD86" s="581"/>
      <c r="AE86" s="581"/>
      <c r="AF86" s="578"/>
      <c r="AG86" s="582"/>
      <c r="AH86" s="575"/>
      <c r="AI86" s="575"/>
      <c r="AJ86" s="578"/>
      <c r="AK86" s="576"/>
      <c r="AL86" s="577"/>
      <c r="AM86" s="577"/>
      <c r="AN86" s="583"/>
      <c r="AO86" s="584"/>
      <c r="AP86" s="585"/>
      <c r="AQ86" s="585"/>
      <c r="AR86" s="586"/>
      <c r="AS86" s="584"/>
      <c r="AT86" s="585"/>
      <c r="AU86" s="585"/>
      <c r="AV86" s="586"/>
      <c r="AW86" s="584"/>
      <c r="AX86" s="585"/>
      <c r="AY86" s="585"/>
      <c r="AZ86" s="586"/>
      <c r="BA86" s="584"/>
      <c r="BB86" s="585"/>
      <c r="BC86" s="585"/>
      <c r="BD86" s="586"/>
      <c r="BE86" s="584"/>
      <c r="BF86" s="585"/>
      <c r="BG86" s="585"/>
      <c r="BH86" s="586"/>
      <c r="BI86" s="584"/>
      <c r="BJ86" s="585"/>
      <c r="BK86" s="585"/>
      <c r="BL86" s="587"/>
      <c r="BM86" s="584"/>
      <c r="BN86" s="585"/>
      <c r="BO86" s="585"/>
      <c r="BP86" s="587"/>
      <c r="BQ86" s="588"/>
      <c r="BR86" s="589"/>
      <c r="BS86" s="589"/>
      <c r="BT86" s="590"/>
      <c r="BU86" s="591"/>
      <c r="BV86" s="592"/>
      <c r="BW86" s="593"/>
      <c r="BX86" s="594"/>
      <c r="BY86" s="588"/>
      <c r="BZ86" s="589"/>
      <c r="CA86" s="589"/>
      <c r="CB86" s="590"/>
      <c r="CC86" s="247"/>
      <c r="CD86" s="351"/>
      <c r="CE86" s="351"/>
      <c r="CF86" s="245"/>
      <c r="CG86" s="356"/>
      <c r="CH86" s="351"/>
      <c r="CI86" s="356"/>
      <c r="CJ86" s="246"/>
      <c r="CK86" s="595"/>
      <c r="CL86" s="596"/>
      <c r="CM86" s="595"/>
      <c r="CN86" s="595"/>
      <c r="CO86" s="595"/>
      <c r="CP86" s="595"/>
      <c r="CQ86" s="595"/>
      <c r="CR86" s="595"/>
      <c r="CS86" s="595"/>
      <c r="CT86" s="595"/>
      <c r="CU86" s="595"/>
      <c r="CV86" s="595"/>
      <c r="CW86" s="595"/>
      <c r="CX86" s="595"/>
      <c r="CY86" s="595"/>
      <c r="CZ86" s="595"/>
      <c r="DA86" s="595"/>
      <c r="DB86" s="595"/>
      <c r="DC86" s="595"/>
      <c r="DD86" s="595"/>
      <c r="DE86" s="1033"/>
      <c r="DF86" s="1101"/>
      <c r="DG86" s="597"/>
      <c r="DH86" s="597"/>
      <c r="DI86" s="1059">
        <f t="shared" si="19"/>
        <v>1206719.08</v>
      </c>
      <c r="DJ86" s="1059">
        <f t="shared" si="20"/>
        <v>1387726.942</v>
      </c>
      <c r="DK86" s="153"/>
      <c r="DL86" s="154"/>
      <c r="DM86" s="1102"/>
      <c r="DN86" s="178"/>
      <c r="DO86" s="694">
        <f t="shared" si="14"/>
        <v>1206719.08</v>
      </c>
      <c r="DP86" s="694">
        <f>DO86-Detailed[[#This Row],[Column66]]</f>
        <v>0</v>
      </c>
      <c r="DQ86" s="694"/>
      <c r="DR86" s="179"/>
      <c r="DS86" s="231">
        <f>DQ86-Detailed[[#This Row],[Column66]]</f>
        <v>-1206719.08</v>
      </c>
      <c r="DT86" s="179"/>
      <c r="DU86" s="179"/>
      <c r="DV86" s="179"/>
      <c r="DW86" s="179"/>
      <c r="DX86" s="179"/>
      <c r="DY86" s="179"/>
      <c r="DZ86" s="179"/>
      <c r="EA86" s="179"/>
      <c r="EB86" s="179"/>
      <c r="EC86" s="179"/>
      <c r="ED86" s="179"/>
      <c r="EE86" s="179"/>
      <c r="EF86" s="179"/>
      <c r="EG86" s="179"/>
      <c r="EH86" s="179"/>
      <c r="EI86" s="179"/>
      <c r="EJ86" s="179"/>
      <c r="EK86" s="179"/>
      <c r="EL86" s="179"/>
      <c r="EM86" s="179"/>
      <c r="EN86" s="179"/>
      <c r="EO86" s="179"/>
      <c r="EP86" s="179"/>
      <c r="EQ86" s="179"/>
      <c r="ER86" s="179"/>
      <c r="ES86" s="179"/>
      <c r="ET86" s="179"/>
      <c r="EU86" s="179"/>
      <c r="EV86" s="179"/>
      <c r="EW86" s="179"/>
      <c r="EX86" s="179"/>
      <c r="EY86" s="179"/>
      <c r="EZ86" s="179"/>
      <c r="FA86" s="179"/>
      <c r="FB86" s="179"/>
      <c r="FC86" s="179"/>
      <c r="FD86" s="179"/>
      <c r="FE86" s="179"/>
      <c r="FF86" s="179"/>
      <c r="FG86" s="179"/>
      <c r="FH86" s="179"/>
      <c r="FI86" s="179"/>
      <c r="FJ86" s="179"/>
      <c r="FK86" s="179"/>
      <c r="FL86" s="179"/>
      <c r="FM86" s="179"/>
      <c r="FN86" s="179"/>
      <c r="FO86" s="179"/>
      <c r="FP86" s="179"/>
      <c r="FQ86" s="179"/>
      <c r="FR86" s="179"/>
      <c r="FS86" s="179"/>
      <c r="FT86" s="179"/>
      <c r="FU86" s="179"/>
      <c r="FV86" s="179"/>
      <c r="FW86" s="179"/>
      <c r="FX86" s="179"/>
      <c r="FY86" s="179"/>
      <c r="FZ86" s="179"/>
      <c r="GA86" s="179"/>
      <c r="GB86" s="179"/>
      <c r="GC86" s="179"/>
      <c r="GD86" s="179"/>
      <c r="GE86" s="179"/>
      <c r="GF86" s="179"/>
      <c r="GG86" s="179"/>
      <c r="GH86" s="179"/>
      <c r="GI86" s="179"/>
      <c r="GJ86" s="179"/>
      <c r="GK86" s="179"/>
      <c r="GL86" s="179"/>
      <c r="GM86" s="179"/>
      <c r="GN86" s="179"/>
      <c r="GO86" s="179"/>
      <c r="GP86" s="179"/>
      <c r="GQ86" s="179"/>
      <c r="GR86" s="179"/>
      <c r="GS86" s="179"/>
      <c r="GT86" s="179"/>
      <c r="GU86" s="179"/>
      <c r="GV86" s="179"/>
      <c r="GW86" s="179"/>
      <c r="GX86" s="179"/>
      <c r="GY86" s="179"/>
      <c r="GZ86" s="179"/>
      <c r="HA86" s="179"/>
      <c r="HB86" s="179"/>
      <c r="HC86" s="179"/>
      <c r="HD86" s="179"/>
      <c r="HE86" s="179"/>
      <c r="HF86" s="179"/>
      <c r="HG86" s="179"/>
      <c r="HH86" s="179"/>
      <c r="HI86" s="179"/>
      <c r="HJ86" s="179"/>
      <c r="HK86" s="179"/>
      <c r="HL86" s="179"/>
      <c r="HM86" s="179"/>
      <c r="HN86" s="179"/>
      <c r="HO86" s="179"/>
      <c r="HP86" s="179"/>
      <c r="HQ86" s="179"/>
      <c r="HR86" s="179"/>
      <c r="HS86" s="179"/>
      <c r="HT86" s="179"/>
      <c r="HU86" s="179"/>
      <c r="HV86" s="179"/>
      <c r="HW86" s="179"/>
      <c r="HX86" s="179"/>
      <c r="HY86" s="179"/>
      <c r="HZ86" s="179"/>
      <c r="IA86" s="179"/>
      <c r="IB86" s="179"/>
      <c r="IC86" s="179"/>
      <c r="ID86" s="179"/>
      <c r="IE86" s="179"/>
      <c r="IF86" s="179"/>
      <c r="IG86" s="179"/>
      <c r="IH86" s="179"/>
      <c r="II86" s="179"/>
      <c r="IJ86" s="179"/>
      <c r="IK86" s="179"/>
      <c r="IL86" s="179"/>
      <c r="IM86" s="179"/>
      <c r="IN86" s="179"/>
      <c r="IO86" s="179"/>
      <c r="IP86" s="179"/>
      <c r="IQ86" s="179"/>
      <c r="IR86" s="179"/>
      <c r="IS86" s="179"/>
      <c r="IT86" s="179"/>
      <c r="IU86" s="179"/>
      <c r="IV86" s="179"/>
      <c r="IW86" s="179"/>
      <c r="IX86" s="179"/>
      <c r="IY86" s="179"/>
      <c r="IZ86" s="179"/>
      <c r="JA86" s="179"/>
      <c r="JB86" s="179"/>
      <c r="JC86" s="179"/>
      <c r="JD86" s="179"/>
      <c r="JE86" s="179"/>
      <c r="JF86" s="179"/>
      <c r="JG86" s="179"/>
      <c r="JH86" s="179"/>
      <c r="JI86" s="179"/>
    </row>
    <row r="87" spans="1:269" ht="16.8" thickTop="1" thickBot="1">
      <c r="A87" s="756" t="s">
        <v>236</v>
      </c>
      <c r="B87" s="751"/>
      <c r="C87" s="570"/>
      <c r="D87" s="571"/>
      <c r="E87" s="571"/>
      <c r="F87" s="572"/>
      <c r="G87" s="573"/>
      <c r="H87" s="574">
        <v>5</v>
      </c>
      <c r="I87" s="318">
        <v>45719</v>
      </c>
      <c r="J87" s="575">
        <v>1200633.93</v>
      </c>
      <c r="K87" s="202">
        <f t="shared" si="17"/>
        <v>180095.08949999997</v>
      </c>
      <c r="L87" s="67">
        <f t="shared" si="18"/>
        <v>1380729.0194999999</v>
      </c>
      <c r="M87" s="576"/>
      <c r="N87" s="577"/>
      <c r="O87" s="577"/>
      <c r="P87" s="578"/>
      <c r="Q87" s="579"/>
      <c r="R87" s="580"/>
      <c r="S87" s="580"/>
      <c r="T87" s="581"/>
      <c r="U87" s="582"/>
      <c r="V87" s="581"/>
      <c r="W87" s="581"/>
      <c r="X87" s="578"/>
      <c r="Y87" s="582"/>
      <c r="Z87" s="581"/>
      <c r="AA87" s="581"/>
      <c r="AB87" s="578"/>
      <c r="AC87" s="582"/>
      <c r="AD87" s="581"/>
      <c r="AE87" s="581"/>
      <c r="AF87" s="578"/>
      <c r="AG87" s="582"/>
      <c r="AH87" s="575"/>
      <c r="AI87" s="575"/>
      <c r="AJ87" s="578"/>
      <c r="AK87" s="576"/>
      <c r="AL87" s="577"/>
      <c r="AM87" s="577"/>
      <c r="AN87" s="583"/>
      <c r="AO87" s="584"/>
      <c r="AP87" s="585"/>
      <c r="AQ87" s="585"/>
      <c r="AR87" s="586"/>
      <c r="AS87" s="584"/>
      <c r="AT87" s="585"/>
      <c r="AU87" s="585"/>
      <c r="AV87" s="586"/>
      <c r="AW87" s="584"/>
      <c r="AX87" s="585"/>
      <c r="AY87" s="585"/>
      <c r="AZ87" s="586"/>
      <c r="BA87" s="584"/>
      <c r="BB87" s="585"/>
      <c r="BC87" s="585"/>
      <c r="BD87" s="586"/>
      <c r="BE87" s="584"/>
      <c r="BF87" s="585"/>
      <c r="BG87" s="585"/>
      <c r="BH87" s="586"/>
      <c r="BI87" s="584"/>
      <c r="BJ87" s="585"/>
      <c r="BK87" s="585"/>
      <c r="BL87" s="587"/>
      <c r="BM87" s="584"/>
      <c r="BN87" s="585"/>
      <c r="BO87" s="585"/>
      <c r="BP87" s="587"/>
      <c r="BQ87" s="588"/>
      <c r="BR87" s="589"/>
      <c r="BS87" s="589"/>
      <c r="BT87" s="590"/>
      <c r="BU87" s="591"/>
      <c r="BV87" s="592"/>
      <c r="BW87" s="593"/>
      <c r="BX87" s="594"/>
      <c r="BY87" s="588"/>
      <c r="BZ87" s="589"/>
      <c r="CA87" s="589"/>
      <c r="CB87" s="590"/>
      <c r="CC87" s="247"/>
      <c r="CD87" s="351"/>
      <c r="CE87" s="351"/>
      <c r="CF87" s="245"/>
      <c r="CG87" s="356"/>
      <c r="CH87" s="351"/>
      <c r="CI87" s="356"/>
      <c r="CJ87" s="246"/>
      <c r="CK87" s="595"/>
      <c r="CL87" s="596"/>
      <c r="CM87" s="595"/>
      <c r="CN87" s="595"/>
      <c r="CO87" s="595"/>
      <c r="CP87" s="595"/>
      <c r="CQ87" s="595"/>
      <c r="CR87" s="595"/>
      <c r="CS87" s="595"/>
      <c r="CT87" s="595"/>
      <c r="CU87" s="595"/>
      <c r="CV87" s="595"/>
      <c r="CW87" s="595"/>
      <c r="CX87" s="595"/>
      <c r="CY87" s="595"/>
      <c r="CZ87" s="595"/>
      <c r="DA87" s="595"/>
      <c r="DB87" s="595"/>
      <c r="DC87" s="595"/>
      <c r="DD87" s="595"/>
      <c r="DE87" s="1033"/>
      <c r="DF87" s="1101"/>
      <c r="DG87" s="597"/>
      <c r="DH87" s="597"/>
      <c r="DI87" s="1059">
        <f t="shared" si="19"/>
        <v>1200633.93</v>
      </c>
      <c r="DJ87" s="1059">
        <f t="shared" si="20"/>
        <v>1380729.0194999999</v>
      </c>
      <c r="DK87" s="153"/>
      <c r="DL87" s="154"/>
      <c r="DM87" s="1102"/>
      <c r="DN87" s="178"/>
      <c r="DO87" s="694">
        <f t="shared" si="14"/>
        <v>1200633.93</v>
      </c>
      <c r="DP87" s="694">
        <f>DO87-Detailed[[#This Row],[Column66]]</f>
        <v>0</v>
      </c>
      <c r="DQ87" s="694"/>
      <c r="DR87" s="179"/>
      <c r="DS87" s="231">
        <f>DQ87-Detailed[[#This Row],[Column66]]</f>
        <v>-1200633.93</v>
      </c>
      <c r="DT87" s="179"/>
      <c r="DU87" s="179"/>
      <c r="DV87" s="179"/>
      <c r="DW87" s="179"/>
      <c r="DX87" s="179"/>
      <c r="DY87" s="179"/>
      <c r="DZ87" s="179"/>
      <c r="EA87" s="179"/>
      <c r="EB87" s="179"/>
      <c r="EC87" s="179"/>
      <c r="ED87" s="179"/>
      <c r="EE87" s="179"/>
      <c r="EF87" s="179"/>
      <c r="EG87" s="179"/>
      <c r="EH87" s="179"/>
      <c r="EI87" s="179"/>
      <c r="EJ87" s="179"/>
      <c r="EK87" s="179"/>
      <c r="EL87" s="179"/>
      <c r="EM87" s="179"/>
      <c r="EN87" s="179"/>
      <c r="EO87" s="179"/>
      <c r="EP87" s="179"/>
      <c r="EQ87" s="179"/>
      <c r="ER87" s="179"/>
      <c r="ES87" s="179"/>
      <c r="ET87" s="179"/>
      <c r="EU87" s="179"/>
      <c r="EV87" s="179"/>
      <c r="EW87" s="179"/>
      <c r="EX87" s="179"/>
      <c r="EY87" s="179"/>
      <c r="EZ87" s="179"/>
      <c r="FA87" s="179"/>
      <c r="FB87" s="179"/>
      <c r="FC87" s="179"/>
      <c r="FD87" s="179"/>
      <c r="FE87" s="179"/>
      <c r="FF87" s="179"/>
      <c r="FG87" s="179"/>
      <c r="FH87" s="179"/>
      <c r="FI87" s="179"/>
      <c r="FJ87" s="179"/>
      <c r="FK87" s="179"/>
      <c r="FL87" s="179"/>
      <c r="FM87" s="179"/>
      <c r="FN87" s="179"/>
      <c r="FO87" s="179"/>
      <c r="FP87" s="179"/>
      <c r="FQ87" s="179"/>
      <c r="FR87" s="179"/>
      <c r="FS87" s="179"/>
      <c r="FT87" s="179"/>
      <c r="FU87" s="179"/>
      <c r="FV87" s="179"/>
      <c r="FW87" s="179"/>
      <c r="FX87" s="179"/>
      <c r="FY87" s="179"/>
      <c r="FZ87" s="179"/>
      <c r="GA87" s="179"/>
      <c r="GB87" s="179"/>
      <c r="GC87" s="179"/>
      <c r="GD87" s="179"/>
      <c r="GE87" s="179"/>
      <c r="GF87" s="179"/>
      <c r="GG87" s="179"/>
      <c r="GH87" s="179"/>
      <c r="GI87" s="179"/>
      <c r="GJ87" s="179"/>
      <c r="GK87" s="179"/>
      <c r="GL87" s="179"/>
      <c r="GM87" s="179"/>
      <c r="GN87" s="179"/>
      <c r="GO87" s="179"/>
      <c r="GP87" s="179"/>
      <c r="GQ87" s="179"/>
      <c r="GR87" s="179"/>
      <c r="GS87" s="179"/>
      <c r="GT87" s="179"/>
      <c r="GU87" s="179"/>
      <c r="GV87" s="179"/>
      <c r="GW87" s="179"/>
      <c r="GX87" s="179"/>
      <c r="GY87" s="179"/>
      <c r="GZ87" s="179"/>
      <c r="HA87" s="179"/>
      <c r="HB87" s="179"/>
      <c r="HC87" s="179"/>
      <c r="HD87" s="179"/>
      <c r="HE87" s="179"/>
      <c r="HF87" s="179"/>
      <c r="HG87" s="179"/>
      <c r="HH87" s="179"/>
      <c r="HI87" s="179"/>
      <c r="HJ87" s="179"/>
      <c r="HK87" s="179"/>
      <c r="HL87" s="179"/>
      <c r="HM87" s="179"/>
      <c r="HN87" s="179"/>
      <c r="HO87" s="179"/>
      <c r="HP87" s="179"/>
      <c r="HQ87" s="179"/>
      <c r="HR87" s="179"/>
      <c r="HS87" s="179"/>
      <c r="HT87" s="179"/>
      <c r="HU87" s="179"/>
      <c r="HV87" s="179"/>
      <c r="HW87" s="179"/>
      <c r="HX87" s="179"/>
      <c r="HY87" s="179"/>
      <c r="HZ87" s="179"/>
      <c r="IA87" s="179"/>
      <c r="IB87" s="179"/>
      <c r="IC87" s="179"/>
      <c r="ID87" s="179"/>
      <c r="IE87" s="179"/>
      <c r="IF87" s="179"/>
      <c r="IG87" s="179"/>
      <c r="IH87" s="179"/>
      <c r="II87" s="179"/>
      <c r="IJ87" s="179"/>
      <c r="IK87" s="179"/>
      <c r="IL87" s="179"/>
      <c r="IM87" s="179"/>
      <c r="IN87" s="179"/>
      <c r="IO87" s="179"/>
      <c r="IP87" s="179"/>
      <c r="IQ87" s="179"/>
      <c r="IR87" s="179"/>
      <c r="IS87" s="179"/>
      <c r="IT87" s="179"/>
      <c r="IU87" s="179"/>
      <c r="IV87" s="179"/>
      <c r="IW87" s="179"/>
      <c r="IX87" s="179"/>
      <c r="IY87" s="179"/>
      <c r="IZ87" s="179"/>
      <c r="JA87" s="179"/>
      <c r="JB87" s="179"/>
      <c r="JC87" s="179"/>
      <c r="JD87" s="179"/>
      <c r="JE87" s="179"/>
      <c r="JF87" s="179"/>
      <c r="JG87" s="179"/>
      <c r="JH87" s="179"/>
      <c r="JI87" s="179"/>
    </row>
    <row r="88" spans="1:269" ht="16.8" thickTop="1" thickBot="1">
      <c r="A88" s="756" t="s">
        <v>236</v>
      </c>
      <c r="B88" s="751"/>
      <c r="C88" s="570"/>
      <c r="D88" s="571"/>
      <c r="E88" s="571"/>
      <c r="F88" s="572"/>
      <c r="G88" s="573"/>
      <c r="H88" s="574">
        <v>6</v>
      </c>
      <c r="I88" s="318">
        <v>45755</v>
      </c>
      <c r="J88" s="575">
        <v>1118030.3899999999</v>
      </c>
      <c r="K88" s="202">
        <f t="shared" si="17"/>
        <v>167704.55849999998</v>
      </c>
      <c r="L88" s="67">
        <f t="shared" si="18"/>
        <v>1285734.9484999999</v>
      </c>
      <c r="M88" s="576"/>
      <c r="N88" s="577"/>
      <c r="O88" s="577"/>
      <c r="P88" s="578"/>
      <c r="Q88" s="579"/>
      <c r="R88" s="580"/>
      <c r="S88" s="580"/>
      <c r="T88" s="581"/>
      <c r="U88" s="582"/>
      <c r="V88" s="581"/>
      <c r="W88" s="581"/>
      <c r="X88" s="578"/>
      <c r="Y88" s="582"/>
      <c r="Z88" s="581"/>
      <c r="AA88" s="581"/>
      <c r="AB88" s="578"/>
      <c r="AC88" s="582"/>
      <c r="AD88" s="581"/>
      <c r="AE88" s="581"/>
      <c r="AF88" s="578"/>
      <c r="AG88" s="582"/>
      <c r="AH88" s="575"/>
      <c r="AI88" s="575"/>
      <c r="AJ88" s="578"/>
      <c r="AK88" s="576"/>
      <c r="AL88" s="577"/>
      <c r="AM88" s="577"/>
      <c r="AN88" s="583"/>
      <c r="AO88" s="584"/>
      <c r="AP88" s="585"/>
      <c r="AQ88" s="585"/>
      <c r="AR88" s="586"/>
      <c r="AS88" s="584"/>
      <c r="AT88" s="585"/>
      <c r="AU88" s="585"/>
      <c r="AV88" s="586"/>
      <c r="AW88" s="584"/>
      <c r="AX88" s="585"/>
      <c r="AY88" s="585"/>
      <c r="AZ88" s="586"/>
      <c r="BA88" s="584"/>
      <c r="BB88" s="585"/>
      <c r="BC88" s="585"/>
      <c r="BD88" s="586"/>
      <c r="BE88" s="584"/>
      <c r="BF88" s="585"/>
      <c r="BG88" s="585"/>
      <c r="BH88" s="586"/>
      <c r="BI88" s="584"/>
      <c r="BJ88" s="585"/>
      <c r="BK88" s="585"/>
      <c r="BL88" s="587"/>
      <c r="BM88" s="584"/>
      <c r="BN88" s="585"/>
      <c r="BO88" s="585"/>
      <c r="BP88" s="587"/>
      <c r="BQ88" s="588"/>
      <c r="BR88" s="589"/>
      <c r="BS88" s="589"/>
      <c r="BT88" s="590"/>
      <c r="BU88" s="591"/>
      <c r="BV88" s="592"/>
      <c r="BW88" s="593"/>
      <c r="BX88" s="594"/>
      <c r="BY88" s="588"/>
      <c r="BZ88" s="589"/>
      <c r="CA88" s="589"/>
      <c r="CB88" s="590"/>
      <c r="CC88" s="247"/>
      <c r="CD88" s="351"/>
      <c r="CE88" s="351"/>
      <c r="CF88" s="245"/>
      <c r="CG88" s="356"/>
      <c r="CH88" s="351"/>
      <c r="CI88" s="356"/>
      <c r="CJ88" s="246"/>
      <c r="CK88" s="595"/>
      <c r="CL88" s="596"/>
      <c r="CM88" s="595"/>
      <c r="CN88" s="595"/>
      <c r="CO88" s="595"/>
      <c r="CP88" s="595"/>
      <c r="CQ88" s="595"/>
      <c r="CR88" s="595"/>
      <c r="CS88" s="595"/>
      <c r="CT88" s="595"/>
      <c r="CU88" s="595"/>
      <c r="CV88" s="595"/>
      <c r="CW88" s="595"/>
      <c r="CX88" s="595"/>
      <c r="CY88" s="595"/>
      <c r="CZ88" s="595"/>
      <c r="DA88" s="595"/>
      <c r="DB88" s="595"/>
      <c r="DC88" s="595"/>
      <c r="DD88" s="595"/>
      <c r="DE88" s="1033"/>
      <c r="DF88" s="1101"/>
      <c r="DG88" s="597"/>
      <c r="DH88" s="597"/>
      <c r="DI88" s="1059">
        <f t="shared" si="19"/>
        <v>1118030.3899999999</v>
      </c>
      <c r="DJ88" s="1059">
        <f t="shared" si="20"/>
        <v>1285734.9484999999</v>
      </c>
      <c r="DK88" s="153"/>
      <c r="DL88" s="154"/>
      <c r="DM88" s="1102"/>
      <c r="DN88" s="178"/>
      <c r="DO88" s="694">
        <f t="shared" si="14"/>
        <v>1118030.3899999999</v>
      </c>
      <c r="DP88" s="694">
        <f>DO88-Detailed[[#This Row],[Column66]]</f>
        <v>0</v>
      </c>
      <c r="DQ88" s="694"/>
      <c r="DR88" s="179"/>
      <c r="DS88" s="231"/>
      <c r="DT88" s="179"/>
      <c r="DU88" s="179"/>
      <c r="DV88" s="179"/>
      <c r="DW88" s="179"/>
      <c r="DX88" s="179"/>
      <c r="DY88" s="179"/>
      <c r="DZ88" s="179"/>
      <c r="EA88" s="179"/>
      <c r="EB88" s="179"/>
      <c r="EC88" s="179"/>
      <c r="ED88" s="179"/>
      <c r="EE88" s="179"/>
      <c r="EF88" s="179"/>
      <c r="EG88" s="179"/>
      <c r="EH88" s="179"/>
      <c r="EI88" s="179"/>
      <c r="EJ88" s="179"/>
      <c r="EK88" s="179"/>
      <c r="EL88" s="179"/>
      <c r="EM88" s="179"/>
      <c r="EN88" s="179"/>
      <c r="EO88" s="179"/>
      <c r="EP88" s="179"/>
      <c r="EQ88" s="179"/>
      <c r="ER88" s="179"/>
      <c r="ES88" s="179"/>
      <c r="ET88" s="179"/>
      <c r="EU88" s="179"/>
      <c r="EV88" s="179"/>
      <c r="EW88" s="179"/>
      <c r="EX88" s="179"/>
      <c r="EY88" s="179"/>
      <c r="EZ88" s="179"/>
      <c r="FA88" s="179"/>
      <c r="FB88" s="179"/>
      <c r="FC88" s="179"/>
      <c r="FD88" s="179"/>
      <c r="FE88" s="179"/>
      <c r="FF88" s="179"/>
      <c r="FG88" s="179"/>
      <c r="FH88" s="179"/>
      <c r="FI88" s="179"/>
      <c r="FJ88" s="179"/>
      <c r="FK88" s="179"/>
      <c r="FL88" s="179"/>
      <c r="FM88" s="179"/>
      <c r="FN88" s="179"/>
      <c r="FO88" s="179"/>
      <c r="FP88" s="179"/>
      <c r="FQ88" s="179"/>
      <c r="FR88" s="179"/>
      <c r="FS88" s="179"/>
      <c r="FT88" s="179"/>
      <c r="FU88" s="179"/>
      <c r="FV88" s="179"/>
      <c r="FW88" s="179"/>
      <c r="FX88" s="179"/>
      <c r="FY88" s="179"/>
      <c r="FZ88" s="179"/>
      <c r="GA88" s="179"/>
      <c r="GB88" s="179"/>
      <c r="GC88" s="179"/>
      <c r="GD88" s="179"/>
      <c r="GE88" s="179"/>
      <c r="GF88" s="179"/>
      <c r="GG88" s="179"/>
      <c r="GH88" s="179"/>
      <c r="GI88" s="179"/>
      <c r="GJ88" s="179"/>
      <c r="GK88" s="179"/>
      <c r="GL88" s="179"/>
      <c r="GM88" s="179"/>
      <c r="GN88" s="179"/>
      <c r="GO88" s="179"/>
      <c r="GP88" s="179"/>
      <c r="GQ88" s="179"/>
      <c r="GR88" s="179"/>
      <c r="GS88" s="179"/>
      <c r="GT88" s="179"/>
      <c r="GU88" s="179"/>
      <c r="GV88" s="179"/>
      <c r="GW88" s="179"/>
      <c r="GX88" s="179"/>
      <c r="GY88" s="179"/>
      <c r="GZ88" s="179"/>
      <c r="HA88" s="179"/>
      <c r="HB88" s="179"/>
      <c r="HC88" s="179"/>
      <c r="HD88" s="179"/>
      <c r="HE88" s="179"/>
      <c r="HF88" s="179"/>
      <c r="HG88" s="179"/>
      <c r="HH88" s="179"/>
      <c r="HI88" s="179"/>
      <c r="HJ88" s="179"/>
      <c r="HK88" s="179"/>
      <c r="HL88" s="179"/>
      <c r="HM88" s="179"/>
      <c r="HN88" s="179"/>
      <c r="HO88" s="179"/>
      <c r="HP88" s="179"/>
      <c r="HQ88" s="179"/>
      <c r="HR88" s="179"/>
      <c r="HS88" s="179"/>
      <c r="HT88" s="179"/>
      <c r="HU88" s="179"/>
      <c r="HV88" s="179"/>
      <c r="HW88" s="179"/>
      <c r="HX88" s="179"/>
      <c r="HY88" s="179"/>
      <c r="HZ88" s="179"/>
      <c r="IA88" s="179"/>
      <c r="IB88" s="179"/>
      <c r="IC88" s="179"/>
      <c r="ID88" s="179"/>
      <c r="IE88" s="179"/>
      <c r="IF88" s="179"/>
      <c r="IG88" s="179"/>
      <c r="IH88" s="179"/>
      <c r="II88" s="179"/>
      <c r="IJ88" s="179"/>
      <c r="IK88" s="179"/>
      <c r="IL88" s="179"/>
      <c r="IM88" s="179"/>
      <c r="IN88" s="179"/>
      <c r="IO88" s="179"/>
      <c r="IP88" s="179"/>
      <c r="IQ88" s="179"/>
      <c r="IR88" s="179"/>
      <c r="IS88" s="179"/>
      <c r="IT88" s="179"/>
      <c r="IU88" s="179"/>
      <c r="IV88" s="179"/>
      <c r="IW88" s="179"/>
      <c r="IX88" s="179"/>
      <c r="IY88" s="179"/>
      <c r="IZ88" s="179"/>
      <c r="JA88" s="179"/>
      <c r="JB88" s="179"/>
      <c r="JC88" s="179"/>
      <c r="JD88" s="179"/>
      <c r="JE88" s="179"/>
      <c r="JF88" s="179"/>
      <c r="JG88" s="179"/>
      <c r="JH88" s="179"/>
      <c r="JI88" s="179"/>
    </row>
    <row r="89" spans="1:269" ht="16.8" thickTop="1" thickBot="1">
      <c r="A89" s="756" t="s">
        <v>236</v>
      </c>
      <c r="B89" s="752"/>
      <c r="C89" s="140"/>
      <c r="D89" s="141"/>
      <c r="E89" s="141"/>
      <c r="F89" s="142"/>
      <c r="G89" s="58"/>
      <c r="H89" s="59">
        <v>7</v>
      </c>
      <c r="I89" s="318">
        <v>45781</v>
      </c>
      <c r="J89" s="55">
        <v>1216426.3</v>
      </c>
      <c r="K89" s="202">
        <f t="shared" si="17"/>
        <v>182463.94500000001</v>
      </c>
      <c r="L89" s="67">
        <f t="shared" si="18"/>
        <v>1398890.2450000001</v>
      </c>
      <c r="M89" s="64"/>
      <c r="N89" s="65"/>
      <c r="O89" s="65"/>
      <c r="P89" s="56"/>
      <c r="Q89" s="68"/>
      <c r="R89" s="69"/>
      <c r="S89" s="69"/>
      <c r="T89" s="63"/>
      <c r="U89" s="54"/>
      <c r="V89" s="63"/>
      <c r="W89" s="63"/>
      <c r="X89" s="56"/>
      <c r="Y89" s="54"/>
      <c r="Z89" s="63"/>
      <c r="AA89" s="63"/>
      <c r="AB89" s="56"/>
      <c r="AC89" s="54"/>
      <c r="AD89" s="63"/>
      <c r="AE89" s="63"/>
      <c r="AF89" s="56"/>
      <c r="AG89" s="54"/>
      <c r="AH89" s="55"/>
      <c r="AI89" s="55"/>
      <c r="AJ89" s="56"/>
      <c r="AK89" s="64"/>
      <c r="AL89" s="65"/>
      <c r="AM89" s="65"/>
      <c r="AN89" s="125"/>
      <c r="AO89" s="123"/>
      <c r="AP89" s="124"/>
      <c r="AQ89" s="124"/>
      <c r="AR89" s="121"/>
      <c r="AS89" s="123"/>
      <c r="AT89" s="124"/>
      <c r="AU89" s="124"/>
      <c r="AV89" s="121"/>
      <c r="AW89" s="123"/>
      <c r="AX89" s="124"/>
      <c r="AY89" s="124"/>
      <c r="AZ89" s="121"/>
      <c r="BA89" s="123"/>
      <c r="BB89" s="124"/>
      <c r="BC89" s="124"/>
      <c r="BD89" s="121"/>
      <c r="BE89" s="123"/>
      <c r="BF89" s="124"/>
      <c r="BG89" s="124"/>
      <c r="BH89" s="121"/>
      <c r="BI89" s="123"/>
      <c r="BJ89" s="124"/>
      <c r="BK89" s="124"/>
      <c r="BL89" s="122"/>
      <c r="BM89" s="123"/>
      <c r="BN89" s="124"/>
      <c r="BO89" s="124"/>
      <c r="BP89" s="122"/>
      <c r="BQ89" s="158"/>
      <c r="BR89" s="434"/>
      <c r="BS89" s="434"/>
      <c r="BT89" s="443"/>
      <c r="BU89" s="173"/>
      <c r="BV89" s="215"/>
      <c r="BW89" s="444"/>
      <c r="BX89" s="205"/>
      <c r="BY89" s="158"/>
      <c r="BZ89" s="434"/>
      <c r="CA89" s="434"/>
      <c r="CB89" s="443"/>
      <c r="CC89" s="247"/>
      <c r="CD89" s="351"/>
      <c r="CE89" s="351"/>
      <c r="CF89" s="245"/>
      <c r="CG89" s="356"/>
      <c r="CH89" s="351"/>
      <c r="CI89" s="356"/>
      <c r="CJ89" s="246"/>
      <c r="CK89" s="311"/>
      <c r="CL89" s="352"/>
      <c r="CM89" s="311"/>
      <c r="CN89" s="311"/>
      <c r="CO89" s="311"/>
      <c r="CP89" s="311"/>
      <c r="CQ89" s="311"/>
      <c r="CR89" s="311"/>
      <c r="CS89" s="311"/>
      <c r="CT89" s="311"/>
      <c r="CU89" s="311"/>
      <c r="CV89" s="311"/>
      <c r="CW89" s="311"/>
      <c r="CX89" s="311"/>
      <c r="CY89" s="311"/>
      <c r="CZ89" s="311"/>
      <c r="DA89" s="311"/>
      <c r="DB89" s="311"/>
      <c r="DC89" s="311"/>
      <c r="DD89" s="311"/>
      <c r="DE89" s="1033"/>
      <c r="DF89" s="1086"/>
      <c r="DG89" s="128"/>
      <c r="DH89" s="128"/>
      <c r="DI89" s="1059">
        <f t="shared" si="19"/>
        <v>1216426.3</v>
      </c>
      <c r="DJ89" s="1059">
        <f t="shared" si="20"/>
        <v>1398890.2450000001</v>
      </c>
      <c r="DK89" s="153"/>
      <c r="DL89" s="154"/>
      <c r="DM89" s="1087"/>
      <c r="DN89" s="178"/>
      <c r="DO89" s="694">
        <f t="shared" si="14"/>
        <v>1216426.3</v>
      </c>
      <c r="DP89" s="694">
        <f>DO89-Detailed[[#This Row],[Column66]]</f>
        <v>0</v>
      </c>
      <c r="DQ89" s="694"/>
      <c r="DR89" s="179"/>
      <c r="DS89" s="231"/>
      <c r="DT89" s="179"/>
      <c r="DU89" s="179"/>
      <c r="DV89" s="179"/>
      <c r="DW89" s="179"/>
      <c r="DX89" s="179"/>
      <c r="DY89" s="179"/>
      <c r="DZ89" s="179"/>
      <c r="EA89" s="179"/>
      <c r="EB89" s="179"/>
      <c r="EC89" s="179"/>
      <c r="ED89" s="179"/>
      <c r="EE89" s="179"/>
      <c r="EF89" s="179"/>
      <c r="EG89" s="179"/>
      <c r="EH89" s="179"/>
      <c r="EI89" s="179"/>
      <c r="EJ89" s="179"/>
      <c r="EK89" s="179"/>
      <c r="EL89" s="179"/>
      <c r="EM89" s="179"/>
      <c r="EN89" s="179"/>
      <c r="EO89" s="179"/>
      <c r="EP89" s="179"/>
      <c r="EQ89" s="179"/>
      <c r="ER89" s="179"/>
      <c r="ES89" s="179"/>
      <c r="ET89" s="179"/>
      <c r="EU89" s="179"/>
      <c r="EV89" s="179"/>
      <c r="EW89" s="179"/>
      <c r="EX89" s="179"/>
      <c r="EY89" s="179"/>
      <c r="EZ89" s="179"/>
      <c r="FA89" s="179"/>
      <c r="FB89" s="179"/>
      <c r="FC89" s="179"/>
      <c r="FD89" s="179"/>
      <c r="FE89" s="179"/>
      <c r="FF89" s="179"/>
      <c r="FG89" s="179"/>
      <c r="FH89" s="179"/>
      <c r="FI89" s="179"/>
      <c r="FJ89" s="179"/>
      <c r="FK89" s="179"/>
      <c r="FL89" s="179"/>
      <c r="FM89" s="179"/>
      <c r="FN89" s="179"/>
      <c r="FO89" s="179"/>
      <c r="FP89" s="179"/>
      <c r="FQ89" s="179"/>
      <c r="FR89" s="179"/>
      <c r="FS89" s="179"/>
      <c r="FT89" s="179"/>
      <c r="FU89" s="179"/>
      <c r="FV89" s="179"/>
      <c r="FW89" s="179"/>
      <c r="FX89" s="179"/>
      <c r="FY89" s="179"/>
      <c r="FZ89" s="179"/>
      <c r="GA89" s="179"/>
      <c r="GB89" s="179"/>
      <c r="GC89" s="179"/>
      <c r="GD89" s="179"/>
      <c r="GE89" s="179"/>
      <c r="GF89" s="179"/>
      <c r="GG89" s="179"/>
      <c r="GH89" s="179"/>
      <c r="GI89" s="179"/>
      <c r="GJ89" s="179"/>
      <c r="GK89" s="179"/>
      <c r="GL89" s="179"/>
      <c r="GM89" s="179"/>
      <c r="GN89" s="179"/>
      <c r="GO89" s="179"/>
      <c r="GP89" s="179"/>
      <c r="GQ89" s="179"/>
      <c r="GR89" s="179"/>
      <c r="GS89" s="179"/>
      <c r="GT89" s="179"/>
      <c r="GU89" s="179"/>
      <c r="GV89" s="179"/>
      <c r="GW89" s="179"/>
      <c r="GX89" s="179"/>
      <c r="GY89" s="179"/>
      <c r="GZ89" s="179"/>
      <c r="HA89" s="179"/>
      <c r="HB89" s="179"/>
      <c r="HC89" s="179"/>
      <c r="HD89" s="179"/>
      <c r="HE89" s="179"/>
      <c r="HF89" s="179"/>
      <c r="HG89" s="179"/>
      <c r="HH89" s="179"/>
      <c r="HI89" s="179"/>
      <c r="HJ89" s="179"/>
      <c r="HK89" s="179"/>
      <c r="HL89" s="179"/>
      <c r="HM89" s="179"/>
      <c r="HN89" s="179"/>
      <c r="HO89" s="179"/>
      <c r="HP89" s="179"/>
      <c r="HQ89" s="179"/>
      <c r="HR89" s="179"/>
      <c r="HS89" s="179"/>
      <c r="HT89" s="179"/>
      <c r="HU89" s="179"/>
      <c r="HV89" s="179"/>
      <c r="HW89" s="179"/>
      <c r="HX89" s="179"/>
      <c r="HY89" s="179"/>
      <c r="HZ89" s="179"/>
      <c r="IA89" s="179"/>
      <c r="IB89" s="179"/>
      <c r="IC89" s="179"/>
      <c r="ID89" s="179"/>
      <c r="IE89" s="179"/>
      <c r="IF89" s="179"/>
      <c r="IG89" s="179"/>
      <c r="IH89" s="179"/>
      <c r="II89" s="179"/>
      <c r="IJ89" s="179"/>
      <c r="IK89" s="179"/>
      <c r="IL89" s="179"/>
      <c r="IM89" s="179"/>
      <c r="IN89" s="179"/>
      <c r="IO89" s="179"/>
      <c r="IP89" s="179"/>
      <c r="IQ89" s="179"/>
      <c r="IR89" s="179"/>
      <c r="IS89" s="179"/>
      <c r="IT89" s="179"/>
      <c r="IU89" s="179"/>
      <c r="IV89" s="179"/>
      <c r="IW89" s="179"/>
      <c r="IX89" s="179"/>
      <c r="IY89" s="179"/>
      <c r="IZ89" s="179"/>
      <c r="JA89" s="179"/>
      <c r="JB89" s="179"/>
      <c r="JC89" s="179"/>
      <c r="JD89" s="179"/>
      <c r="JE89" s="179"/>
      <c r="JF89" s="179"/>
      <c r="JG89" s="179"/>
      <c r="JH89" s="179"/>
      <c r="JI89" s="179"/>
    </row>
    <row r="90" spans="1:269" ht="16.8" thickTop="1" thickBot="1">
      <c r="A90" s="756" t="s">
        <v>236</v>
      </c>
      <c r="B90" s="752"/>
      <c r="C90" s="140"/>
      <c r="D90" s="141"/>
      <c r="E90" s="141"/>
      <c r="F90" s="142"/>
      <c r="G90" s="58"/>
      <c r="H90" s="59">
        <v>8</v>
      </c>
      <c r="I90" s="318">
        <v>45809</v>
      </c>
      <c r="J90" s="55">
        <v>1310618.68</v>
      </c>
      <c r="K90" s="202">
        <f t="shared" si="17"/>
        <v>196592.802</v>
      </c>
      <c r="L90" s="67">
        <f t="shared" si="18"/>
        <v>1507211.4819999998</v>
      </c>
      <c r="M90" s="64"/>
      <c r="N90" s="65"/>
      <c r="O90" s="65"/>
      <c r="P90" s="56"/>
      <c r="Q90" s="68"/>
      <c r="R90" s="69"/>
      <c r="S90" s="69"/>
      <c r="T90" s="63"/>
      <c r="U90" s="54"/>
      <c r="V90" s="63"/>
      <c r="W90" s="63"/>
      <c r="X90" s="56"/>
      <c r="Y90" s="54"/>
      <c r="Z90" s="63"/>
      <c r="AA90" s="63"/>
      <c r="AB90" s="56"/>
      <c r="AC90" s="54"/>
      <c r="AD90" s="63"/>
      <c r="AE90" s="63"/>
      <c r="AF90" s="56"/>
      <c r="AG90" s="54"/>
      <c r="AH90" s="55"/>
      <c r="AI90" s="55"/>
      <c r="AJ90" s="56"/>
      <c r="AK90" s="64"/>
      <c r="AL90" s="65"/>
      <c r="AM90" s="65"/>
      <c r="AN90" s="125"/>
      <c r="AO90" s="123"/>
      <c r="AP90" s="124"/>
      <c r="AQ90" s="124"/>
      <c r="AR90" s="121"/>
      <c r="AS90" s="123"/>
      <c r="AT90" s="124"/>
      <c r="AU90" s="124"/>
      <c r="AV90" s="121"/>
      <c r="AW90" s="123"/>
      <c r="AX90" s="124"/>
      <c r="AY90" s="124"/>
      <c r="AZ90" s="121"/>
      <c r="BA90" s="123"/>
      <c r="BB90" s="124"/>
      <c r="BC90" s="124"/>
      <c r="BD90" s="121"/>
      <c r="BE90" s="123"/>
      <c r="BF90" s="124"/>
      <c r="BG90" s="124"/>
      <c r="BH90" s="121"/>
      <c r="BI90" s="123"/>
      <c r="BJ90" s="124"/>
      <c r="BK90" s="124"/>
      <c r="BL90" s="122"/>
      <c r="BM90" s="123"/>
      <c r="BN90" s="124"/>
      <c r="BO90" s="124"/>
      <c r="BP90" s="122"/>
      <c r="BQ90" s="158"/>
      <c r="BR90" s="434"/>
      <c r="BS90" s="434"/>
      <c r="BT90" s="443"/>
      <c r="BU90" s="173"/>
      <c r="BV90" s="215"/>
      <c r="BW90" s="444"/>
      <c r="BX90" s="205"/>
      <c r="BY90" s="158"/>
      <c r="BZ90" s="434"/>
      <c r="CA90" s="434"/>
      <c r="CB90" s="443"/>
      <c r="CC90" s="247"/>
      <c r="CD90" s="351"/>
      <c r="CE90" s="351"/>
      <c r="CF90" s="245"/>
      <c r="CG90" s="356"/>
      <c r="CH90" s="351"/>
      <c r="CI90" s="356"/>
      <c r="CJ90" s="246"/>
      <c r="CK90" s="311"/>
      <c r="CL90" s="352"/>
      <c r="CM90" s="311"/>
      <c r="CN90" s="311"/>
      <c r="CO90" s="311"/>
      <c r="CP90" s="311"/>
      <c r="CQ90" s="311"/>
      <c r="CR90" s="311"/>
      <c r="CS90" s="311"/>
      <c r="CT90" s="311"/>
      <c r="CU90" s="311"/>
      <c r="CV90" s="311"/>
      <c r="CW90" s="311"/>
      <c r="CX90" s="311"/>
      <c r="CY90" s="311"/>
      <c r="CZ90" s="311"/>
      <c r="DA90" s="311"/>
      <c r="DB90" s="311"/>
      <c r="DC90" s="311"/>
      <c r="DD90" s="311"/>
      <c r="DE90" s="1033"/>
      <c r="DF90" s="1086"/>
      <c r="DG90" s="128"/>
      <c r="DH90" s="128"/>
      <c r="DI90" s="1059">
        <f t="shared" si="19"/>
        <v>1310618.68</v>
      </c>
      <c r="DJ90" s="1059">
        <f t="shared" si="20"/>
        <v>1507211.4819999998</v>
      </c>
      <c r="DK90" s="153"/>
      <c r="DL90" s="154"/>
      <c r="DM90" s="1087"/>
      <c r="DN90" s="178"/>
      <c r="DO90" s="694">
        <f t="shared" si="14"/>
        <v>1310618.68</v>
      </c>
      <c r="DP90" s="694">
        <f>DO90-Detailed[[#This Row],[Column66]]</f>
        <v>0</v>
      </c>
      <c r="DQ90" s="694"/>
      <c r="DR90" s="179"/>
      <c r="DS90" s="231"/>
      <c r="DT90" s="179"/>
      <c r="DU90" s="179"/>
      <c r="DV90" s="179"/>
      <c r="DW90" s="179"/>
      <c r="DX90" s="179"/>
      <c r="DY90" s="179"/>
      <c r="DZ90" s="179"/>
      <c r="EA90" s="179"/>
      <c r="EB90" s="179"/>
      <c r="EC90" s="179"/>
      <c r="ED90" s="179"/>
      <c r="EE90" s="179"/>
      <c r="EF90" s="179"/>
      <c r="EG90" s="179"/>
      <c r="EH90" s="179"/>
      <c r="EI90" s="179"/>
      <c r="EJ90" s="179"/>
      <c r="EK90" s="179"/>
      <c r="EL90" s="179"/>
      <c r="EM90" s="179"/>
      <c r="EN90" s="179"/>
      <c r="EO90" s="179"/>
      <c r="EP90" s="179"/>
      <c r="EQ90" s="179"/>
      <c r="ER90" s="179"/>
      <c r="ES90" s="179"/>
      <c r="ET90" s="179"/>
      <c r="EU90" s="179"/>
      <c r="EV90" s="179"/>
      <c r="EW90" s="179"/>
      <c r="EX90" s="179"/>
      <c r="EY90" s="179"/>
      <c r="EZ90" s="179"/>
      <c r="FA90" s="179"/>
      <c r="FB90" s="179"/>
      <c r="FC90" s="179"/>
      <c r="FD90" s="179"/>
      <c r="FE90" s="179"/>
      <c r="FF90" s="179"/>
      <c r="FG90" s="179"/>
      <c r="FH90" s="179"/>
      <c r="FI90" s="179"/>
      <c r="FJ90" s="179"/>
      <c r="FK90" s="179"/>
      <c r="FL90" s="179"/>
      <c r="FM90" s="179"/>
      <c r="FN90" s="179"/>
      <c r="FO90" s="179"/>
      <c r="FP90" s="179"/>
      <c r="FQ90" s="179"/>
      <c r="FR90" s="179"/>
      <c r="FS90" s="179"/>
      <c r="FT90" s="179"/>
      <c r="FU90" s="179"/>
      <c r="FV90" s="179"/>
      <c r="FW90" s="179"/>
      <c r="FX90" s="179"/>
      <c r="FY90" s="179"/>
      <c r="FZ90" s="179"/>
      <c r="GA90" s="179"/>
      <c r="GB90" s="179"/>
      <c r="GC90" s="179"/>
      <c r="GD90" s="179"/>
      <c r="GE90" s="179"/>
      <c r="GF90" s="179"/>
      <c r="GG90" s="179"/>
      <c r="GH90" s="179"/>
      <c r="GI90" s="179"/>
      <c r="GJ90" s="179"/>
      <c r="GK90" s="179"/>
      <c r="GL90" s="179"/>
      <c r="GM90" s="179"/>
      <c r="GN90" s="179"/>
      <c r="GO90" s="179"/>
      <c r="GP90" s="179"/>
      <c r="GQ90" s="179"/>
      <c r="GR90" s="179"/>
      <c r="GS90" s="179"/>
      <c r="GT90" s="179"/>
      <c r="GU90" s="179"/>
      <c r="GV90" s="179"/>
      <c r="GW90" s="179"/>
      <c r="GX90" s="179"/>
      <c r="GY90" s="179"/>
      <c r="GZ90" s="179"/>
      <c r="HA90" s="179"/>
      <c r="HB90" s="179"/>
      <c r="HC90" s="179"/>
      <c r="HD90" s="179"/>
      <c r="HE90" s="179"/>
      <c r="HF90" s="179"/>
      <c r="HG90" s="179"/>
      <c r="HH90" s="179"/>
      <c r="HI90" s="179"/>
      <c r="HJ90" s="179"/>
      <c r="HK90" s="179"/>
      <c r="HL90" s="179"/>
      <c r="HM90" s="179"/>
      <c r="HN90" s="179"/>
      <c r="HO90" s="179"/>
      <c r="HP90" s="179"/>
      <c r="HQ90" s="179"/>
      <c r="HR90" s="179"/>
      <c r="HS90" s="179"/>
      <c r="HT90" s="179"/>
      <c r="HU90" s="179"/>
      <c r="HV90" s="179"/>
      <c r="HW90" s="179"/>
      <c r="HX90" s="179"/>
      <c r="HY90" s="179"/>
      <c r="HZ90" s="179"/>
      <c r="IA90" s="179"/>
      <c r="IB90" s="179"/>
      <c r="IC90" s="179"/>
      <c r="ID90" s="179"/>
      <c r="IE90" s="179"/>
      <c r="IF90" s="179"/>
      <c r="IG90" s="179"/>
      <c r="IH90" s="179"/>
      <c r="II90" s="179"/>
      <c r="IJ90" s="179"/>
      <c r="IK90" s="179"/>
      <c r="IL90" s="179"/>
      <c r="IM90" s="179"/>
      <c r="IN90" s="179"/>
      <c r="IO90" s="179"/>
      <c r="IP90" s="179"/>
      <c r="IQ90" s="179"/>
      <c r="IR90" s="179"/>
      <c r="IS90" s="179"/>
      <c r="IT90" s="179"/>
      <c r="IU90" s="179"/>
      <c r="IV90" s="179"/>
      <c r="IW90" s="179"/>
      <c r="IX90" s="179"/>
      <c r="IY90" s="179"/>
      <c r="IZ90" s="179"/>
      <c r="JA90" s="179"/>
      <c r="JB90" s="179"/>
      <c r="JC90" s="179"/>
      <c r="JD90" s="179"/>
      <c r="JE90" s="179"/>
      <c r="JF90" s="179"/>
      <c r="JG90" s="179"/>
      <c r="JH90" s="179"/>
      <c r="JI90" s="179"/>
    </row>
    <row r="91" spans="1:269" ht="16.8" thickTop="1" thickBot="1">
      <c r="A91" s="756" t="s">
        <v>236</v>
      </c>
      <c r="B91" s="752"/>
      <c r="C91" s="140"/>
      <c r="D91" s="141"/>
      <c r="E91" s="141"/>
      <c r="F91" s="142"/>
      <c r="G91" s="58"/>
      <c r="H91" s="59">
        <v>9</v>
      </c>
      <c r="I91" s="318">
        <v>45840</v>
      </c>
      <c r="J91" s="55">
        <v>1147200.4099999999</v>
      </c>
      <c r="K91" s="202">
        <f t="shared" si="17"/>
        <v>172080.06149999998</v>
      </c>
      <c r="L91" s="67">
        <f t="shared" si="18"/>
        <v>1319280.4715</v>
      </c>
      <c r="M91" s="64"/>
      <c r="N91" s="65"/>
      <c r="O91" s="65"/>
      <c r="P91" s="56"/>
      <c r="Q91" s="68"/>
      <c r="R91" s="69"/>
      <c r="S91" s="69"/>
      <c r="T91" s="63"/>
      <c r="U91" s="54"/>
      <c r="V91" s="63"/>
      <c r="W91" s="63"/>
      <c r="X91" s="56"/>
      <c r="Y91" s="54"/>
      <c r="Z91" s="63"/>
      <c r="AA91" s="63"/>
      <c r="AB91" s="56"/>
      <c r="AC91" s="54"/>
      <c r="AD91" s="63"/>
      <c r="AE91" s="63"/>
      <c r="AF91" s="56"/>
      <c r="AG91" s="54"/>
      <c r="AH91" s="55"/>
      <c r="AI91" s="55"/>
      <c r="AJ91" s="56"/>
      <c r="AK91" s="64"/>
      <c r="AL91" s="65"/>
      <c r="AM91" s="65"/>
      <c r="AN91" s="125"/>
      <c r="AO91" s="123"/>
      <c r="AP91" s="124"/>
      <c r="AQ91" s="124"/>
      <c r="AR91" s="121"/>
      <c r="AS91" s="123"/>
      <c r="AT91" s="124"/>
      <c r="AU91" s="124"/>
      <c r="AV91" s="121"/>
      <c r="AW91" s="123"/>
      <c r="AX91" s="124"/>
      <c r="AY91" s="124"/>
      <c r="AZ91" s="121"/>
      <c r="BA91" s="123"/>
      <c r="BB91" s="124"/>
      <c r="BC91" s="124"/>
      <c r="BD91" s="121"/>
      <c r="BE91" s="123"/>
      <c r="BF91" s="124"/>
      <c r="BG91" s="124"/>
      <c r="BH91" s="121"/>
      <c r="BI91" s="123"/>
      <c r="BJ91" s="124"/>
      <c r="BK91" s="124"/>
      <c r="BL91" s="122"/>
      <c r="BM91" s="123"/>
      <c r="BN91" s="124"/>
      <c r="BO91" s="124"/>
      <c r="BP91" s="122"/>
      <c r="BQ91" s="158"/>
      <c r="BR91" s="434"/>
      <c r="BS91" s="434"/>
      <c r="BT91" s="443"/>
      <c r="BU91" s="173"/>
      <c r="BV91" s="215"/>
      <c r="BW91" s="444"/>
      <c r="BX91" s="205"/>
      <c r="BY91" s="158"/>
      <c r="BZ91" s="434"/>
      <c r="CA91" s="434"/>
      <c r="CB91" s="443"/>
      <c r="CC91" s="247"/>
      <c r="CD91" s="351"/>
      <c r="CE91" s="351"/>
      <c r="CF91" s="245"/>
      <c r="CG91" s="356"/>
      <c r="CH91" s="351"/>
      <c r="CI91" s="356"/>
      <c r="CJ91" s="246"/>
      <c r="CK91" s="311"/>
      <c r="CL91" s="352"/>
      <c r="CM91" s="311"/>
      <c r="CN91" s="311"/>
      <c r="CO91" s="311"/>
      <c r="CP91" s="311"/>
      <c r="CQ91" s="311"/>
      <c r="CR91" s="311"/>
      <c r="CS91" s="311"/>
      <c r="CT91" s="311"/>
      <c r="CU91" s="311"/>
      <c r="CV91" s="311"/>
      <c r="CW91" s="311"/>
      <c r="CX91" s="311"/>
      <c r="CY91" s="311"/>
      <c r="CZ91" s="311"/>
      <c r="DA91" s="311"/>
      <c r="DB91" s="311"/>
      <c r="DC91" s="311"/>
      <c r="DD91" s="311"/>
      <c r="DE91" s="1033"/>
      <c r="DF91" s="1086"/>
      <c r="DG91" s="128"/>
      <c r="DH91" s="128"/>
      <c r="DI91" s="1059">
        <f t="shared" si="19"/>
        <v>1147200.4099999999</v>
      </c>
      <c r="DJ91" s="1059">
        <f t="shared" si="20"/>
        <v>1319280.4715</v>
      </c>
      <c r="DK91" s="153"/>
      <c r="DL91" s="154"/>
      <c r="DM91" s="1087"/>
      <c r="DN91" s="178"/>
      <c r="DO91" s="694">
        <f t="shared" si="14"/>
        <v>1147200.4099999999</v>
      </c>
      <c r="DP91" s="694">
        <f>DO91-Detailed[[#This Row],[Column66]]</f>
        <v>0</v>
      </c>
      <c r="DQ91" s="694"/>
      <c r="DR91" s="179"/>
      <c r="DS91" s="231"/>
      <c r="DT91" s="179"/>
      <c r="DU91" s="179"/>
      <c r="DV91" s="179"/>
      <c r="DW91" s="179"/>
      <c r="DX91" s="179"/>
      <c r="DY91" s="179"/>
      <c r="DZ91" s="179"/>
      <c r="EA91" s="179"/>
      <c r="EB91" s="179"/>
      <c r="EC91" s="179"/>
      <c r="ED91" s="179"/>
      <c r="EE91" s="179"/>
      <c r="EF91" s="179"/>
      <c r="EG91" s="179"/>
      <c r="EH91" s="179"/>
      <c r="EI91" s="179"/>
      <c r="EJ91" s="179"/>
      <c r="EK91" s="179"/>
      <c r="EL91" s="179"/>
      <c r="EM91" s="179"/>
      <c r="EN91" s="179"/>
      <c r="EO91" s="179"/>
      <c r="EP91" s="179"/>
      <c r="EQ91" s="179"/>
      <c r="ER91" s="179"/>
      <c r="ES91" s="179"/>
      <c r="ET91" s="179"/>
      <c r="EU91" s="179"/>
      <c r="EV91" s="179"/>
      <c r="EW91" s="179"/>
      <c r="EX91" s="179"/>
      <c r="EY91" s="179"/>
      <c r="EZ91" s="179"/>
      <c r="FA91" s="179"/>
      <c r="FB91" s="179"/>
      <c r="FC91" s="179"/>
      <c r="FD91" s="179"/>
      <c r="FE91" s="179"/>
      <c r="FF91" s="179"/>
      <c r="FG91" s="179"/>
      <c r="FH91" s="179"/>
      <c r="FI91" s="179"/>
      <c r="FJ91" s="179"/>
      <c r="FK91" s="179"/>
      <c r="FL91" s="179"/>
      <c r="FM91" s="179"/>
      <c r="FN91" s="179"/>
      <c r="FO91" s="179"/>
      <c r="FP91" s="179"/>
      <c r="FQ91" s="179"/>
      <c r="FR91" s="179"/>
      <c r="FS91" s="179"/>
      <c r="FT91" s="179"/>
      <c r="FU91" s="179"/>
      <c r="FV91" s="179"/>
      <c r="FW91" s="179"/>
      <c r="FX91" s="179"/>
      <c r="FY91" s="179"/>
      <c r="FZ91" s="179"/>
      <c r="GA91" s="179"/>
      <c r="GB91" s="179"/>
      <c r="GC91" s="179"/>
      <c r="GD91" s="179"/>
      <c r="GE91" s="179"/>
      <c r="GF91" s="179"/>
      <c r="GG91" s="179"/>
      <c r="GH91" s="179"/>
      <c r="GI91" s="179"/>
      <c r="GJ91" s="179"/>
      <c r="GK91" s="179"/>
      <c r="GL91" s="179"/>
      <c r="GM91" s="179"/>
      <c r="GN91" s="179"/>
      <c r="GO91" s="179"/>
      <c r="GP91" s="179"/>
      <c r="GQ91" s="179"/>
      <c r="GR91" s="179"/>
      <c r="GS91" s="179"/>
      <c r="GT91" s="179"/>
      <c r="GU91" s="179"/>
      <c r="GV91" s="179"/>
      <c r="GW91" s="179"/>
      <c r="GX91" s="179"/>
      <c r="GY91" s="179"/>
      <c r="GZ91" s="179"/>
      <c r="HA91" s="179"/>
      <c r="HB91" s="179"/>
      <c r="HC91" s="179"/>
      <c r="HD91" s="179"/>
      <c r="HE91" s="179"/>
      <c r="HF91" s="179"/>
      <c r="HG91" s="179"/>
      <c r="HH91" s="179"/>
      <c r="HI91" s="179"/>
      <c r="HJ91" s="179"/>
      <c r="HK91" s="179"/>
      <c r="HL91" s="179"/>
      <c r="HM91" s="179"/>
      <c r="HN91" s="179"/>
      <c r="HO91" s="179"/>
      <c r="HP91" s="179"/>
      <c r="HQ91" s="179"/>
      <c r="HR91" s="179"/>
      <c r="HS91" s="179"/>
      <c r="HT91" s="179"/>
      <c r="HU91" s="179"/>
      <c r="HV91" s="179"/>
      <c r="HW91" s="179"/>
      <c r="HX91" s="179"/>
      <c r="HY91" s="179"/>
      <c r="HZ91" s="179"/>
      <c r="IA91" s="179"/>
      <c r="IB91" s="179"/>
      <c r="IC91" s="179"/>
      <c r="ID91" s="179"/>
      <c r="IE91" s="179"/>
      <c r="IF91" s="179"/>
      <c r="IG91" s="179"/>
      <c r="IH91" s="179"/>
      <c r="II91" s="179"/>
      <c r="IJ91" s="179"/>
      <c r="IK91" s="179"/>
      <c r="IL91" s="179"/>
      <c r="IM91" s="179"/>
      <c r="IN91" s="179"/>
      <c r="IO91" s="179"/>
      <c r="IP91" s="179"/>
      <c r="IQ91" s="179"/>
      <c r="IR91" s="179"/>
      <c r="IS91" s="179"/>
      <c r="IT91" s="179"/>
      <c r="IU91" s="179"/>
      <c r="IV91" s="179"/>
      <c r="IW91" s="179"/>
      <c r="IX91" s="179"/>
      <c r="IY91" s="179"/>
      <c r="IZ91" s="179"/>
      <c r="JA91" s="179"/>
      <c r="JB91" s="179"/>
      <c r="JC91" s="179"/>
      <c r="JD91" s="179"/>
      <c r="JE91" s="179"/>
      <c r="JF91" s="179"/>
      <c r="JG91" s="179"/>
      <c r="JH91" s="179"/>
      <c r="JI91" s="179"/>
    </row>
    <row r="92" spans="1:269" ht="16.8" thickTop="1" thickBot="1">
      <c r="A92" s="756" t="s">
        <v>236</v>
      </c>
      <c r="B92" s="777"/>
      <c r="C92" s="778"/>
      <c r="D92" s="779"/>
      <c r="E92" s="779"/>
      <c r="F92" s="780"/>
      <c r="G92" s="781"/>
      <c r="H92" s="59">
        <v>10</v>
      </c>
      <c r="I92" s="318">
        <v>45873</v>
      </c>
      <c r="J92" s="784">
        <v>1122204.53</v>
      </c>
      <c r="K92" s="202">
        <f t="shared" si="17"/>
        <v>168330.6795</v>
      </c>
      <c r="L92" s="67">
        <f t="shared" si="18"/>
        <v>1290535.2095000001</v>
      </c>
      <c r="M92" s="786"/>
      <c r="N92" s="787"/>
      <c r="O92" s="787"/>
      <c r="P92" s="788"/>
      <c r="Q92" s="789"/>
      <c r="R92" s="790"/>
      <c r="S92" s="790"/>
      <c r="T92" s="791"/>
      <c r="U92" s="792"/>
      <c r="V92" s="791"/>
      <c r="W92" s="791"/>
      <c r="X92" s="788"/>
      <c r="Y92" s="792"/>
      <c r="Z92" s="791"/>
      <c r="AA92" s="791"/>
      <c r="AB92" s="788"/>
      <c r="AC92" s="792"/>
      <c r="AD92" s="791"/>
      <c r="AE92" s="791"/>
      <c r="AF92" s="788"/>
      <c r="AG92" s="792"/>
      <c r="AH92" s="784"/>
      <c r="AI92" s="784"/>
      <c r="AJ92" s="788"/>
      <c r="AK92" s="786"/>
      <c r="AL92" s="787"/>
      <c r="AM92" s="787"/>
      <c r="AN92" s="793"/>
      <c r="AO92" s="794"/>
      <c r="AP92" s="795"/>
      <c r="AQ92" s="795"/>
      <c r="AR92" s="796"/>
      <c r="AS92" s="794"/>
      <c r="AT92" s="795"/>
      <c r="AU92" s="795"/>
      <c r="AV92" s="796"/>
      <c r="AW92" s="794"/>
      <c r="AX92" s="795"/>
      <c r="AY92" s="795"/>
      <c r="AZ92" s="796"/>
      <c r="BA92" s="794"/>
      <c r="BB92" s="795"/>
      <c r="BC92" s="795"/>
      <c r="BD92" s="796"/>
      <c r="BE92" s="794"/>
      <c r="BF92" s="795"/>
      <c r="BG92" s="795"/>
      <c r="BH92" s="796"/>
      <c r="BI92" s="794"/>
      <c r="BJ92" s="795"/>
      <c r="BK92" s="795"/>
      <c r="BL92" s="797"/>
      <c r="BM92" s="794"/>
      <c r="BN92" s="795"/>
      <c r="BO92" s="795"/>
      <c r="BP92" s="797"/>
      <c r="BQ92" s="798"/>
      <c r="BR92" s="799"/>
      <c r="BS92" s="799"/>
      <c r="BT92" s="800"/>
      <c r="BU92" s="801"/>
      <c r="BV92" s="802"/>
      <c r="BW92" s="803"/>
      <c r="BX92" s="804"/>
      <c r="BY92" s="798"/>
      <c r="BZ92" s="799"/>
      <c r="CA92" s="799"/>
      <c r="CB92" s="800"/>
      <c r="CC92" s="247"/>
      <c r="CD92" s="351"/>
      <c r="CE92" s="351"/>
      <c r="CF92" s="245"/>
      <c r="CG92" s="356"/>
      <c r="CH92" s="351"/>
      <c r="CI92" s="356"/>
      <c r="CJ92" s="246"/>
      <c r="CK92" s="805"/>
      <c r="CL92" s="806"/>
      <c r="CM92" s="805"/>
      <c r="CN92" s="805"/>
      <c r="CO92" s="805"/>
      <c r="CP92" s="805"/>
      <c r="CQ92" s="805"/>
      <c r="CR92" s="805"/>
      <c r="CS92" s="805"/>
      <c r="CT92" s="805"/>
      <c r="CU92" s="805"/>
      <c r="CV92" s="805"/>
      <c r="CW92" s="805"/>
      <c r="CX92" s="805"/>
      <c r="CY92" s="805"/>
      <c r="CZ92" s="805"/>
      <c r="DA92" s="805"/>
      <c r="DB92" s="805"/>
      <c r="DC92" s="805"/>
      <c r="DD92" s="805"/>
      <c r="DE92" s="1033"/>
      <c r="DF92" s="1103"/>
      <c r="DG92" s="807"/>
      <c r="DH92" s="807"/>
      <c r="DI92" s="1059">
        <f t="shared" si="19"/>
        <v>1122204.53</v>
      </c>
      <c r="DJ92" s="1059">
        <f t="shared" si="20"/>
        <v>1290535.2095000001</v>
      </c>
      <c r="DK92" s="153"/>
      <c r="DL92" s="154"/>
      <c r="DM92" s="1104"/>
      <c r="DN92" s="178"/>
      <c r="DO92" s="694">
        <f t="shared" si="14"/>
        <v>1122204.53</v>
      </c>
      <c r="DP92" s="694">
        <f>DO92-Detailed[[#This Row],[Column66]]</f>
        <v>0</v>
      </c>
      <c r="DQ92" s="694"/>
      <c r="DR92" s="179"/>
      <c r="DS92" s="231"/>
      <c r="DT92" s="179"/>
      <c r="DU92" s="179"/>
      <c r="DV92" s="179"/>
      <c r="DW92" s="179"/>
      <c r="DX92" s="179"/>
      <c r="DY92" s="179"/>
      <c r="DZ92" s="179"/>
      <c r="EA92" s="179"/>
      <c r="EB92" s="179"/>
      <c r="EC92" s="179"/>
      <c r="ED92" s="179"/>
      <c r="EE92" s="179"/>
      <c r="EF92" s="179"/>
      <c r="EG92" s="179"/>
      <c r="EH92" s="179"/>
      <c r="EI92" s="179"/>
      <c r="EJ92" s="179"/>
      <c r="EK92" s="179"/>
      <c r="EL92" s="179"/>
      <c r="EM92" s="179"/>
      <c r="EN92" s="179"/>
      <c r="EO92" s="179"/>
      <c r="EP92" s="179"/>
      <c r="EQ92" s="179"/>
      <c r="ER92" s="179"/>
      <c r="ES92" s="179"/>
      <c r="ET92" s="179"/>
      <c r="EU92" s="179"/>
      <c r="EV92" s="179"/>
      <c r="EW92" s="179"/>
      <c r="EX92" s="179"/>
      <c r="EY92" s="179"/>
      <c r="EZ92" s="179"/>
      <c r="FA92" s="179"/>
      <c r="FB92" s="179"/>
      <c r="FC92" s="179"/>
      <c r="FD92" s="179"/>
      <c r="FE92" s="179"/>
      <c r="FF92" s="179"/>
      <c r="FG92" s="179"/>
      <c r="FH92" s="179"/>
      <c r="FI92" s="179"/>
      <c r="FJ92" s="179"/>
      <c r="FK92" s="179"/>
      <c r="FL92" s="179"/>
      <c r="FM92" s="179"/>
      <c r="FN92" s="179"/>
      <c r="FO92" s="179"/>
      <c r="FP92" s="179"/>
      <c r="FQ92" s="179"/>
      <c r="FR92" s="179"/>
      <c r="FS92" s="179"/>
      <c r="FT92" s="179"/>
      <c r="FU92" s="179"/>
      <c r="FV92" s="179"/>
      <c r="FW92" s="179"/>
      <c r="FX92" s="179"/>
      <c r="FY92" s="179"/>
      <c r="FZ92" s="179"/>
      <c r="GA92" s="179"/>
      <c r="GB92" s="179"/>
      <c r="GC92" s="179"/>
      <c r="GD92" s="179"/>
      <c r="GE92" s="179"/>
      <c r="GF92" s="179"/>
      <c r="GG92" s="179"/>
      <c r="GH92" s="179"/>
      <c r="GI92" s="179"/>
      <c r="GJ92" s="179"/>
      <c r="GK92" s="179"/>
      <c r="GL92" s="179"/>
      <c r="GM92" s="179"/>
      <c r="GN92" s="179"/>
      <c r="GO92" s="179"/>
      <c r="GP92" s="179"/>
      <c r="GQ92" s="179"/>
      <c r="GR92" s="179"/>
      <c r="GS92" s="179"/>
      <c r="GT92" s="179"/>
      <c r="GU92" s="179"/>
      <c r="GV92" s="179"/>
      <c r="GW92" s="179"/>
      <c r="GX92" s="179"/>
      <c r="GY92" s="179"/>
      <c r="GZ92" s="179"/>
      <c r="HA92" s="179"/>
      <c r="HB92" s="179"/>
      <c r="HC92" s="179"/>
      <c r="HD92" s="179"/>
      <c r="HE92" s="179"/>
      <c r="HF92" s="179"/>
      <c r="HG92" s="179"/>
      <c r="HH92" s="179"/>
      <c r="HI92" s="179"/>
      <c r="HJ92" s="179"/>
      <c r="HK92" s="179"/>
      <c r="HL92" s="179"/>
      <c r="HM92" s="179"/>
      <c r="HN92" s="179"/>
      <c r="HO92" s="179"/>
      <c r="HP92" s="179"/>
      <c r="HQ92" s="179"/>
      <c r="HR92" s="179"/>
      <c r="HS92" s="179"/>
      <c r="HT92" s="179"/>
      <c r="HU92" s="179"/>
      <c r="HV92" s="179"/>
      <c r="HW92" s="179"/>
      <c r="HX92" s="179"/>
      <c r="HY92" s="179"/>
      <c r="HZ92" s="179"/>
      <c r="IA92" s="179"/>
      <c r="IB92" s="179"/>
      <c r="IC92" s="179"/>
      <c r="ID92" s="179"/>
      <c r="IE92" s="179"/>
      <c r="IF92" s="179"/>
      <c r="IG92" s="179"/>
      <c r="IH92" s="179"/>
      <c r="II92" s="179"/>
      <c r="IJ92" s="179"/>
      <c r="IK92" s="179"/>
      <c r="IL92" s="179"/>
      <c r="IM92" s="179"/>
      <c r="IN92" s="179"/>
      <c r="IO92" s="179"/>
      <c r="IP92" s="179"/>
      <c r="IQ92" s="179"/>
      <c r="IR92" s="179"/>
      <c r="IS92" s="179"/>
      <c r="IT92" s="179"/>
      <c r="IU92" s="179"/>
      <c r="IV92" s="179"/>
      <c r="IW92" s="179"/>
      <c r="IX92" s="179"/>
      <c r="IY92" s="179"/>
      <c r="IZ92" s="179"/>
      <c r="JA92" s="179"/>
      <c r="JB92" s="179"/>
      <c r="JC92" s="179"/>
      <c r="JD92" s="179"/>
      <c r="JE92" s="179"/>
      <c r="JF92" s="179"/>
      <c r="JG92" s="179"/>
      <c r="JH92" s="179"/>
      <c r="JI92" s="179"/>
    </row>
    <row r="93" spans="1:269" ht="16.8" thickTop="1" thickBot="1">
      <c r="A93" s="756" t="s">
        <v>236</v>
      </c>
      <c r="B93" s="880"/>
      <c r="C93" s="881"/>
      <c r="D93" s="882"/>
      <c r="E93" s="882"/>
      <c r="F93" s="883"/>
      <c r="G93" s="884"/>
      <c r="H93" s="59">
        <v>11</v>
      </c>
      <c r="I93" s="318">
        <v>45901</v>
      </c>
      <c r="J93" s="887">
        <v>1165613.3</v>
      </c>
      <c r="K93" s="202">
        <f t="shared" si="17"/>
        <v>174841.995</v>
      </c>
      <c r="L93" s="67">
        <f t="shared" si="18"/>
        <v>1340455.2949999999</v>
      </c>
      <c r="M93" s="889"/>
      <c r="N93" s="890"/>
      <c r="O93" s="890"/>
      <c r="P93" s="891"/>
      <c r="Q93" s="892"/>
      <c r="R93" s="893"/>
      <c r="S93" s="893"/>
      <c r="T93" s="894"/>
      <c r="U93" s="895"/>
      <c r="V93" s="894"/>
      <c r="W93" s="894"/>
      <c r="X93" s="891"/>
      <c r="Y93" s="895"/>
      <c r="Z93" s="894"/>
      <c r="AA93" s="894"/>
      <c r="AB93" s="891"/>
      <c r="AC93" s="895"/>
      <c r="AD93" s="894"/>
      <c r="AE93" s="894"/>
      <c r="AF93" s="891"/>
      <c r="AG93" s="895"/>
      <c r="AH93" s="887"/>
      <c r="AI93" s="887"/>
      <c r="AJ93" s="891"/>
      <c r="AK93" s="889"/>
      <c r="AL93" s="890"/>
      <c r="AM93" s="890"/>
      <c r="AN93" s="896"/>
      <c r="AO93" s="897"/>
      <c r="AP93" s="898"/>
      <c r="AQ93" s="898"/>
      <c r="AR93" s="899"/>
      <c r="AS93" s="897"/>
      <c r="AT93" s="898"/>
      <c r="AU93" s="898"/>
      <c r="AV93" s="899"/>
      <c r="AW93" s="897"/>
      <c r="AX93" s="898"/>
      <c r="AY93" s="898"/>
      <c r="AZ93" s="899"/>
      <c r="BA93" s="897"/>
      <c r="BB93" s="898"/>
      <c r="BC93" s="898"/>
      <c r="BD93" s="899"/>
      <c r="BE93" s="897"/>
      <c r="BF93" s="898"/>
      <c r="BG93" s="898"/>
      <c r="BH93" s="899"/>
      <c r="BI93" s="897"/>
      <c r="BJ93" s="898"/>
      <c r="BK93" s="898"/>
      <c r="BL93" s="900"/>
      <c r="BM93" s="897"/>
      <c r="BN93" s="898"/>
      <c r="BO93" s="898"/>
      <c r="BP93" s="900"/>
      <c r="BQ93" s="901"/>
      <c r="BR93" s="902"/>
      <c r="BS93" s="902"/>
      <c r="BT93" s="903"/>
      <c r="BU93" s="904"/>
      <c r="BV93" s="905"/>
      <c r="BW93" s="906"/>
      <c r="BX93" s="907"/>
      <c r="BY93" s="901"/>
      <c r="BZ93" s="902"/>
      <c r="CA93" s="902"/>
      <c r="CB93" s="903"/>
      <c r="CC93" s="247"/>
      <c r="CD93" s="351"/>
      <c r="CE93" s="351"/>
      <c r="CF93" s="245"/>
      <c r="CG93" s="356"/>
      <c r="CH93" s="351"/>
      <c r="CI93" s="356"/>
      <c r="CJ93" s="246"/>
      <c r="CK93" s="908"/>
      <c r="CL93" s="909"/>
      <c r="CM93" s="908"/>
      <c r="CN93" s="908"/>
      <c r="CO93" s="908"/>
      <c r="CP93" s="908"/>
      <c r="CQ93" s="908"/>
      <c r="CR93" s="908"/>
      <c r="CS93" s="908"/>
      <c r="CT93" s="908"/>
      <c r="CU93" s="908"/>
      <c r="CV93" s="908"/>
      <c r="CW93" s="908"/>
      <c r="CX93" s="908"/>
      <c r="CY93" s="908"/>
      <c r="CZ93" s="908"/>
      <c r="DA93" s="908"/>
      <c r="DB93" s="908"/>
      <c r="DC93" s="908"/>
      <c r="DD93" s="908"/>
      <c r="DE93" s="1033"/>
      <c r="DF93" s="1084"/>
      <c r="DG93" s="910"/>
      <c r="DH93" s="910"/>
      <c r="DI93" s="1059">
        <f t="shared" si="19"/>
        <v>1165613.3</v>
      </c>
      <c r="DJ93" s="1059">
        <f t="shared" si="20"/>
        <v>1340455.2949999999</v>
      </c>
      <c r="DK93" s="153"/>
      <c r="DL93" s="154"/>
      <c r="DM93" s="1085"/>
      <c r="DN93" s="178"/>
      <c r="DO93" s="694">
        <f t="shared" si="14"/>
        <v>1165613.3</v>
      </c>
      <c r="DP93" s="694">
        <f>DO93-Detailed[[#This Row],[Column66]]</f>
        <v>0</v>
      </c>
      <c r="DQ93" s="694"/>
      <c r="DR93" s="179"/>
      <c r="DS93" s="231"/>
      <c r="DT93" s="179"/>
      <c r="DU93" s="179"/>
      <c r="DV93" s="179"/>
      <c r="DW93" s="179"/>
      <c r="DX93" s="179"/>
      <c r="DY93" s="179"/>
      <c r="DZ93" s="179"/>
      <c r="EA93" s="179"/>
      <c r="EB93" s="179"/>
      <c r="EC93" s="179"/>
      <c r="ED93" s="179"/>
      <c r="EE93" s="179"/>
      <c r="EF93" s="179"/>
      <c r="EG93" s="179"/>
      <c r="EH93" s="179"/>
      <c r="EI93" s="179"/>
      <c r="EJ93" s="179"/>
      <c r="EK93" s="179"/>
      <c r="EL93" s="179"/>
      <c r="EM93" s="179"/>
      <c r="EN93" s="179"/>
      <c r="EO93" s="179"/>
      <c r="EP93" s="179"/>
      <c r="EQ93" s="179"/>
      <c r="ER93" s="179"/>
      <c r="ES93" s="179"/>
      <c r="ET93" s="179"/>
      <c r="EU93" s="179"/>
      <c r="EV93" s="179"/>
      <c r="EW93" s="179"/>
      <c r="EX93" s="179"/>
      <c r="EY93" s="179"/>
      <c r="EZ93" s="179"/>
      <c r="FA93" s="179"/>
      <c r="FB93" s="179"/>
      <c r="FC93" s="179"/>
      <c r="FD93" s="179"/>
      <c r="FE93" s="179"/>
      <c r="FF93" s="179"/>
      <c r="FG93" s="179"/>
      <c r="FH93" s="179"/>
      <c r="FI93" s="179"/>
      <c r="FJ93" s="179"/>
      <c r="FK93" s="179"/>
      <c r="FL93" s="179"/>
      <c r="FM93" s="179"/>
      <c r="FN93" s="179"/>
      <c r="FO93" s="179"/>
      <c r="FP93" s="179"/>
      <c r="FQ93" s="179"/>
      <c r="FR93" s="179"/>
      <c r="FS93" s="179"/>
      <c r="FT93" s="179"/>
      <c r="FU93" s="179"/>
      <c r="FV93" s="179"/>
      <c r="FW93" s="179"/>
      <c r="FX93" s="179"/>
      <c r="FY93" s="179"/>
      <c r="FZ93" s="179"/>
      <c r="GA93" s="179"/>
      <c r="GB93" s="179"/>
      <c r="GC93" s="179"/>
      <c r="GD93" s="179"/>
      <c r="GE93" s="179"/>
      <c r="GF93" s="179"/>
      <c r="GG93" s="179"/>
      <c r="GH93" s="179"/>
      <c r="GI93" s="179"/>
      <c r="GJ93" s="179"/>
      <c r="GK93" s="179"/>
      <c r="GL93" s="179"/>
      <c r="GM93" s="179"/>
      <c r="GN93" s="179"/>
      <c r="GO93" s="179"/>
      <c r="GP93" s="179"/>
      <c r="GQ93" s="179"/>
      <c r="GR93" s="179"/>
      <c r="GS93" s="179"/>
      <c r="GT93" s="179"/>
      <c r="GU93" s="179"/>
      <c r="GV93" s="179"/>
      <c r="GW93" s="179"/>
      <c r="GX93" s="179"/>
      <c r="GY93" s="179"/>
      <c r="GZ93" s="179"/>
      <c r="HA93" s="179"/>
      <c r="HB93" s="179"/>
      <c r="HC93" s="179"/>
      <c r="HD93" s="179"/>
      <c r="HE93" s="179"/>
      <c r="HF93" s="179"/>
      <c r="HG93" s="179"/>
      <c r="HH93" s="179"/>
      <c r="HI93" s="179"/>
      <c r="HJ93" s="179"/>
      <c r="HK93" s="179"/>
      <c r="HL93" s="179"/>
      <c r="HM93" s="179"/>
      <c r="HN93" s="179"/>
      <c r="HO93" s="179"/>
      <c r="HP93" s="179"/>
      <c r="HQ93" s="179"/>
      <c r="HR93" s="179"/>
      <c r="HS93" s="179"/>
      <c r="HT93" s="179"/>
      <c r="HU93" s="179"/>
      <c r="HV93" s="179"/>
      <c r="HW93" s="179"/>
      <c r="HX93" s="179"/>
      <c r="HY93" s="179"/>
      <c r="HZ93" s="179"/>
      <c r="IA93" s="179"/>
      <c r="IB93" s="179"/>
      <c r="IC93" s="179"/>
      <c r="ID93" s="179"/>
      <c r="IE93" s="179"/>
      <c r="IF93" s="179"/>
      <c r="IG93" s="179"/>
      <c r="IH93" s="179"/>
      <c r="II93" s="179"/>
      <c r="IJ93" s="179"/>
      <c r="IK93" s="179"/>
      <c r="IL93" s="179"/>
      <c r="IM93" s="179"/>
      <c r="IN93" s="179"/>
      <c r="IO93" s="179"/>
      <c r="IP93" s="179"/>
      <c r="IQ93" s="179"/>
      <c r="IR93" s="179"/>
      <c r="IS93" s="179"/>
      <c r="IT93" s="179"/>
      <c r="IU93" s="179"/>
      <c r="IV93" s="179"/>
      <c r="IW93" s="179"/>
      <c r="IX93" s="179"/>
      <c r="IY93" s="179"/>
      <c r="IZ93" s="179"/>
      <c r="JA93" s="179"/>
      <c r="JB93" s="179"/>
      <c r="JC93" s="179"/>
      <c r="JD93" s="179"/>
      <c r="JE93" s="179"/>
      <c r="JF93" s="179"/>
      <c r="JG93" s="179"/>
      <c r="JH93" s="179"/>
      <c r="JI93" s="179"/>
    </row>
    <row r="94" spans="1:269" ht="16.8" thickTop="1" thickBot="1">
      <c r="A94" s="756" t="s">
        <v>236</v>
      </c>
      <c r="B94" s="880"/>
      <c r="C94" s="881"/>
      <c r="D94" s="882"/>
      <c r="E94" s="882"/>
      <c r="F94" s="883"/>
      <c r="G94" s="884"/>
      <c r="H94" s="59">
        <v>12</v>
      </c>
      <c r="I94" s="318">
        <v>45931</v>
      </c>
      <c r="J94" s="887">
        <v>1069979.68</v>
      </c>
      <c r="K94" s="202">
        <f t="shared" si="17"/>
        <v>160496.95199999999</v>
      </c>
      <c r="L94" s="67">
        <f t="shared" si="18"/>
        <v>1230476.632</v>
      </c>
      <c r="M94" s="889"/>
      <c r="N94" s="890"/>
      <c r="O94" s="890"/>
      <c r="P94" s="891"/>
      <c r="Q94" s="892"/>
      <c r="R94" s="893"/>
      <c r="S94" s="893"/>
      <c r="T94" s="894"/>
      <c r="U94" s="895"/>
      <c r="V94" s="894"/>
      <c r="W94" s="894"/>
      <c r="X94" s="891"/>
      <c r="Y94" s="895"/>
      <c r="Z94" s="894"/>
      <c r="AA94" s="894"/>
      <c r="AB94" s="891"/>
      <c r="AC94" s="895"/>
      <c r="AD94" s="894"/>
      <c r="AE94" s="894"/>
      <c r="AF94" s="891"/>
      <c r="AG94" s="895"/>
      <c r="AH94" s="887"/>
      <c r="AI94" s="887"/>
      <c r="AJ94" s="891"/>
      <c r="AK94" s="889"/>
      <c r="AL94" s="890"/>
      <c r="AM94" s="890"/>
      <c r="AN94" s="896"/>
      <c r="AO94" s="897"/>
      <c r="AP94" s="898"/>
      <c r="AQ94" s="898"/>
      <c r="AR94" s="899"/>
      <c r="AS94" s="897"/>
      <c r="AT94" s="898"/>
      <c r="AU94" s="898"/>
      <c r="AV94" s="899"/>
      <c r="AW94" s="897"/>
      <c r="AX94" s="898"/>
      <c r="AY94" s="898"/>
      <c r="AZ94" s="899"/>
      <c r="BA94" s="897"/>
      <c r="BB94" s="898"/>
      <c r="BC94" s="898"/>
      <c r="BD94" s="899"/>
      <c r="BE94" s="897"/>
      <c r="BF94" s="898"/>
      <c r="BG94" s="898"/>
      <c r="BH94" s="899"/>
      <c r="BI94" s="897"/>
      <c r="BJ94" s="898"/>
      <c r="BK94" s="898"/>
      <c r="BL94" s="900"/>
      <c r="BM94" s="897"/>
      <c r="BN94" s="898"/>
      <c r="BO94" s="898"/>
      <c r="BP94" s="900"/>
      <c r="BQ94" s="901"/>
      <c r="BR94" s="902"/>
      <c r="BS94" s="902"/>
      <c r="BT94" s="903"/>
      <c r="BU94" s="904"/>
      <c r="BV94" s="905"/>
      <c r="BW94" s="906"/>
      <c r="BX94" s="907"/>
      <c r="BY94" s="901"/>
      <c r="BZ94" s="902"/>
      <c r="CA94" s="902"/>
      <c r="CB94" s="903"/>
      <c r="CC94" s="247"/>
      <c r="CD94" s="351"/>
      <c r="CE94" s="351"/>
      <c r="CF94" s="245"/>
      <c r="CG94" s="356"/>
      <c r="CH94" s="351"/>
      <c r="CI94" s="356"/>
      <c r="CJ94" s="246"/>
      <c r="CK94" s="908"/>
      <c r="CL94" s="909"/>
      <c r="CM94" s="908"/>
      <c r="CN94" s="908"/>
      <c r="CO94" s="908"/>
      <c r="CP94" s="908"/>
      <c r="CQ94" s="908"/>
      <c r="CR94" s="908"/>
      <c r="CS94" s="908"/>
      <c r="CT94" s="908"/>
      <c r="CU94" s="908"/>
      <c r="CV94" s="908"/>
      <c r="CW94" s="908"/>
      <c r="CX94" s="908"/>
      <c r="CY94" s="908"/>
      <c r="CZ94" s="908"/>
      <c r="DA94" s="908"/>
      <c r="DB94" s="908"/>
      <c r="DC94" s="908"/>
      <c r="DD94" s="908"/>
      <c r="DE94" s="1033"/>
      <c r="DF94" s="1084"/>
      <c r="DG94" s="910"/>
      <c r="DH94" s="910"/>
      <c r="DI94" s="1059">
        <f t="shared" si="19"/>
        <v>1069979.68</v>
      </c>
      <c r="DJ94" s="1059">
        <f t="shared" si="20"/>
        <v>1230476.632</v>
      </c>
      <c r="DK94" s="153"/>
      <c r="DL94" s="154"/>
      <c r="DM94" s="1085"/>
      <c r="DN94" s="178"/>
      <c r="DO94" s="694">
        <f t="shared" si="14"/>
        <v>1069979.68</v>
      </c>
      <c r="DP94" s="694">
        <f>DO94-Detailed[[#This Row],[Column66]]</f>
        <v>0</v>
      </c>
      <c r="DQ94" s="694"/>
      <c r="DR94" s="179"/>
      <c r="DS94" s="231"/>
      <c r="DT94" s="179"/>
      <c r="DU94" s="179"/>
      <c r="DV94" s="179"/>
      <c r="DW94" s="179"/>
      <c r="DX94" s="179"/>
      <c r="DY94" s="179"/>
      <c r="DZ94" s="179"/>
      <c r="EA94" s="179"/>
      <c r="EB94" s="179"/>
      <c r="EC94" s="179"/>
      <c r="ED94" s="179"/>
      <c r="EE94" s="179"/>
      <c r="EF94" s="179"/>
      <c r="EG94" s="179"/>
      <c r="EH94" s="179"/>
      <c r="EI94" s="179"/>
      <c r="EJ94" s="179"/>
      <c r="EK94" s="179"/>
      <c r="EL94" s="179"/>
      <c r="EM94" s="179"/>
      <c r="EN94" s="179"/>
      <c r="EO94" s="179"/>
      <c r="EP94" s="179"/>
      <c r="EQ94" s="179"/>
      <c r="ER94" s="179"/>
      <c r="ES94" s="179"/>
      <c r="ET94" s="179"/>
      <c r="EU94" s="179"/>
      <c r="EV94" s="179"/>
      <c r="EW94" s="179"/>
      <c r="EX94" s="179"/>
      <c r="EY94" s="179"/>
      <c r="EZ94" s="179"/>
      <c r="FA94" s="179"/>
      <c r="FB94" s="179"/>
      <c r="FC94" s="179"/>
      <c r="FD94" s="179"/>
      <c r="FE94" s="179"/>
      <c r="FF94" s="179"/>
      <c r="FG94" s="179"/>
      <c r="FH94" s="179"/>
      <c r="FI94" s="179"/>
      <c r="FJ94" s="179"/>
      <c r="FK94" s="179"/>
      <c r="FL94" s="179"/>
      <c r="FM94" s="179"/>
      <c r="FN94" s="179"/>
      <c r="FO94" s="179"/>
      <c r="FP94" s="179"/>
      <c r="FQ94" s="179"/>
      <c r="FR94" s="179"/>
      <c r="FS94" s="179"/>
      <c r="FT94" s="179"/>
      <c r="FU94" s="179"/>
      <c r="FV94" s="179"/>
      <c r="FW94" s="179"/>
      <c r="FX94" s="179"/>
      <c r="FY94" s="179"/>
      <c r="FZ94" s="179"/>
      <c r="GA94" s="179"/>
      <c r="GB94" s="179"/>
      <c r="GC94" s="179"/>
      <c r="GD94" s="179"/>
      <c r="GE94" s="179"/>
      <c r="GF94" s="179"/>
      <c r="GG94" s="179"/>
      <c r="GH94" s="179"/>
      <c r="GI94" s="179"/>
      <c r="GJ94" s="179"/>
      <c r="GK94" s="179"/>
      <c r="GL94" s="179"/>
      <c r="GM94" s="179"/>
      <c r="GN94" s="179"/>
      <c r="GO94" s="179"/>
      <c r="GP94" s="179"/>
      <c r="GQ94" s="179"/>
      <c r="GR94" s="179"/>
      <c r="GS94" s="179"/>
      <c r="GT94" s="179"/>
      <c r="GU94" s="179"/>
      <c r="GV94" s="179"/>
      <c r="GW94" s="179"/>
      <c r="GX94" s="179"/>
      <c r="GY94" s="179"/>
      <c r="GZ94" s="179"/>
      <c r="HA94" s="179"/>
      <c r="HB94" s="179"/>
      <c r="HC94" s="179"/>
      <c r="HD94" s="179"/>
      <c r="HE94" s="179"/>
      <c r="HF94" s="179"/>
      <c r="HG94" s="179"/>
      <c r="HH94" s="179"/>
      <c r="HI94" s="179"/>
      <c r="HJ94" s="179"/>
      <c r="HK94" s="179"/>
      <c r="HL94" s="179"/>
      <c r="HM94" s="179"/>
      <c r="HN94" s="179"/>
      <c r="HO94" s="179"/>
      <c r="HP94" s="179"/>
      <c r="HQ94" s="179"/>
      <c r="HR94" s="179"/>
      <c r="HS94" s="179"/>
      <c r="HT94" s="179"/>
      <c r="HU94" s="179"/>
      <c r="HV94" s="179"/>
      <c r="HW94" s="179"/>
      <c r="HX94" s="179"/>
      <c r="HY94" s="179"/>
      <c r="HZ94" s="179"/>
      <c r="IA94" s="179"/>
      <c r="IB94" s="179"/>
      <c r="IC94" s="179"/>
      <c r="ID94" s="179"/>
      <c r="IE94" s="179"/>
      <c r="IF94" s="179"/>
      <c r="IG94" s="179"/>
      <c r="IH94" s="179"/>
      <c r="II94" s="179"/>
      <c r="IJ94" s="179"/>
      <c r="IK94" s="179"/>
      <c r="IL94" s="179"/>
      <c r="IM94" s="179"/>
      <c r="IN94" s="179"/>
      <c r="IO94" s="179"/>
      <c r="IP94" s="179"/>
      <c r="IQ94" s="179"/>
      <c r="IR94" s="179"/>
      <c r="IS94" s="179"/>
      <c r="IT94" s="179"/>
      <c r="IU94" s="179"/>
      <c r="IV94" s="179"/>
      <c r="IW94" s="179"/>
      <c r="IX94" s="179"/>
      <c r="IY94" s="179"/>
      <c r="IZ94" s="179"/>
      <c r="JA94" s="179"/>
      <c r="JB94" s="179"/>
      <c r="JC94" s="179"/>
      <c r="JD94" s="179"/>
      <c r="JE94" s="179"/>
      <c r="JF94" s="179"/>
      <c r="JG94" s="179"/>
      <c r="JH94" s="179"/>
      <c r="JI94" s="179"/>
    </row>
    <row r="95" spans="1:269" ht="16.8" thickTop="1" thickBot="1">
      <c r="A95" s="756" t="s">
        <v>236</v>
      </c>
      <c r="B95" s="880"/>
      <c r="C95" s="881"/>
      <c r="D95" s="882"/>
      <c r="E95" s="882"/>
      <c r="F95" s="883"/>
      <c r="G95" s="884"/>
      <c r="H95" s="59">
        <v>13</v>
      </c>
      <c r="I95" s="318">
        <v>45963</v>
      </c>
      <c r="J95" s="887">
        <v>1203549.1100000001</v>
      </c>
      <c r="K95" s="202">
        <f t="shared" si="17"/>
        <v>180532.3665</v>
      </c>
      <c r="L95" s="67">
        <f t="shared" si="18"/>
        <v>1384081.4765000001</v>
      </c>
      <c r="M95" s="889"/>
      <c r="N95" s="890"/>
      <c r="O95" s="890"/>
      <c r="P95" s="891"/>
      <c r="Q95" s="892"/>
      <c r="R95" s="893"/>
      <c r="S95" s="893"/>
      <c r="T95" s="894"/>
      <c r="U95" s="895"/>
      <c r="V95" s="894"/>
      <c r="W95" s="894"/>
      <c r="X95" s="891"/>
      <c r="Y95" s="895"/>
      <c r="Z95" s="894"/>
      <c r="AA95" s="894"/>
      <c r="AB95" s="891"/>
      <c r="AC95" s="895"/>
      <c r="AD95" s="894"/>
      <c r="AE95" s="894"/>
      <c r="AF95" s="891"/>
      <c r="AG95" s="895"/>
      <c r="AH95" s="887"/>
      <c r="AI95" s="887"/>
      <c r="AJ95" s="891"/>
      <c r="AK95" s="889"/>
      <c r="AL95" s="890"/>
      <c r="AM95" s="890"/>
      <c r="AN95" s="896"/>
      <c r="AO95" s="897"/>
      <c r="AP95" s="898"/>
      <c r="AQ95" s="898"/>
      <c r="AR95" s="899"/>
      <c r="AS95" s="897"/>
      <c r="AT95" s="898"/>
      <c r="AU95" s="898"/>
      <c r="AV95" s="899"/>
      <c r="AW95" s="897"/>
      <c r="AX95" s="898"/>
      <c r="AY95" s="898"/>
      <c r="AZ95" s="899"/>
      <c r="BA95" s="897"/>
      <c r="BB95" s="898"/>
      <c r="BC95" s="898"/>
      <c r="BD95" s="899"/>
      <c r="BE95" s="897"/>
      <c r="BF95" s="898"/>
      <c r="BG95" s="898"/>
      <c r="BH95" s="899"/>
      <c r="BI95" s="897"/>
      <c r="BJ95" s="898"/>
      <c r="BK95" s="898"/>
      <c r="BL95" s="900"/>
      <c r="BM95" s="897"/>
      <c r="BN95" s="898"/>
      <c r="BO95" s="898"/>
      <c r="BP95" s="900"/>
      <c r="BQ95" s="901"/>
      <c r="BR95" s="902"/>
      <c r="BS95" s="902"/>
      <c r="BT95" s="903"/>
      <c r="BU95" s="904"/>
      <c r="BV95" s="905"/>
      <c r="BW95" s="906"/>
      <c r="BX95" s="907"/>
      <c r="BY95" s="901"/>
      <c r="BZ95" s="902"/>
      <c r="CA95" s="902"/>
      <c r="CB95" s="903"/>
      <c r="CC95" s="247"/>
      <c r="CD95" s="351"/>
      <c r="CE95" s="351"/>
      <c r="CF95" s="245"/>
      <c r="CG95" s="356"/>
      <c r="CH95" s="351"/>
      <c r="CI95" s="356"/>
      <c r="CJ95" s="246"/>
      <c r="CK95" s="908"/>
      <c r="CL95" s="909"/>
      <c r="CM95" s="908"/>
      <c r="CN95" s="908"/>
      <c r="CO95" s="908"/>
      <c r="CP95" s="908"/>
      <c r="CQ95" s="908"/>
      <c r="CR95" s="908"/>
      <c r="CS95" s="908"/>
      <c r="CT95" s="908"/>
      <c r="CU95" s="908"/>
      <c r="CV95" s="908"/>
      <c r="CW95" s="908"/>
      <c r="CX95" s="908"/>
      <c r="CY95" s="908"/>
      <c r="CZ95" s="908"/>
      <c r="DA95" s="908"/>
      <c r="DB95" s="908"/>
      <c r="DC95" s="908"/>
      <c r="DD95" s="908"/>
      <c r="DE95" s="1033"/>
      <c r="DF95" s="1084"/>
      <c r="DG95" s="910"/>
      <c r="DH95" s="910"/>
      <c r="DI95" s="1059">
        <f t="shared" si="19"/>
        <v>1203549.1100000001</v>
      </c>
      <c r="DJ95" s="1059">
        <f t="shared" si="20"/>
        <v>1384081.4765000001</v>
      </c>
      <c r="DK95" s="153"/>
      <c r="DL95" s="154"/>
      <c r="DM95" s="1085"/>
      <c r="DN95" s="178"/>
      <c r="DO95" s="694">
        <f t="shared" si="14"/>
        <v>1203549.1100000001</v>
      </c>
      <c r="DP95" s="694">
        <f>DO95-Detailed[[#This Row],[Column66]]</f>
        <v>0</v>
      </c>
      <c r="DQ95" s="694"/>
      <c r="DR95" s="179"/>
      <c r="DS95" s="231">
        <f>DQ95-Detailed[[#This Row],[Column66]]</f>
        <v>-1203549.1100000001</v>
      </c>
      <c r="DT95" s="179"/>
      <c r="DU95" s="179"/>
      <c r="DV95" s="179"/>
      <c r="DW95" s="179"/>
      <c r="DX95" s="179"/>
      <c r="DY95" s="179"/>
      <c r="DZ95" s="179"/>
      <c r="EA95" s="179"/>
      <c r="EB95" s="179"/>
      <c r="EC95" s="179"/>
      <c r="ED95" s="179"/>
      <c r="EE95" s="179"/>
      <c r="EF95" s="179"/>
      <c r="EG95" s="179"/>
      <c r="EH95" s="179"/>
      <c r="EI95" s="179"/>
      <c r="EJ95" s="179"/>
      <c r="EK95" s="179"/>
      <c r="EL95" s="179"/>
      <c r="EM95" s="179"/>
      <c r="EN95" s="179"/>
      <c r="EO95" s="179"/>
      <c r="EP95" s="179"/>
      <c r="EQ95" s="179"/>
      <c r="ER95" s="179"/>
      <c r="ES95" s="179"/>
      <c r="ET95" s="179"/>
      <c r="EU95" s="179"/>
      <c r="EV95" s="179"/>
      <c r="EW95" s="179"/>
      <c r="EX95" s="179"/>
      <c r="EY95" s="179"/>
      <c r="EZ95" s="179"/>
      <c r="FA95" s="179"/>
      <c r="FB95" s="179"/>
      <c r="FC95" s="179"/>
      <c r="FD95" s="179"/>
      <c r="FE95" s="179"/>
      <c r="FF95" s="179"/>
      <c r="FG95" s="179"/>
      <c r="FH95" s="179"/>
      <c r="FI95" s="179"/>
      <c r="FJ95" s="179"/>
      <c r="FK95" s="179"/>
      <c r="FL95" s="179"/>
      <c r="FM95" s="179"/>
      <c r="FN95" s="179"/>
      <c r="FO95" s="179"/>
      <c r="FP95" s="179"/>
      <c r="FQ95" s="179"/>
      <c r="FR95" s="179"/>
      <c r="FS95" s="179"/>
      <c r="FT95" s="179"/>
      <c r="FU95" s="179"/>
      <c r="FV95" s="179"/>
      <c r="FW95" s="179"/>
      <c r="FX95" s="179"/>
      <c r="FY95" s="179"/>
      <c r="FZ95" s="179"/>
      <c r="GA95" s="179"/>
      <c r="GB95" s="179"/>
      <c r="GC95" s="179"/>
      <c r="GD95" s="179"/>
      <c r="GE95" s="179"/>
      <c r="GF95" s="179"/>
      <c r="GG95" s="179"/>
      <c r="GH95" s="179"/>
      <c r="GI95" s="179"/>
      <c r="GJ95" s="179"/>
      <c r="GK95" s="179"/>
      <c r="GL95" s="179"/>
      <c r="GM95" s="179"/>
      <c r="GN95" s="179"/>
      <c r="GO95" s="179"/>
      <c r="GP95" s="179"/>
      <c r="GQ95" s="179"/>
      <c r="GR95" s="179"/>
      <c r="GS95" s="179"/>
      <c r="GT95" s="179"/>
      <c r="GU95" s="179"/>
      <c r="GV95" s="179"/>
      <c r="GW95" s="179"/>
      <c r="GX95" s="179"/>
      <c r="GY95" s="179"/>
      <c r="GZ95" s="179"/>
      <c r="HA95" s="179"/>
      <c r="HB95" s="179"/>
      <c r="HC95" s="179"/>
      <c r="HD95" s="179"/>
      <c r="HE95" s="179"/>
      <c r="HF95" s="179"/>
      <c r="HG95" s="179"/>
      <c r="HH95" s="179"/>
      <c r="HI95" s="179"/>
      <c r="HJ95" s="179"/>
      <c r="HK95" s="179"/>
      <c r="HL95" s="179"/>
      <c r="HM95" s="179"/>
      <c r="HN95" s="179"/>
      <c r="HO95" s="179"/>
      <c r="HP95" s="179"/>
      <c r="HQ95" s="179"/>
      <c r="HR95" s="179"/>
      <c r="HS95" s="179"/>
      <c r="HT95" s="179"/>
      <c r="HU95" s="179"/>
      <c r="HV95" s="179"/>
      <c r="HW95" s="179"/>
      <c r="HX95" s="179"/>
      <c r="HY95" s="179"/>
      <c r="HZ95" s="179"/>
      <c r="IA95" s="179"/>
      <c r="IB95" s="179"/>
      <c r="IC95" s="179"/>
      <c r="ID95" s="179"/>
      <c r="IE95" s="179"/>
      <c r="IF95" s="179"/>
      <c r="IG95" s="179"/>
      <c r="IH95" s="179"/>
      <c r="II95" s="179"/>
      <c r="IJ95" s="179"/>
      <c r="IK95" s="179"/>
      <c r="IL95" s="179"/>
      <c r="IM95" s="179"/>
      <c r="IN95" s="179"/>
      <c r="IO95" s="179"/>
      <c r="IP95" s="179"/>
      <c r="IQ95" s="179"/>
      <c r="IR95" s="179"/>
      <c r="IS95" s="179"/>
      <c r="IT95" s="179"/>
      <c r="IU95" s="179"/>
      <c r="IV95" s="179"/>
      <c r="IW95" s="179"/>
      <c r="IX95" s="179"/>
      <c r="IY95" s="179"/>
      <c r="IZ95" s="179"/>
      <c r="JA95" s="179"/>
      <c r="JB95" s="179"/>
      <c r="JC95" s="179"/>
      <c r="JD95" s="179"/>
      <c r="JE95" s="179"/>
      <c r="JF95" s="179"/>
      <c r="JG95" s="179"/>
      <c r="JH95" s="179"/>
      <c r="JI95" s="179"/>
    </row>
    <row r="96" spans="1:269" ht="16.8" thickTop="1" thickBot="1">
      <c r="A96" s="756" t="s">
        <v>236</v>
      </c>
      <c r="B96" s="751"/>
      <c r="C96" s="570"/>
      <c r="D96" s="571"/>
      <c r="E96" s="571"/>
      <c r="F96" s="572"/>
      <c r="G96" s="573"/>
      <c r="H96" s="59">
        <v>14</v>
      </c>
      <c r="I96" s="318">
        <v>45994</v>
      </c>
      <c r="J96" s="575">
        <v>1075450.04</v>
      </c>
      <c r="K96" s="202">
        <f t="shared" si="17"/>
        <v>161317.50599999999</v>
      </c>
      <c r="L96" s="67">
        <f t="shared" si="18"/>
        <v>1236767.5460000001</v>
      </c>
      <c r="M96" s="576"/>
      <c r="N96" s="577"/>
      <c r="O96" s="577"/>
      <c r="P96" s="578"/>
      <c r="Q96" s="579"/>
      <c r="R96" s="580"/>
      <c r="S96" s="580"/>
      <c r="T96" s="581"/>
      <c r="U96" s="582"/>
      <c r="V96" s="581"/>
      <c r="W96" s="581"/>
      <c r="X96" s="578"/>
      <c r="Y96" s="582"/>
      <c r="Z96" s="581"/>
      <c r="AA96" s="581"/>
      <c r="AB96" s="578"/>
      <c r="AC96" s="582"/>
      <c r="AD96" s="581"/>
      <c r="AE96" s="581"/>
      <c r="AF96" s="578"/>
      <c r="AG96" s="582"/>
      <c r="AH96" s="575"/>
      <c r="AI96" s="575"/>
      <c r="AJ96" s="578"/>
      <c r="AK96" s="576"/>
      <c r="AL96" s="577"/>
      <c r="AM96" s="577"/>
      <c r="AN96" s="583"/>
      <c r="AO96" s="584"/>
      <c r="AP96" s="585"/>
      <c r="AQ96" s="585"/>
      <c r="AR96" s="586"/>
      <c r="AS96" s="584"/>
      <c r="AT96" s="585"/>
      <c r="AU96" s="585"/>
      <c r="AV96" s="586"/>
      <c r="AW96" s="584"/>
      <c r="AX96" s="585"/>
      <c r="AY96" s="585"/>
      <c r="AZ96" s="586"/>
      <c r="BA96" s="584"/>
      <c r="BB96" s="585"/>
      <c r="BC96" s="585"/>
      <c r="BD96" s="586"/>
      <c r="BE96" s="584"/>
      <c r="BF96" s="585"/>
      <c r="BG96" s="585"/>
      <c r="BH96" s="586"/>
      <c r="BI96" s="584"/>
      <c r="BJ96" s="585"/>
      <c r="BK96" s="585"/>
      <c r="BL96" s="587"/>
      <c r="BM96" s="584"/>
      <c r="BN96" s="585"/>
      <c r="BO96" s="585"/>
      <c r="BP96" s="587"/>
      <c r="BQ96" s="588"/>
      <c r="BR96" s="589"/>
      <c r="BS96" s="589"/>
      <c r="BT96" s="590"/>
      <c r="BU96" s="591"/>
      <c r="BV96" s="592"/>
      <c r="BW96" s="593"/>
      <c r="BX96" s="594"/>
      <c r="BY96" s="588"/>
      <c r="BZ96" s="589"/>
      <c r="CA96" s="589"/>
      <c r="CB96" s="590"/>
      <c r="CC96" s="247"/>
      <c r="CD96" s="351"/>
      <c r="CE96" s="351"/>
      <c r="CF96" s="245"/>
      <c r="CG96" s="356"/>
      <c r="CH96" s="351"/>
      <c r="CI96" s="356"/>
      <c r="CJ96" s="246"/>
      <c r="CK96" s="595"/>
      <c r="CL96" s="596"/>
      <c r="CM96" s="595"/>
      <c r="CN96" s="595"/>
      <c r="CO96" s="595"/>
      <c r="CP96" s="595"/>
      <c r="CQ96" s="595"/>
      <c r="CR96" s="595"/>
      <c r="CS96" s="595"/>
      <c r="CT96" s="595"/>
      <c r="CU96" s="595"/>
      <c r="CV96" s="595"/>
      <c r="CW96" s="595"/>
      <c r="CX96" s="595"/>
      <c r="CY96" s="595"/>
      <c r="CZ96" s="595"/>
      <c r="DA96" s="595"/>
      <c r="DB96" s="595"/>
      <c r="DC96" s="595"/>
      <c r="DD96" s="595"/>
      <c r="DE96" s="1033"/>
      <c r="DF96" s="1101"/>
      <c r="DG96" s="597"/>
      <c r="DH96" s="597"/>
      <c r="DI96" s="1059">
        <f t="shared" si="19"/>
        <v>1075450.04</v>
      </c>
      <c r="DJ96" s="1059">
        <f t="shared" si="20"/>
        <v>1236767.5460000001</v>
      </c>
      <c r="DK96" s="153"/>
      <c r="DL96" s="154"/>
      <c r="DM96" s="1102"/>
      <c r="DN96" s="178"/>
      <c r="DO96" s="694">
        <f t="shared" si="14"/>
        <v>1075450.04</v>
      </c>
      <c r="DP96" s="694">
        <f>DO96-Detailed[[#This Row],[Column66]]</f>
        <v>0</v>
      </c>
      <c r="DQ96" s="179"/>
      <c r="DR96" s="179"/>
      <c r="DS96" s="231">
        <f>DQ96-Detailed[[#This Row],[Column66]]</f>
        <v>-1075450.04</v>
      </c>
      <c r="DT96" s="179"/>
      <c r="DU96" s="179"/>
      <c r="DV96" s="179"/>
      <c r="DW96" s="179"/>
      <c r="DX96" s="179"/>
      <c r="DY96" s="179"/>
      <c r="DZ96" s="179"/>
      <c r="EA96" s="179"/>
      <c r="EB96" s="179"/>
      <c r="EC96" s="179"/>
      <c r="ED96" s="179"/>
      <c r="EE96" s="179"/>
      <c r="EF96" s="179"/>
      <c r="EG96" s="179"/>
      <c r="EH96" s="179"/>
      <c r="EI96" s="179"/>
      <c r="EJ96" s="179"/>
      <c r="EK96" s="179"/>
      <c r="EL96" s="179"/>
      <c r="EM96" s="179"/>
      <c r="EN96" s="179"/>
      <c r="EO96" s="179"/>
      <c r="EP96" s="179"/>
      <c r="EQ96" s="179"/>
      <c r="ER96" s="179"/>
      <c r="ES96" s="179"/>
      <c r="ET96" s="179"/>
      <c r="EU96" s="179"/>
      <c r="EV96" s="179"/>
      <c r="EW96" s="179"/>
      <c r="EX96" s="179"/>
      <c r="EY96" s="179"/>
      <c r="EZ96" s="179"/>
      <c r="FA96" s="179"/>
      <c r="FB96" s="179"/>
      <c r="FC96" s="179"/>
      <c r="FD96" s="179"/>
      <c r="FE96" s="179"/>
      <c r="FF96" s="179"/>
      <c r="FG96" s="179"/>
      <c r="FH96" s="179"/>
      <c r="FI96" s="179"/>
      <c r="FJ96" s="179"/>
      <c r="FK96" s="179"/>
      <c r="FL96" s="179"/>
      <c r="FM96" s="179"/>
      <c r="FN96" s="179"/>
      <c r="FO96" s="179"/>
      <c r="FP96" s="179"/>
      <c r="FQ96" s="179"/>
      <c r="FR96" s="179"/>
      <c r="FS96" s="179"/>
      <c r="FT96" s="179"/>
      <c r="FU96" s="179"/>
      <c r="FV96" s="179"/>
      <c r="FW96" s="179"/>
      <c r="FX96" s="179"/>
      <c r="FY96" s="179"/>
      <c r="FZ96" s="179"/>
      <c r="GA96" s="179"/>
      <c r="GB96" s="179"/>
      <c r="GC96" s="179"/>
      <c r="GD96" s="179"/>
      <c r="GE96" s="179"/>
      <c r="GF96" s="179"/>
      <c r="GG96" s="179"/>
      <c r="GH96" s="179"/>
      <c r="GI96" s="179"/>
      <c r="GJ96" s="179"/>
      <c r="GK96" s="179"/>
      <c r="GL96" s="179"/>
      <c r="GM96" s="179"/>
      <c r="GN96" s="179"/>
      <c r="GO96" s="179"/>
      <c r="GP96" s="179"/>
      <c r="GQ96" s="179"/>
      <c r="GR96" s="179"/>
      <c r="GS96" s="179"/>
      <c r="GT96" s="179"/>
      <c r="GU96" s="179"/>
      <c r="GV96" s="179"/>
      <c r="GW96" s="179"/>
      <c r="GX96" s="179"/>
      <c r="GY96" s="179"/>
      <c r="GZ96" s="179"/>
      <c r="HA96" s="179"/>
      <c r="HB96" s="179"/>
      <c r="HC96" s="179"/>
      <c r="HD96" s="179"/>
      <c r="HE96" s="179"/>
      <c r="HF96" s="179"/>
      <c r="HG96" s="179"/>
      <c r="HH96" s="179"/>
      <c r="HI96" s="179"/>
      <c r="HJ96" s="179"/>
      <c r="HK96" s="179"/>
      <c r="HL96" s="179"/>
      <c r="HM96" s="179"/>
      <c r="HN96" s="179"/>
      <c r="HO96" s="179"/>
      <c r="HP96" s="179"/>
      <c r="HQ96" s="179"/>
      <c r="HR96" s="179"/>
      <c r="HS96" s="179"/>
      <c r="HT96" s="179"/>
      <c r="HU96" s="179"/>
      <c r="HV96" s="179"/>
      <c r="HW96" s="179"/>
      <c r="HX96" s="179"/>
      <c r="HY96" s="179"/>
      <c r="HZ96" s="179"/>
      <c r="IA96" s="179"/>
      <c r="IB96" s="179"/>
      <c r="IC96" s="179"/>
      <c r="ID96" s="179"/>
      <c r="IE96" s="179"/>
      <c r="IF96" s="179"/>
      <c r="IG96" s="179"/>
      <c r="IH96" s="179"/>
      <c r="II96" s="179"/>
      <c r="IJ96" s="179"/>
      <c r="IK96" s="179"/>
      <c r="IL96" s="179"/>
      <c r="IM96" s="179"/>
      <c r="IN96" s="179"/>
      <c r="IO96" s="179"/>
      <c r="IP96" s="179"/>
      <c r="IQ96" s="179"/>
      <c r="IR96" s="179"/>
      <c r="IS96" s="179"/>
      <c r="IT96" s="179"/>
      <c r="IU96" s="179"/>
      <c r="IV96" s="179"/>
      <c r="IW96" s="179"/>
      <c r="IX96" s="179"/>
      <c r="IY96" s="179"/>
      <c r="IZ96" s="179"/>
      <c r="JA96" s="179"/>
      <c r="JB96" s="179"/>
      <c r="JC96" s="179"/>
      <c r="JD96" s="179"/>
      <c r="JE96" s="179"/>
      <c r="JF96" s="179"/>
      <c r="JG96" s="179"/>
      <c r="JH96" s="179"/>
      <c r="JI96" s="179"/>
    </row>
    <row r="97" spans="1:269" ht="16.8" thickTop="1" thickBot="1">
      <c r="A97" s="757" t="s">
        <v>236</v>
      </c>
      <c r="B97" s="753"/>
      <c r="C97" s="654"/>
      <c r="D97" s="655"/>
      <c r="E97" s="655"/>
      <c r="F97" s="656"/>
      <c r="G97" s="657"/>
      <c r="H97" s="658"/>
      <c r="I97" s="659"/>
      <c r="J97" s="345">
        <f>SUM(J83:J96)</f>
        <v>14858654.789999999</v>
      </c>
      <c r="K97" s="660"/>
      <c r="L97" s="345">
        <f>SUM(L83:L96)</f>
        <v>17087453.008500002</v>
      </c>
      <c r="M97" s="661"/>
      <c r="N97" s="662"/>
      <c r="O97" s="662"/>
      <c r="P97" s="663"/>
      <c r="Q97" s="664"/>
      <c r="R97" s="665"/>
      <c r="S97" s="665"/>
      <c r="T97" s="666"/>
      <c r="U97" s="667"/>
      <c r="V97" s="666"/>
      <c r="W97" s="666"/>
      <c r="X97" s="663"/>
      <c r="Y97" s="667"/>
      <c r="Z97" s="666"/>
      <c r="AA97" s="666"/>
      <c r="AB97" s="663"/>
      <c r="AC97" s="667"/>
      <c r="AD97" s="666"/>
      <c r="AE97" s="666"/>
      <c r="AF97" s="663"/>
      <c r="AG97" s="667"/>
      <c r="AH97" s="660"/>
      <c r="AI97" s="660"/>
      <c r="AJ97" s="663"/>
      <c r="AK97" s="661"/>
      <c r="AL97" s="662"/>
      <c r="AM97" s="662"/>
      <c r="AN97" s="668"/>
      <c r="AO97" s="669"/>
      <c r="AP97" s="670"/>
      <c r="AQ97" s="670"/>
      <c r="AR97" s="671"/>
      <c r="AS97" s="669"/>
      <c r="AT97" s="670"/>
      <c r="AU97" s="670"/>
      <c r="AV97" s="671"/>
      <c r="AW97" s="669"/>
      <c r="AX97" s="670"/>
      <c r="AY97" s="670"/>
      <c r="AZ97" s="671"/>
      <c r="BA97" s="669"/>
      <c r="BB97" s="670"/>
      <c r="BC97" s="670"/>
      <c r="BD97" s="671"/>
      <c r="BE97" s="669"/>
      <c r="BF97" s="670"/>
      <c r="BG97" s="670"/>
      <c r="BH97" s="671"/>
      <c r="BI97" s="669"/>
      <c r="BJ97" s="670"/>
      <c r="BK97" s="670"/>
      <c r="BL97" s="672"/>
      <c r="BM97" s="669"/>
      <c r="BN97" s="670"/>
      <c r="BO97" s="670"/>
      <c r="BP97" s="672"/>
      <c r="BQ97" s="673"/>
      <c r="BR97" s="674"/>
      <c r="BS97" s="674"/>
      <c r="BT97" s="675"/>
      <c r="BU97" s="676"/>
      <c r="BV97" s="677"/>
      <c r="BW97" s="678"/>
      <c r="BX97" s="679"/>
      <c r="BY97" s="673"/>
      <c r="BZ97" s="674"/>
      <c r="CA97" s="674"/>
      <c r="CB97" s="675"/>
      <c r="CC97" s="249"/>
      <c r="CD97" s="353"/>
      <c r="CE97" s="353"/>
      <c r="CF97" s="360"/>
      <c r="CG97" s="358"/>
      <c r="CH97" s="353"/>
      <c r="CI97" s="358"/>
      <c r="CJ97" s="248"/>
      <c r="CK97" s="680"/>
      <c r="CL97" s="681"/>
      <c r="CM97" s="680"/>
      <c r="CN97" s="680"/>
      <c r="CO97" s="680"/>
      <c r="CP97" s="680"/>
      <c r="CQ97" s="680"/>
      <c r="CR97" s="680"/>
      <c r="CS97" s="680"/>
      <c r="CT97" s="680"/>
      <c r="CU97" s="680"/>
      <c r="CV97" s="680"/>
      <c r="CW97" s="680"/>
      <c r="CX97" s="680"/>
      <c r="CY97" s="680"/>
      <c r="CZ97" s="680"/>
      <c r="DA97" s="680"/>
      <c r="DB97" s="680"/>
      <c r="DC97" s="680"/>
      <c r="DD97" s="680"/>
      <c r="DE97" s="1034"/>
      <c r="DF97" s="1105"/>
      <c r="DG97" s="682"/>
      <c r="DH97" s="682"/>
      <c r="DI97" s="1059">
        <f t="shared" si="19"/>
        <v>14858654.789999999</v>
      </c>
      <c r="DJ97" s="1059">
        <f t="shared" si="20"/>
        <v>17087453.008500002</v>
      </c>
      <c r="DK97" s="683"/>
      <c r="DL97" s="684"/>
      <c r="DM97" s="1106"/>
      <c r="DN97" s="178"/>
      <c r="DO97" s="694">
        <f t="shared" si="14"/>
        <v>14858654.789999999</v>
      </c>
      <c r="DP97" s="694">
        <f>DO97-Detailed[[#This Row],[Column66]]</f>
        <v>0</v>
      </c>
      <c r="DQ97" s="179"/>
      <c r="DR97" s="179"/>
      <c r="DS97" s="231">
        <f>DQ97-Detailed[[#This Row],[Column66]]</f>
        <v>-14858654.789999999</v>
      </c>
      <c r="DT97" s="179"/>
      <c r="DU97" s="179"/>
      <c r="DV97" s="179"/>
      <c r="DW97" s="179"/>
      <c r="DX97" s="179"/>
      <c r="DY97" s="179"/>
      <c r="DZ97" s="179"/>
      <c r="EA97" s="179"/>
      <c r="EB97" s="179"/>
      <c r="EC97" s="179"/>
      <c r="ED97" s="179"/>
      <c r="EE97" s="179"/>
      <c r="EF97" s="179"/>
      <c r="EG97" s="179"/>
      <c r="EH97" s="179"/>
      <c r="EI97" s="179"/>
      <c r="EJ97" s="179"/>
      <c r="EK97" s="179"/>
      <c r="EL97" s="179"/>
      <c r="EM97" s="179"/>
      <c r="EN97" s="179"/>
      <c r="EO97" s="179"/>
      <c r="EP97" s="179"/>
      <c r="EQ97" s="179"/>
      <c r="ER97" s="179"/>
      <c r="ES97" s="179"/>
      <c r="ET97" s="179"/>
      <c r="EU97" s="179"/>
      <c r="EV97" s="179"/>
      <c r="EW97" s="179"/>
      <c r="EX97" s="179"/>
      <c r="EY97" s="179"/>
      <c r="EZ97" s="179"/>
      <c r="FA97" s="179"/>
      <c r="FB97" s="179"/>
      <c r="FC97" s="179"/>
      <c r="FD97" s="179"/>
      <c r="FE97" s="179"/>
      <c r="FF97" s="179"/>
      <c r="FG97" s="179"/>
      <c r="FH97" s="179"/>
      <c r="FI97" s="179"/>
      <c r="FJ97" s="179"/>
      <c r="FK97" s="179"/>
      <c r="FL97" s="179"/>
      <c r="FM97" s="179"/>
      <c r="FN97" s="179"/>
      <c r="FO97" s="179"/>
      <c r="FP97" s="179"/>
      <c r="FQ97" s="179"/>
      <c r="FR97" s="179"/>
      <c r="FS97" s="179"/>
      <c r="FT97" s="179"/>
      <c r="FU97" s="179"/>
      <c r="FV97" s="179"/>
      <c r="FW97" s="179"/>
      <c r="FX97" s="179"/>
      <c r="FY97" s="179"/>
      <c r="FZ97" s="179"/>
      <c r="GA97" s="179"/>
      <c r="GB97" s="179"/>
      <c r="GC97" s="179"/>
      <c r="GD97" s="179"/>
      <c r="GE97" s="179"/>
      <c r="GF97" s="179"/>
      <c r="GG97" s="179"/>
      <c r="GH97" s="179"/>
      <c r="GI97" s="179"/>
      <c r="GJ97" s="179"/>
      <c r="GK97" s="179"/>
      <c r="GL97" s="179"/>
      <c r="GM97" s="179"/>
      <c r="GN97" s="179"/>
      <c r="GO97" s="179"/>
      <c r="GP97" s="179"/>
      <c r="GQ97" s="179"/>
      <c r="GR97" s="179"/>
      <c r="GS97" s="179"/>
      <c r="GT97" s="179"/>
      <c r="GU97" s="179"/>
      <c r="GV97" s="179"/>
      <c r="GW97" s="179"/>
      <c r="GX97" s="179"/>
      <c r="GY97" s="179"/>
      <c r="GZ97" s="179"/>
      <c r="HA97" s="179"/>
      <c r="HB97" s="179"/>
      <c r="HC97" s="179"/>
      <c r="HD97" s="179"/>
      <c r="HE97" s="179"/>
      <c r="HF97" s="179"/>
      <c r="HG97" s="179"/>
      <c r="HH97" s="179"/>
      <c r="HI97" s="179"/>
      <c r="HJ97" s="179"/>
      <c r="HK97" s="179"/>
      <c r="HL97" s="179"/>
      <c r="HM97" s="179"/>
      <c r="HN97" s="179"/>
      <c r="HO97" s="179"/>
      <c r="HP97" s="179"/>
      <c r="HQ97" s="179"/>
      <c r="HR97" s="179"/>
      <c r="HS97" s="179"/>
      <c r="HT97" s="179"/>
      <c r="HU97" s="179"/>
      <c r="HV97" s="179"/>
      <c r="HW97" s="179"/>
      <c r="HX97" s="179"/>
      <c r="HY97" s="179"/>
      <c r="HZ97" s="179"/>
      <c r="IA97" s="179"/>
      <c r="IB97" s="179"/>
      <c r="IC97" s="179"/>
      <c r="ID97" s="179"/>
      <c r="IE97" s="179"/>
      <c r="IF97" s="179"/>
      <c r="IG97" s="179"/>
      <c r="IH97" s="179"/>
      <c r="II97" s="179"/>
      <c r="IJ97" s="179"/>
      <c r="IK97" s="179"/>
      <c r="IL97" s="179"/>
      <c r="IM97" s="179"/>
      <c r="IN97" s="179"/>
      <c r="IO97" s="179"/>
      <c r="IP97" s="179"/>
      <c r="IQ97" s="179"/>
      <c r="IR97" s="179"/>
      <c r="IS97" s="179"/>
      <c r="IT97" s="179"/>
      <c r="IU97" s="179"/>
      <c r="IV97" s="179"/>
      <c r="IW97" s="179"/>
      <c r="IX97" s="179"/>
      <c r="IY97" s="179"/>
      <c r="IZ97" s="179"/>
      <c r="JA97" s="179"/>
      <c r="JB97" s="179"/>
      <c r="JC97" s="179"/>
      <c r="JD97" s="179"/>
      <c r="JE97" s="179"/>
      <c r="JF97" s="179"/>
      <c r="JG97" s="179"/>
      <c r="JH97" s="179"/>
      <c r="JI97" s="179"/>
    </row>
    <row r="98" spans="1:269" ht="16.8" thickTop="1" thickBot="1">
      <c r="A98" s="637" t="s">
        <v>316</v>
      </c>
      <c r="B98" s="130"/>
      <c r="C98" s="181"/>
      <c r="D98" s="180"/>
      <c r="E98" s="180"/>
      <c r="F98" s="497"/>
      <c r="G98" s="463" t="s">
        <v>317</v>
      </c>
      <c r="H98" s="98">
        <f>F12</f>
        <v>19856000</v>
      </c>
      <c r="I98" s="638"/>
      <c r="J98" s="639"/>
      <c r="K98" s="639"/>
      <c r="L98" s="640"/>
      <c r="M98" s="641"/>
      <c r="N98" s="642"/>
      <c r="O98" s="642"/>
      <c r="P98" s="643"/>
      <c r="Q98" s="644"/>
      <c r="R98" s="645"/>
      <c r="S98" s="645"/>
      <c r="T98" s="646"/>
      <c r="U98" s="647"/>
      <c r="V98" s="646"/>
      <c r="W98" s="646"/>
      <c r="X98" s="643"/>
      <c r="Y98" s="647"/>
      <c r="Z98" s="646"/>
      <c r="AA98" s="646"/>
      <c r="AB98" s="643"/>
      <c r="AC98" s="647"/>
      <c r="AD98" s="646"/>
      <c r="AE98" s="646"/>
      <c r="AF98" s="643"/>
      <c r="AG98" s="647"/>
      <c r="AH98" s="639"/>
      <c r="AI98" s="639"/>
      <c r="AJ98" s="643"/>
      <c r="AK98" s="641"/>
      <c r="AL98" s="642"/>
      <c r="AM98" s="642"/>
      <c r="AN98" s="648"/>
      <c r="AO98" s="649"/>
      <c r="AP98" s="650"/>
      <c r="AQ98" s="650"/>
      <c r="AR98" s="651"/>
      <c r="AS98" s="649"/>
      <c r="AT98" s="650"/>
      <c r="AU98" s="650"/>
      <c r="AV98" s="651"/>
      <c r="AW98" s="649"/>
      <c r="AX98" s="650"/>
      <c r="AY98" s="650"/>
      <c r="AZ98" s="651"/>
      <c r="BA98" s="649"/>
      <c r="BB98" s="650"/>
      <c r="BC98" s="650"/>
      <c r="BD98" s="651"/>
      <c r="BE98" s="649"/>
      <c r="BF98" s="650"/>
      <c r="BG98" s="650"/>
      <c r="BH98" s="651"/>
      <c r="BI98" s="649"/>
      <c r="BJ98" s="650"/>
      <c r="BK98" s="650"/>
      <c r="BL98" s="652"/>
      <c r="BM98" s="649"/>
      <c r="BN98" s="650"/>
      <c r="BO98" s="650"/>
      <c r="BP98" s="652"/>
      <c r="BQ98" s="627"/>
      <c r="BR98" s="628"/>
      <c r="BS98" s="628"/>
      <c r="BT98" s="629"/>
      <c r="BU98" s="630"/>
      <c r="BV98" s="631"/>
      <c r="BW98" s="632"/>
      <c r="BX98" s="653"/>
      <c r="BY98" s="627"/>
      <c r="BZ98" s="628"/>
      <c r="CA98" s="628"/>
      <c r="CB98" s="629"/>
      <c r="CC98" s="247"/>
      <c r="CD98" s="351"/>
      <c r="CE98" s="351"/>
      <c r="CF98" s="245"/>
      <c r="CG98" s="356"/>
      <c r="CH98" s="351"/>
      <c r="CI98" s="356"/>
      <c r="CJ98" s="246"/>
      <c r="CK98" s="634"/>
      <c r="CL98" s="635"/>
      <c r="CM98" s="634"/>
      <c r="CN98" s="634"/>
      <c r="CO98" s="634"/>
      <c r="CP98" s="634"/>
      <c r="CQ98" s="634"/>
      <c r="CR98" s="634"/>
      <c r="CS98" s="634"/>
      <c r="CT98" s="634"/>
      <c r="CU98" s="634"/>
      <c r="CV98" s="634"/>
      <c r="CW98" s="634"/>
      <c r="CX98" s="634"/>
      <c r="CY98" s="634"/>
      <c r="CZ98" s="634"/>
      <c r="DA98" s="634"/>
      <c r="DB98" s="634"/>
      <c r="DC98" s="634"/>
      <c r="DD98" s="634"/>
      <c r="DE98" s="1033"/>
      <c r="DF98" s="1107"/>
      <c r="DG98" s="636"/>
      <c r="DH98" s="636"/>
      <c r="DI98" s="391">
        <f t="shared" ref="DI98:DI102" si="21">SUM(J98,N98,R98,V98,Z98,AD98,AH98,AL98,AP98,AT98,AX98,BB98,BF98,BJ98,BN98,BR98,BV98,BZ98,CD98,CH98,CL98,CP98,CT98,CX98,DB98)</f>
        <v>0</v>
      </c>
      <c r="DJ98" s="636"/>
      <c r="DK98" s="183"/>
      <c r="DL98" s="184"/>
      <c r="DM98" s="1108"/>
      <c r="DN98" s="178"/>
      <c r="DO98" s="694">
        <f t="shared" si="14"/>
        <v>0</v>
      </c>
      <c r="DP98" s="694">
        <f>DO98-Detailed[[#This Row],[Column66]]</f>
        <v>0</v>
      </c>
      <c r="DQ98" s="179"/>
      <c r="DR98" s="179"/>
      <c r="DS98" s="231">
        <f>DQ98-Detailed[[#This Row],[Column66]]</f>
        <v>0</v>
      </c>
      <c r="DT98" s="179"/>
      <c r="DU98" s="179"/>
      <c r="DV98" s="179"/>
      <c r="DW98" s="179"/>
      <c r="DX98" s="179"/>
      <c r="DY98" s="179"/>
      <c r="DZ98" s="179"/>
      <c r="EA98" s="179"/>
      <c r="EB98" s="179"/>
      <c r="EC98" s="179"/>
      <c r="ED98" s="179"/>
      <c r="EE98" s="179"/>
      <c r="EF98" s="179"/>
      <c r="EG98" s="179"/>
      <c r="EH98" s="179"/>
      <c r="EI98" s="179"/>
      <c r="EJ98" s="179"/>
      <c r="EK98" s="179"/>
      <c r="EL98" s="179"/>
      <c r="EM98" s="179"/>
      <c r="EN98" s="179"/>
      <c r="EO98" s="179"/>
      <c r="EP98" s="179"/>
      <c r="EQ98" s="179"/>
      <c r="ER98" s="179"/>
      <c r="ES98" s="179"/>
      <c r="ET98" s="179"/>
      <c r="EU98" s="179"/>
      <c r="EV98" s="179"/>
      <c r="EW98" s="179"/>
      <c r="EX98" s="179"/>
      <c r="EY98" s="179"/>
      <c r="EZ98" s="179"/>
      <c r="FA98" s="179"/>
      <c r="FB98" s="179"/>
      <c r="FC98" s="179"/>
      <c r="FD98" s="179"/>
      <c r="FE98" s="179"/>
      <c r="FF98" s="179"/>
      <c r="FG98" s="179"/>
      <c r="FH98" s="179"/>
      <c r="FI98" s="179"/>
      <c r="FJ98" s="179"/>
      <c r="FK98" s="179"/>
      <c r="FL98" s="179"/>
      <c r="FM98" s="179"/>
      <c r="FN98" s="179"/>
      <c r="FO98" s="179"/>
      <c r="FP98" s="179"/>
      <c r="FQ98" s="179"/>
      <c r="FR98" s="179"/>
      <c r="FS98" s="179"/>
      <c r="FT98" s="179"/>
      <c r="FU98" s="179"/>
      <c r="FV98" s="179"/>
      <c r="FW98" s="179"/>
      <c r="FX98" s="179"/>
      <c r="FY98" s="179"/>
      <c r="FZ98" s="179"/>
      <c r="GA98" s="179"/>
      <c r="GB98" s="179"/>
      <c r="GC98" s="179"/>
      <c r="GD98" s="179"/>
      <c r="GE98" s="179"/>
      <c r="GF98" s="179"/>
      <c r="GG98" s="179"/>
      <c r="GH98" s="179"/>
      <c r="GI98" s="179"/>
      <c r="GJ98" s="179"/>
      <c r="GK98" s="179"/>
      <c r="GL98" s="179"/>
      <c r="GM98" s="179"/>
      <c r="GN98" s="179"/>
      <c r="GO98" s="179"/>
      <c r="GP98" s="179"/>
      <c r="GQ98" s="179"/>
      <c r="GR98" s="179"/>
      <c r="GS98" s="179"/>
      <c r="GT98" s="179"/>
      <c r="GU98" s="179"/>
      <c r="GV98" s="179"/>
      <c r="GW98" s="179"/>
      <c r="GX98" s="179"/>
      <c r="GY98" s="179"/>
      <c r="GZ98" s="179"/>
      <c r="HA98" s="179"/>
      <c r="HB98" s="179"/>
      <c r="HC98" s="179"/>
      <c r="HD98" s="179"/>
      <c r="HE98" s="179"/>
      <c r="HF98" s="179"/>
      <c r="HG98" s="179"/>
      <c r="HH98" s="179"/>
      <c r="HI98" s="179"/>
      <c r="HJ98" s="179"/>
      <c r="HK98" s="179"/>
      <c r="HL98" s="179"/>
      <c r="HM98" s="179"/>
      <c r="HN98" s="179"/>
      <c r="HO98" s="179"/>
      <c r="HP98" s="179"/>
      <c r="HQ98" s="179"/>
      <c r="HR98" s="179"/>
      <c r="HS98" s="179"/>
      <c r="HT98" s="179"/>
      <c r="HU98" s="179"/>
      <c r="HV98" s="179"/>
      <c r="HW98" s="179"/>
      <c r="HX98" s="179"/>
      <c r="HY98" s="179"/>
      <c r="HZ98" s="179"/>
      <c r="IA98" s="179"/>
      <c r="IB98" s="179"/>
      <c r="IC98" s="179"/>
      <c r="ID98" s="179"/>
      <c r="IE98" s="179"/>
      <c r="IF98" s="179"/>
      <c r="IG98" s="179"/>
      <c r="IH98" s="179"/>
      <c r="II98" s="179"/>
      <c r="IJ98" s="179"/>
      <c r="IK98" s="179"/>
      <c r="IL98" s="179"/>
      <c r="IM98" s="179"/>
      <c r="IN98" s="179"/>
      <c r="IO98" s="179"/>
      <c r="IP98" s="179"/>
      <c r="IQ98" s="179"/>
      <c r="IR98" s="179"/>
      <c r="IS98" s="179"/>
      <c r="IT98" s="179"/>
      <c r="IU98" s="179"/>
      <c r="IV98" s="179"/>
      <c r="IW98" s="179"/>
      <c r="IX98" s="179"/>
      <c r="IY98" s="179"/>
      <c r="IZ98" s="179"/>
      <c r="JA98" s="179"/>
      <c r="JB98" s="179"/>
      <c r="JC98" s="179"/>
      <c r="JD98" s="179"/>
      <c r="JE98" s="179"/>
      <c r="JF98" s="179"/>
      <c r="JG98" s="179"/>
      <c r="JH98" s="179"/>
      <c r="JI98" s="179"/>
    </row>
    <row r="99" spans="1:269" ht="16.8" thickTop="1" thickBot="1">
      <c r="A99" s="637" t="s">
        <v>316</v>
      </c>
      <c r="B99" s="607">
        <v>1</v>
      </c>
      <c r="C99" s="139" t="s">
        <v>318</v>
      </c>
      <c r="D99" s="608"/>
      <c r="E99" s="608"/>
      <c r="F99" s="609"/>
      <c r="G99" s="610"/>
      <c r="H99" s="611">
        <v>7940002</v>
      </c>
      <c r="I99" s="318">
        <v>45685</v>
      </c>
      <c r="J99" s="613">
        <f>'Engicon - P1'!M31</f>
        <v>3062572.2</v>
      </c>
      <c r="K99" s="202">
        <f>J99*15%</f>
        <v>459385.83</v>
      </c>
      <c r="L99" s="67">
        <f>J99+K99</f>
        <v>3521958.0300000003</v>
      </c>
      <c r="M99" s="318">
        <v>45848</v>
      </c>
      <c r="N99" s="55">
        <f>'Engicon - P1'!O31</f>
        <v>1814857.6</v>
      </c>
      <c r="O99" s="202">
        <f>N99*15%</f>
        <v>272228.64</v>
      </c>
      <c r="P99" s="47">
        <f>N99+O99</f>
        <v>2087086.2400000002</v>
      </c>
      <c r="Q99" s="618"/>
      <c r="R99" s="619"/>
      <c r="S99" s="619"/>
      <c r="T99" s="620"/>
      <c r="U99" s="621"/>
      <c r="V99" s="620"/>
      <c r="W99" s="620"/>
      <c r="X99" s="617"/>
      <c r="Y99" s="621"/>
      <c r="Z99" s="620"/>
      <c r="AA99" s="620"/>
      <c r="AB99" s="617"/>
      <c r="AC99" s="615">
        <v>45938</v>
      </c>
      <c r="AD99" s="620">
        <f>'Engicon - P1'!S31</f>
        <v>2296929.16</v>
      </c>
      <c r="AE99" s="63">
        <f>AD99*15%</f>
        <v>344539.37400000001</v>
      </c>
      <c r="AF99" s="56">
        <f>AD99+AE99</f>
        <v>2641468.534</v>
      </c>
      <c r="AG99" s="621"/>
      <c r="AH99" s="613"/>
      <c r="AI99" s="613"/>
      <c r="AJ99" s="617"/>
      <c r="AK99" s="64">
        <v>45991</v>
      </c>
      <c r="AL99" s="63">
        <f>'Engicon - P1'!U31</f>
        <v>765643.05</v>
      </c>
      <c r="AM99" s="202">
        <f>AL99*15%</f>
        <v>114846.4575</v>
      </c>
      <c r="AN99" s="47">
        <f>AL99+AM99</f>
        <v>880489.50750000007</v>
      </c>
      <c r="AO99" s="623"/>
      <c r="AP99" s="624"/>
      <c r="AQ99" s="624"/>
      <c r="AR99" s="625"/>
      <c r="AS99" s="623"/>
      <c r="AT99" s="624"/>
      <c r="AU99" s="624"/>
      <c r="AV99" s="625"/>
      <c r="AW99" s="623"/>
      <c r="AX99" s="624"/>
      <c r="AY99" s="624"/>
      <c r="AZ99" s="625"/>
      <c r="BA99" s="623"/>
      <c r="BB99" s="624"/>
      <c r="BC99" s="624"/>
      <c r="BD99" s="625"/>
      <c r="BE99" s="623"/>
      <c r="BF99" s="624"/>
      <c r="BG99" s="624"/>
      <c r="BH99" s="625"/>
      <c r="BI99" s="623"/>
      <c r="BJ99" s="624"/>
      <c r="BK99" s="624"/>
      <c r="BL99" s="626"/>
      <c r="BM99" s="623"/>
      <c r="BN99" s="624"/>
      <c r="BO99" s="624"/>
      <c r="BP99" s="626"/>
      <c r="BQ99" s="627"/>
      <c r="BR99" s="628"/>
      <c r="BS99" s="628"/>
      <c r="BT99" s="629"/>
      <c r="BU99" s="630"/>
      <c r="BV99" s="631"/>
      <c r="BW99" s="632"/>
      <c r="BX99" s="633"/>
      <c r="BY99" s="627"/>
      <c r="BZ99" s="628"/>
      <c r="CA99" s="628"/>
      <c r="CB99" s="629"/>
      <c r="CC99" s="247"/>
      <c r="CD99" s="351"/>
      <c r="CE99" s="351"/>
      <c r="CF99" s="245"/>
      <c r="CG99" s="356"/>
      <c r="CH99" s="351"/>
      <c r="CI99" s="356"/>
      <c r="CJ99" s="246"/>
      <c r="CK99" s="634"/>
      <c r="CL99" s="635"/>
      <c r="CM99" s="634"/>
      <c r="CN99" s="634"/>
      <c r="CO99" s="634"/>
      <c r="CP99" s="634"/>
      <c r="CQ99" s="634"/>
      <c r="CR99" s="634"/>
      <c r="CS99" s="634"/>
      <c r="CT99" s="634"/>
      <c r="CU99" s="634"/>
      <c r="CV99" s="634"/>
      <c r="CW99" s="634"/>
      <c r="CX99" s="634"/>
      <c r="CY99" s="634"/>
      <c r="CZ99" s="634"/>
      <c r="DA99" s="634"/>
      <c r="DB99" s="634"/>
      <c r="DC99" s="634"/>
      <c r="DD99" s="634"/>
      <c r="DE99" s="1033"/>
      <c r="DF99" s="1063">
        <f>H99</f>
        <v>7940002</v>
      </c>
      <c r="DG99" s="1064">
        <f>DF99*15%</f>
        <v>1191000.3</v>
      </c>
      <c r="DH99" s="1064">
        <f>DF99+DG99</f>
        <v>9131002.3000000007</v>
      </c>
      <c r="DI99" s="1059">
        <f>SUMPRODUCT((MOD(COLUMN(I99:DD99)-COLUMN(I99),4)=1)*I99:DD99)</f>
        <v>7940002.0100000007</v>
      </c>
      <c r="DJ99" s="1059">
        <f>SUMPRODUCT((MOD(COLUMN(I99:DD99)-COLUMN(J99),4)=2)*I99:DD99)</f>
        <v>9131002.3114999998</v>
      </c>
      <c r="DK99" s="1067">
        <v>1</v>
      </c>
      <c r="DL99" s="1068">
        <f>DK99*DF99</f>
        <v>7940002</v>
      </c>
      <c r="DM99" s="1069">
        <f>DL99-DI99</f>
        <v>-1.0000000707805157E-2</v>
      </c>
      <c r="DN99" s="178"/>
      <c r="DO99" s="694">
        <f t="shared" si="14"/>
        <v>7940002.0100000007</v>
      </c>
      <c r="DP99" s="694">
        <f>DO99-Detailed[[#This Row],[Column66]]</f>
        <v>0</v>
      </c>
      <c r="DQ99" s="179"/>
      <c r="DR99" s="179"/>
      <c r="DS99" s="231">
        <f>DQ99-Detailed[[#This Row],[Column66]]</f>
        <v>-7940002.0100000007</v>
      </c>
      <c r="DT99" s="179"/>
      <c r="DU99" s="179"/>
      <c r="DV99" s="179"/>
      <c r="DW99" s="179"/>
      <c r="DX99" s="179"/>
      <c r="DY99" s="179"/>
      <c r="DZ99" s="179"/>
      <c r="EA99" s="179"/>
      <c r="EB99" s="179"/>
      <c r="EC99" s="179"/>
      <c r="ED99" s="179"/>
      <c r="EE99" s="179"/>
      <c r="EF99" s="179"/>
      <c r="EG99" s="179"/>
      <c r="EH99" s="179"/>
      <c r="EI99" s="179"/>
      <c r="EJ99" s="179"/>
      <c r="EK99" s="179"/>
      <c r="EL99" s="179"/>
      <c r="EM99" s="179"/>
      <c r="EN99" s="179"/>
      <c r="EO99" s="179"/>
      <c r="EP99" s="179"/>
      <c r="EQ99" s="179"/>
      <c r="ER99" s="179"/>
      <c r="ES99" s="179"/>
      <c r="ET99" s="179"/>
      <c r="EU99" s="179"/>
      <c r="EV99" s="179"/>
      <c r="EW99" s="179"/>
      <c r="EX99" s="179"/>
      <c r="EY99" s="179"/>
      <c r="EZ99" s="179"/>
      <c r="FA99" s="179"/>
      <c r="FB99" s="179"/>
      <c r="FC99" s="179"/>
      <c r="FD99" s="179"/>
      <c r="FE99" s="179"/>
      <c r="FF99" s="179"/>
      <c r="FG99" s="179"/>
      <c r="FH99" s="179"/>
      <c r="FI99" s="179"/>
      <c r="FJ99" s="179"/>
      <c r="FK99" s="179"/>
      <c r="FL99" s="179"/>
      <c r="FM99" s="179"/>
      <c r="FN99" s="179"/>
      <c r="FO99" s="179"/>
      <c r="FP99" s="179"/>
      <c r="FQ99" s="179"/>
      <c r="FR99" s="179"/>
      <c r="FS99" s="179"/>
      <c r="FT99" s="179"/>
      <c r="FU99" s="179"/>
      <c r="FV99" s="179"/>
      <c r="FW99" s="179"/>
      <c r="FX99" s="179"/>
      <c r="FY99" s="179"/>
      <c r="FZ99" s="179"/>
      <c r="GA99" s="179"/>
      <c r="GB99" s="179"/>
      <c r="GC99" s="179"/>
      <c r="GD99" s="179"/>
      <c r="GE99" s="179"/>
      <c r="GF99" s="179"/>
      <c r="GG99" s="179"/>
      <c r="GH99" s="179"/>
      <c r="GI99" s="179"/>
      <c r="GJ99" s="179"/>
      <c r="GK99" s="179"/>
      <c r="GL99" s="179"/>
      <c r="GM99" s="179"/>
      <c r="GN99" s="179"/>
      <c r="GO99" s="179"/>
      <c r="GP99" s="179"/>
      <c r="GQ99" s="179"/>
      <c r="GR99" s="179"/>
      <c r="GS99" s="179"/>
      <c r="GT99" s="179"/>
      <c r="GU99" s="179"/>
      <c r="GV99" s="179"/>
      <c r="GW99" s="179"/>
      <c r="GX99" s="179"/>
      <c r="GY99" s="179"/>
      <c r="GZ99" s="179"/>
      <c r="HA99" s="179"/>
      <c r="HB99" s="179"/>
      <c r="HC99" s="179"/>
      <c r="HD99" s="179"/>
      <c r="HE99" s="179"/>
      <c r="HF99" s="179"/>
      <c r="HG99" s="179"/>
      <c r="HH99" s="179"/>
      <c r="HI99" s="179"/>
      <c r="HJ99" s="179"/>
      <c r="HK99" s="179"/>
      <c r="HL99" s="179"/>
      <c r="HM99" s="179"/>
      <c r="HN99" s="179"/>
      <c r="HO99" s="179"/>
      <c r="HP99" s="179"/>
      <c r="HQ99" s="179"/>
      <c r="HR99" s="179"/>
      <c r="HS99" s="179"/>
      <c r="HT99" s="179"/>
      <c r="HU99" s="179"/>
      <c r="HV99" s="179"/>
      <c r="HW99" s="179"/>
      <c r="HX99" s="179"/>
      <c r="HY99" s="179"/>
      <c r="HZ99" s="179"/>
      <c r="IA99" s="179"/>
      <c r="IB99" s="179"/>
      <c r="IC99" s="179"/>
      <c r="ID99" s="179"/>
      <c r="IE99" s="179"/>
      <c r="IF99" s="179"/>
      <c r="IG99" s="179"/>
      <c r="IH99" s="179"/>
      <c r="II99" s="179"/>
      <c r="IJ99" s="179"/>
      <c r="IK99" s="179"/>
      <c r="IL99" s="179"/>
      <c r="IM99" s="179"/>
      <c r="IN99" s="179"/>
      <c r="IO99" s="179"/>
      <c r="IP99" s="179"/>
      <c r="IQ99" s="179"/>
      <c r="IR99" s="179"/>
      <c r="IS99" s="179"/>
      <c r="IT99" s="179"/>
      <c r="IU99" s="179"/>
      <c r="IV99" s="179"/>
      <c r="IW99" s="179"/>
      <c r="IX99" s="179"/>
      <c r="IY99" s="179"/>
      <c r="IZ99" s="179"/>
      <c r="JA99" s="179"/>
      <c r="JB99" s="179"/>
      <c r="JC99" s="179"/>
      <c r="JD99" s="179"/>
      <c r="JE99" s="179"/>
      <c r="JF99" s="179"/>
      <c r="JG99" s="179"/>
      <c r="JH99" s="179"/>
      <c r="JI99" s="179"/>
    </row>
    <row r="100" spans="1:269" ht="16.2" thickTop="1">
      <c r="A100" s="637" t="s">
        <v>316</v>
      </c>
      <c r="B100" s="607">
        <v>2</v>
      </c>
      <c r="C100" s="139" t="s">
        <v>336</v>
      </c>
      <c r="D100" s="608"/>
      <c r="E100" s="608"/>
      <c r="F100" s="609"/>
      <c r="G100" s="58" t="s">
        <v>337</v>
      </c>
      <c r="H100" s="611">
        <v>1658659</v>
      </c>
      <c r="I100" s="318">
        <v>45685</v>
      </c>
      <c r="J100" s="613">
        <f>'Engicon - P1'!M15</f>
        <v>746396.55</v>
      </c>
      <c r="K100" s="202">
        <f>J100*15%</f>
        <v>111959.4825</v>
      </c>
      <c r="L100" s="67">
        <f>J100+K100</f>
        <v>858356.03250000009</v>
      </c>
      <c r="M100" s="318">
        <v>45848</v>
      </c>
      <c r="N100" s="55">
        <f>'Engicon - P1'!O15</f>
        <v>912262.45000000007</v>
      </c>
      <c r="O100" s="202">
        <f>N100*15%</f>
        <v>136839.36749999999</v>
      </c>
      <c r="P100" s="47">
        <f>N100+O100</f>
        <v>1049101.8175000001</v>
      </c>
      <c r="Q100" s="318"/>
      <c r="R100" s="55"/>
      <c r="S100" s="202"/>
      <c r="T100" s="47"/>
      <c r="U100" s="621"/>
      <c r="V100" s="620"/>
      <c r="W100" s="620"/>
      <c r="X100" s="617"/>
      <c r="Y100" s="621"/>
      <c r="Z100" s="620"/>
      <c r="AA100" s="620"/>
      <c r="AB100" s="617"/>
      <c r="AC100" s="621"/>
      <c r="AD100" s="620"/>
      <c r="AE100" s="620"/>
      <c r="AF100" s="617"/>
      <c r="AG100" s="621"/>
      <c r="AH100" s="613"/>
      <c r="AI100" s="613"/>
      <c r="AJ100" s="617"/>
      <c r="AK100" s="615"/>
      <c r="AL100" s="616"/>
      <c r="AM100" s="616"/>
      <c r="AN100" s="622"/>
      <c r="AO100" s="623"/>
      <c r="AP100" s="624"/>
      <c r="AQ100" s="624"/>
      <c r="AR100" s="625"/>
      <c r="AS100" s="623"/>
      <c r="AT100" s="624"/>
      <c r="AU100" s="624"/>
      <c r="AV100" s="625"/>
      <c r="AW100" s="623"/>
      <c r="AX100" s="624"/>
      <c r="AY100" s="624"/>
      <c r="AZ100" s="625"/>
      <c r="BA100" s="623"/>
      <c r="BB100" s="624"/>
      <c r="BC100" s="624"/>
      <c r="BD100" s="625"/>
      <c r="BE100" s="623"/>
      <c r="BF100" s="624"/>
      <c r="BG100" s="624"/>
      <c r="BH100" s="625"/>
      <c r="BI100" s="623"/>
      <c r="BJ100" s="624"/>
      <c r="BK100" s="624"/>
      <c r="BL100" s="626"/>
      <c r="BM100" s="623"/>
      <c r="BN100" s="624"/>
      <c r="BO100" s="624"/>
      <c r="BP100" s="626"/>
      <c r="BQ100" s="627"/>
      <c r="BR100" s="628"/>
      <c r="BS100" s="628"/>
      <c r="BT100" s="629"/>
      <c r="BU100" s="630"/>
      <c r="BV100" s="631"/>
      <c r="BW100" s="632"/>
      <c r="BX100" s="633"/>
      <c r="BY100" s="627"/>
      <c r="BZ100" s="628"/>
      <c r="CA100" s="628"/>
      <c r="CB100" s="629"/>
      <c r="CC100" s="247"/>
      <c r="CD100" s="351"/>
      <c r="CE100" s="351"/>
      <c r="CF100" s="245"/>
      <c r="CG100" s="356"/>
      <c r="CH100" s="351"/>
      <c r="CI100" s="356"/>
      <c r="CJ100" s="246"/>
      <c r="CK100" s="634"/>
      <c r="CL100" s="635"/>
      <c r="CM100" s="634"/>
      <c r="CN100" s="634"/>
      <c r="CO100" s="634"/>
      <c r="CP100" s="634"/>
      <c r="CQ100" s="634"/>
      <c r="CR100" s="634"/>
      <c r="CS100" s="634"/>
      <c r="CT100" s="634"/>
      <c r="CU100" s="634"/>
      <c r="CV100" s="634"/>
      <c r="CW100" s="634"/>
      <c r="CX100" s="634"/>
      <c r="CY100" s="634"/>
      <c r="CZ100" s="634"/>
      <c r="DA100" s="634"/>
      <c r="DB100" s="634"/>
      <c r="DC100" s="634"/>
      <c r="DD100" s="634"/>
      <c r="DE100" s="161"/>
      <c r="DF100" s="128">
        <f>H100</f>
        <v>1658659</v>
      </c>
      <c r="DG100" s="128">
        <f>DF100*15%</f>
        <v>248798.84999999998</v>
      </c>
      <c r="DH100" s="128">
        <f>DF100+DG100</f>
        <v>1907457.85</v>
      </c>
      <c r="DI100" s="391">
        <f t="shared" si="21"/>
        <v>1658659</v>
      </c>
      <c r="DJ100" s="549">
        <f>Detailed[[#This Row],[Column12]]+Detailed[[#This Row],[Column16]]+Detailed[[#This Row],[Column20]]+Detailed[[#This Row],[Column24]]+Detailed[[#This Row],[Column28]]+Detailed[[#This Row],[Column32]]</f>
        <v>1907457.85</v>
      </c>
      <c r="DK100" s="183">
        <v>1</v>
      </c>
      <c r="DL100" s="184">
        <f>DK100*DF100</f>
        <v>1658659</v>
      </c>
      <c r="DM100" s="377">
        <f>DL100-DI100</f>
        <v>0</v>
      </c>
      <c r="DN100" s="178"/>
      <c r="DO100" s="694">
        <f t="shared" si="14"/>
        <v>1658659</v>
      </c>
      <c r="DP100" s="694">
        <f>DO100-Detailed[[#This Row],[Column66]]</f>
        <v>0</v>
      </c>
      <c r="DQ100" s="179"/>
      <c r="DR100" s="179"/>
      <c r="DS100" s="231"/>
      <c r="DT100" s="179"/>
      <c r="DU100" s="179"/>
      <c r="DV100" s="179"/>
      <c r="DW100" s="179"/>
      <c r="DX100" s="179"/>
      <c r="DY100" s="179"/>
      <c r="DZ100" s="179"/>
      <c r="EA100" s="179"/>
      <c r="EB100" s="179"/>
      <c r="EC100" s="179"/>
      <c r="ED100" s="179"/>
      <c r="EE100" s="179"/>
      <c r="EF100" s="179"/>
      <c r="EG100" s="179"/>
      <c r="EH100" s="179"/>
      <c r="EI100" s="179"/>
      <c r="EJ100" s="179"/>
      <c r="EK100" s="179"/>
      <c r="EL100" s="179"/>
      <c r="EM100" s="179"/>
      <c r="EN100" s="179"/>
      <c r="EO100" s="179"/>
      <c r="EP100" s="179"/>
      <c r="EQ100" s="179"/>
      <c r="ER100" s="179"/>
      <c r="ES100" s="179"/>
      <c r="ET100" s="179"/>
      <c r="EU100" s="179"/>
      <c r="EV100" s="179"/>
      <c r="EW100" s="179"/>
      <c r="EX100" s="179"/>
      <c r="EY100" s="179"/>
      <c r="EZ100" s="179"/>
      <c r="FA100" s="179"/>
      <c r="FB100" s="179"/>
      <c r="FC100" s="179"/>
      <c r="FD100" s="179"/>
      <c r="FE100" s="179"/>
      <c r="FF100" s="179"/>
      <c r="FG100" s="179"/>
      <c r="FH100" s="179"/>
      <c r="FI100" s="179"/>
      <c r="FJ100" s="179"/>
      <c r="FK100" s="179"/>
      <c r="FL100" s="179"/>
      <c r="FM100" s="179"/>
      <c r="FN100" s="179"/>
      <c r="FO100" s="179"/>
      <c r="FP100" s="179"/>
      <c r="FQ100" s="179"/>
      <c r="FR100" s="179"/>
      <c r="FS100" s="179"/>
      <c r="FT100" s="179"/>
      <c r="FU100" s="179"/>
      <c r="FV100" s="179"/>
      <c r="FW100" s="179"/>
      <c r="FX100" s="179"/>
      <c r="FY100" s="179"/>
      <c r="FZ100" s="179"/>
      <c r="GA100" s="179"/>
      <c r="GB100" s="179"/>
      <c r="GC100" s="179"/>
      <c r="GD100" s="179"/>
      <c r="GE100" s="179"/>
      <c r="GF100" s="179"/>
      <c r="GG100" s="179"/>
      <c r="GH100" s="179"/>
      <c r="GI100" s="179"/>
      <c r="GJ100" s="179"/>
      <c r="GK100" s="179"/>
      <c r="GL100" s="179"/>
      <c r="GM100" s="179"/>
      <c r="GN100" s="179"/>
      <c r="GO100" s="179"/>
      <c r="GP100" s="179"/>
      <c r="GQ100" s="179"/>
      <c r="GR100" s="179"/>
      <c r="GS100" s="179"/>
      <c r="GT100" s="179"/>
      <c r="GU100" s="179"/>
      <c r="GV100" s="179"/>
      <c r="GW100" s="179"/>
      <c r="GX100" s="179"/>
      <c r="GY100" s="179"/>
      <c r="GZ100" s="179"/>
      <c r="HA100" s="179"/>
      <c r="HB100" s="179"/>
      <c r="HC100" s="179"/>
      <c r="HD100" s="179"/>
      <c r="HE100" s="179"/>
      <c r="HF100" s="179"/>
      <c r="HG100" s="179"/>
      <c r="HH100" s="179"/>
      <c r="HI100" s="179"/>
      <c r="HJ100" s="179"/>
      <c r="HK100" s="179"/>
      <c r="HL100" s="179"/>
      <c r="HM100" s="179"/>
      <c r="HN100" s="179"/>
      <c r="HO100" s="179"/>
      <c r="HP100" s="179"/>
      <c r="HQ100" s="179"/>
      <c r="HR100" s="179"/>
      <c r="HS100" s="179"/>
      <c r="HT100" s="179"/>
      <c r="HU100" s="179"/>
      <c r="HV100" s="179"/>
      <c r="HW100" s="179"/>
      <c r="HX100" s="179"/>
      <c r="HY100" s="179"/>
      <c r="HZ100" s="179"/>
      <c r="IA100" s="179"/>
      <c r="IB100" s="179"/>
      <c r="IC100" s="179"/>
      <c r="ID100" s="179"/>
      <c r="IE100" s="179"/>
      <c r="IF100" s="179"/>
      <c r="IG100" s="179"/>
      <c r="IH100" s="179"/>
      <c r="II100" s="179"/>
      <c r="IJ100" s="179"/>
      <c r="IK100" s="179"/>
      <c r="IL100" s="179"/>
      <c r="IM100" s="179"/>
      <c r="IN100" s="179"/>
      <c r="IO100" s="179"/>
      <c r="IP100" s="179"/>
      <c r="IQ100" s="179"/>
      <c r="IR100" s="179"/>
      <c r="IS100" s="179"/>
      <c r="IT100" s="179"/>
      <c r="IU100" s="179"/>
      <c r="IV100" s="179"/>
      <c r="IW100" s="179"/>
      <c r="IX100" s="179"/>
      <c r="IY100" s="179"/>
      <c r="IZ100" s="179"/>
      <c r="JA100" s="179"/>
      <c r="JB100" s="179"/>
      <c r="JC100" s="179"/>
      <c r="JD100" s="179"/>
      <c r="JE100" s="179"/>
      <c r="JF100" s="179"/>
      <c r="JG100" s="179"/>
      <c r="JH100" s="179"/>
      <c r="JI100" s="179"/>
    </row>
    <row r="101" spans="1:269" ht="15.6">
      <c r="A101" s="637" t="s">
        <v>316</v>
      </c>
      <c r="B101" s="57">
        <v>3</v>
      </c>
      <c r="C101" s="139" t="s">
        <v>348</v>
      </c>
      <c r="D101" s="141"/>
      <c r="E101" s="141"/>
      <c r="F101" s="142"/>
      <c r="G101" s="58" t="s">
        <v>346</v>
      </c>
      <c r="H101" s="59">
        <v>1192999</v>
      </c>
      <c r="I101" s="66"/>
      <c r="J101" s="55"/>
      <c r="K101" s="55"/>
      <c r="L101" s="67"/>
      <c r="M101" s="318"/>
      <c r="N101" s="55"/>
      <c r="O101" s="202"/>
      <c r="P101" s="47"/>
      <c r="Q101" s="318">
        <v>45859</v>
      </c>
      <c r="R101" s="55">
        <f>'Engicon - P1'!Q42</f>
        <v>119240</v>
      </c>
      <c r="S101" s="202">
        <f>R101*15%</f>
        <v>17886</v>
      </c>
      <c r="T101" s="47">
        <f>R101+S101</f>
        <v>137126</v>
      </c>
      <c r="U101" s="318">
        <v>45893</v>
      </c>
      <c r="V101" s="63">
        <f>'Engicon - P1'!S42</f>
        <v>417907</v>
      </c>
      <c r="W101" s="202">
        <f>V101*15%</f>
        <v>62686.049999999996</v>
      </c>
      <c r="X101" s="47">
        <f>V101+W101</f>
        <v>480593.05</v>
      </c>
      <c r="Y101" s="64">
        <v>45929</v>
      </c>
      <c r="Z101" s="63">
        <f>'Engicon - P1'!W42</f>
        <v>268306</v>
      </c>
      <c r="AA101" s="63">
        <f>Z101*15%</f>
        <v>40245.9</v>
      </c>
      <c r="AB101" s="56">
        <f>Z101+AA101</f>
        <v>308551.90000000002</v>
      </c>
      <c r="AC101" s="54"/>
      <c r="AD101" s="63"/>
      <c r="AE101" s="63"/>
      <c r="AF101" s="56"/>
      <c r="AG101" s="615">
        <v>45959</v>
      </c>
      <c r="AH101" s="55">
        <f>'Engicon - P1'!Y42</f>
        <v>387546</v>
      </c>
      <c r="AI101" s="63">
        <f>AH101*15%</f>
        <v>58131.9</v>
      </c>
      <c r="AJ101" s="56">
        <f>Detailed[[#This Row],[Column34]]+Detailed[[#This Row],[Column35]]</f>
        <v>445677.9</v>
      </c>
      <c r="AK101" s="64"/>
      <c r="AL101" s="65"/>
      <c r="AM101" s="65"/>
      <c r="AN101" s="125"/>
      <c r="AO101" s="123"/>
      <c r="AP101" s="124"/>
      <c r="AQ101" s="124"/>
      <c r="AR101" s="121"/>
      <c r="AS101" s="123"/>
      <c r="AT101" s="124"/>
      <c r="AU101" s="124"/>
      <c r="AV101" s="121"/>
      <c r="AW101" s="123"/>
      <c r="AX101" s="124"/>
      <c r="AY101" s="124"/>
      <c r="AZ101" s="121"/>
      <c r="BA101" s="123"/>
      <c r="BB101" s="124"/>
      <c r="BC101" s="124"/>
      <c r="BD101" s="121"/>
      <c r="BE101" s="123"/>
      <c r="BF101" s="124"/>
      <c r="BG101" s="124"/>
      <c r="BH101" s="121"/>
      <c r="BI101" s="123"/>
      <c r="BJ101" s="124"/>
      <c r="BK101" s="124"/>
      <c r="BL101" s="122"/>
      <c r="BM101" s="123"/>
      <c r="BN101" s="124"/>
      <c r="BO101" s="124"/>
      <c r="BP101" s="122"/>
      <c r="BQ101" s="158"/>
      <c r="BR101" s="434"/>
      <c r="BS101" s="434"/>
      <c r="BT101" s="443"/>
      <c r="BU101" s="173"/>
      <c r="BV101" s="215"/>
      <c r="BW101" s="444"/>
      <c r="BX101" s="205"/>
      <c r="BY101" s="158"/>
      <c r="BZ101" s="434"/>
      <c r="CA101" s="434"/>
      <c r="CB101" s="443"/>
      <c r="CC101" s="247"/>
      <c r="CD101" s="351"/>
      <c r="CE101" s="351"/>
      <c r="CF101" s="245"/>
      <c r="CG101" s="356"/>
      <c r="CH101" s="351"/>
      <c r="CI101" s="356"/>
      <c r="CJ101" s="246"/>
      <c r="CK101" s="311"/>
      <c r="CL101" s="352"/>
      <c r="CM101" s="311"/>
      <c r="CN101" s="311"/>
      <c r="CO101" s="311"/>
      <c r="CP101" s="311"/>
      <c r="CQ101" s="311"/>
      <c r="CR101" s="311"/>
      <c r="CS101" s="311"/>
      <c r="CT101" s="311"/>
      <c r="CU101" s="311"/>
      <c r="CV101" s="311"/>
      <c r="CW101" s="311"/>
      <c r="CX101" s="311"/>
      <c r="CY101" s="311"/>
      <c r="CZ101" s="311"/>
      <c r="DA101" s="311"/>
      <c r="DB101" s="311"/>
      <c r="DC101" s="311"/>
      <c r="DD101" s="311"/>
      <c r="DE101" s="161"/>
      <c r="DF101" s="126">
        <f>H101</f>
        <v>1192999</v>
      </c>
      <c r="DG101" s="126">
        <f>DF101*15%</f>
        <v>178949.85</v>
      </c>
      <c r="DH101" s="126">
        <f>DF101+DG101</f>
        <v>1371948.85</v>
      </c>
      <c r="DI101" s="391">
        <f t="shared" si="21"/>
        <v>1192999</v>
      </c>
      <c r="DJ101" s="549">
        <f>Detailed[[#This Row],[Column12]]+Detailed[[#This Row],[Column16]]+Detailed[[#This Row],[Column20]]+Detailed[[#This Row],[Column24]]+Detailed[[#This Row],[Column28]]+Detailed[[#This Row],[Column32]]</f>
        <v>926270.95000000007</v>
      </c>
      <c r="DK101" s="153">
        <v>1</v>
      </c>
      <c r="DL101" s="154">
        <f>DK101*DF101</f>
        <v>1192999</v>
      </c>
      <c r="DM101" s="376">
        <f>DL101-DI101</f>
        <v>0</v>
      </c>
      <c r="DN101" s="178"/>
      <c r="DO101" s="694">
        <f t="shared" si="14"/>
        <v>1192999</v>
      </c>
      <c r="DP101" s="694">
        <f>DO101-Detailed[[#This Row],[Column66]]</f>
        <v>0</v>
      </c>
      <c r="DQ101" s="179"/>
      <c r="DR101" s="179"/>
      <c r="DS101" s="231"/>
      <c r="DT101" s="179"/>
      <c r="DU101" s="179"/>
      <c r="DV101" s="179"/>
      <c r="DW101" s="179"/>
      <c r="DX101" s="179"/>
      <c r="DY101" s="179"/>
      <c r="DZ101" s="179"/>
      <c r="EA101" s="179"/>
      <c r="EB101" s="179"/>
      <c r="EC101" s="179"/>
      <c r="ED101" s="179"/>
      <c r="EE101" s="179"/>
      <c r="EF101" s="179"/>
      <c r="EG101" s="179"/>
      <c r="EH101" s="179"/>
      <c r="EI101" s="179"/>
      <c r="EJ101" s="179"/>
      <c r="EK101" s="179"/>
      <c r="EL101" s="179"/>
      <c r="EM101" s="179"/>
      <c r="EN101" s="179"/>
      <c r="EO101" s="179"/>
      <c r="EP101" s="179"/>
      <c r="EQ101" s="179"/>
      <c r="ER101" s="179"/>
      <c r="ES101" s="179"/>
      <c r="ET101" s="179"/>
      <c r="EU101" s="179"/>
      <c r="EV101" s="179"/>
      <c r="EW101" s="179"/>
      <c r="EX101" s="179"/>
      <c r="EY101" s="179"/>
      <c r="EZ101" s="179"/>
      <c r="FA101" s="179"/>
      <c r="FB101" s="179"/>
      <c r="FC101" s="179"/>
      <c r="FD101" s="179"/>
      <c r="FE101" s="179"/>
      <c r="FF101" s="179"/>
      <c r="FG101" s="179"/>
      <c r="FH101" s="179"/>
      <c r="FI101" s="179"/>
      <c r="FJ101" s="179"/>
      <c r="FK101" s="179"/>
      <c r="FL101" s="179"/>
      <c r="FM101" s="179"/>
      <c r="FN101" s="179"/>
      <c r="FO101" s="179"/>
      <c r="FP101" s="179"/>
      <c r="FQ101" s="179"/>
      <c r="FR101" s="179"/>
      <c r="FS101" s="179"/>
      <c r="FT101" s="179"/>
      <c r="FU101" s="179"/>
      <c r="FV101" s="179"/>
      <c r="FW101" s="179"/>
      <c r="FX101" s="179"/>
      <c r="FY101" s="179"/>
      <c r="FZ101" s="179"/>
      <c r="GA101" s="179"/>
      <c r="GB101" s="179"/>
      <c r="GC101" s="179"/>
      <c r="GD101" s="179"/>
      <c r="GE101" s="179"/>
      <c r="GF101" s="179"/>
      <c r="GG101" s="179"/>
      <c r="GH101" s="179"/>
      <c r="GI101" s="179"/>
      <c r="GJ101" s="179"/>
      <c r="GK101" s="179"/>
      <c r="GL101" s="179"/>
      <c r="GM101" s="179"/>
      <c r="GN101" s="179"/>
      <c r="GO101" s="179"/>
      <c r="GP101" s="179"/>
      <c r="GQ101" s="179"/>
      <c r="GR101" s="179"/>
      <c r="GS101" s="179"/>
      <c r="GT101" s="179"/>
      <c r="GU101" s="179"/>
      <c r="GV101" s="179"/>
      <c r="GW101" s="179"/>
      <c r="GX101" s="179"/>
      <c r="GY101" s="179"/>
      <c r="GZ101" s="179"/>
      <c r="HA101" s="179"/>
      <c r="HB101" s="179"/>
      <c r="HC101" s="179"/>
      <c r="HD101" s="179"/>
      <c r="HE101" s="179"/>
      <c r="HF101" s="179"/>
      <c r="HG101" s="179"/>
      <c r="HH101" s="179"/>
      <c r="HI101" s="179"/>
      <c r="HJ101" s="179"/>
      <c r="HK101" s="179"/>
      <c r="HL101" s="179"/>
      <c r="HM101" s="179"/>
      <c r="HN101" s="179"/>
      <c r="HO101" s="179"/>
      <c r="HP101" s="179"/>
      <c r="HQ101" s="179"/>
      <c r="HR101" s="179"/>
      <c r="HS101" s="179"/>
      <c r="HT101" s="179"/>
      <c r="HU101" s="179"/>
      <c r="HV101" s="179"/>
      <c r="HW101" s="179"/>
      <c r="HX101" s="179"/>
      <c r="HY101" s="179"/>
      <c r="HZ101" s="179"/>
      <c r="IA101" s="179"/>
      <c r="IB101" s="179"/>
      <c r="IC101" s="179"/>
      <c r="ID101" s="179"/>
      <c r="IE101" s="179"/>
      <c r="IF101" s="179"/>
      <c r="IG101" s="179"/>
      <c r="IH101" s="179"/>
      <c r="II101" s="179"/>
      <c r="IJ101" s="179"/>
      <c r="IK101" s="179"/>
      <c r="IL101" s="179"/>
      <c r="IM101" s="179"/>
      <c r="IN101" s="179"/>
      <c r="IO101" s="179"/>
      <c r="IP101" s="179"/>
      <c r="IQ101" s="179"/>
      <c r="IR101" s="179"/>
      <c r="IS101" s="179"/>
      <c r="IT101" s="179"/>
      <c r="IU101" s="179"/>
      <c r="IV101" s="179"/>
      <c r="IW101" s="179"/>
      <c r="IX101" s="179"/>
      <c r="IY101" s="179"/>
      <c r="IZ101" s="179"/>
      <c r="JA101" s="179"/>
      <c r="JB101" s="179"/>
      <c r="JC101" s="179"/>
      <c r="JD101" s="179"/>
      <c r="JE101" s="179"/>
      <c r="JF101" s="179"/>
      <c r="JG101" s="179"/>
      <c r="JH101" s="179"/>
      <c r="JI101" s="179"/>
    </row>
    <row r="102" spans="1:269" ht="16.2" thickBot="1">
      <c r="A102" s="637" t="s">
        <v>316</v>
      </c>
      <c r="B102" s="57">
        <v>4</v>
      </c>
      <c r="C102" s="139" t="s">
        <v>349</v>
      </c>
      <c r="D102" s="141"/>
      <c r="E102" s="141"/>
      <c r="F102" s="142"/>
      <c r="G102" s="58" t="s">
        <v>347</v>
      </c>
      <c r="H102" s="59">
        <v>1318399</v>
      </c>
      <c r="I102" s="66"/>
      <c r="J102" s="55"/>
      <c r="K102" s="55"/>
      <c r="L102" s="67"/>
      <c r="M102" s="318"/>
      <c r="N102" s="55"/>
      <c r="O102" s="202"/>
      <c r="P102" s="47"/>
      <c r="Q102" s="318">
        <v>45859</v>
      </c>
      <c r="R102" s="55">
        <f>'Engicon - P1'!Q55</f>
        <v>131844</v>
      </c>
      <c r="S102" s="202">
        <f>R102*15%</f>
        <v>19776.599999999999</v>
      </c>
      <c r="T102" s="47">
        <f>R102+S102</f>
        <v>151620.6</v>
      </c>
      <c r="U102" s="318">
        <v>45893</v>
      </c>
      <c r="V102" s="63">
        <f>'Engicon - P1'!S55</f>
        <v>461503</v>
      </c>
      <c r="W102" s="202">
        <f>V102*15%</f>
        <v>69225.45</v>
      </c>
      <c r="X102" s="47">
        <f>V102+W102</f>
        <v>530728.44999999995</v>
      </c>
      <c r="Y102" s="64">
        <v>45929</v>
      </c>
      <c r="Z102" s="63">
        <f>'Engicon - P1'!W55</f>
        <v>296604</v>
      </c>
      <c r="AA102" s="63">
        <f>Z102*15%</f>
        <v>44490.6</v>
      </c>
      <c r="AB102" s="56">
        <f>Z102+AA102</f>
        <v>341094.6</v>
      </c>
      <c r="AC102" s="54"/>
      <c r="AD102" s="63"/>
      <c r="AE102" s="63"/>
      <c r="AF102" s="56"/>
      <c r="AG102" s="615">
        <v>45959</v>
      </c>
      <c r="AH102" s="55">
        <f>'Engicon - P1'!Y55</f>
        <v>428448</v>
      </c>
      <c r="AI102" s="63">
        <f>AH102*15%</f>
        <v>64267.199999999997</v>
      </c>
      <c r="AJ102" s="56">
        <f>Detailed[[#This Row],[Column34]]+Detailed[[#This Row],[Column35]]</f>
        <v>492715.2</v>
      </c>
      <c r="AK102" s="64"/>
      <c r="AL102" s="65"/>
      <c r="AM102" s="65"/>
      <c r="AN102" s="125"/>
      <c r="AO102" s="123"/>
      <c r="AP102" s="124"/>
      <c r="AQ102" s="124"/>
      <c r="AR102" s="121"/>
      <c r="AS102" s="123"/>
      <c r="AT102" s="124"/>
      <c r="AU102" s="124"/>
      <c r="AV102" s="121"/>
      <c r="AW102" s="123"/>
      <c r="AX102" s="124"/>
      <c r="AY102" s="124"/>
      <c r="AZ102" s="121"/>
      <c r="BA102" s="123"/>
      <c r="BB102" s="124"/>
      <c r="BC102" s="124"/>
      <c r="BD102" s="121"/>
      <c r="BE102" s="123"/>
      <c r="BF102" s="124"/>
      <c r="BG102" s="124"/>
      <c r="BH102" s="121"/>
      <c r="BI102" s="123"/>
      <c r="BJ102" s="124"/>
      <c r="BK102" s="124"/>
      <c r="BL102" s="122"/>
      <c r="BM102" s="123"/>
      <c r="BN102" s="124"/>
      <c r="BO102" s="124"/>
      <c r="BP102" s="122"/>
      <c r="BQ102" s="158"/>
      <c r="BR102" s="434"/>
      <c r="BS102" s="434"/>
      <c r="BT102" s="443"/>
      <c r="BU102" s="173"/>
      <c r="BV102" s="215"/>
      <c r="BW102" s="444"/>
      <c r="BX102" s="205"/>
      <c r="BY102" s="158"/>
      <c r="BZ102" s="434"/>
      <c r="CA102" s="434"/>
      <c r="CB102" s="443"/>
      <c r="CC102" s="247"/>
      <c r="CD102" s="351"/>
      <c r="CE102" s="351"/>
      <c r="CF102" s="245"/>
      <c r="CG102" s="356"/>
      <c r="CH102" s="351"/>
      <c r="CI102" s="356"/>
      <c r="CJ102" s="246"/>
      <c r="CK102" s="311"/>
      <c r="CL102" s="352"/>
      <c r="CM102" s="311"/>
      <c r="CN102" s="311"/>
      <c r="CO102" s="311"/>
      <c r="CP102" s="311"/>
      <c r="CQ102" s="311"/>
      <c r="CR102" s="311"/>
      <c r="CS102" s="311"/>
      <c r="CT102" s="311"/>
      <c r="CU102" s="311"/>
      <c r="CV102" s="311"/>
      <c r="CW102" s="311"/>
      <c r="CX102" s="311"/>
      <c r="CY102" s="311"/>
      <c r="CZ102" s="311"/>
      <c r="DA102" s="311"/>
      <c r="DB102" s="311"/>
      <c r="DC102" s="311"/>
      <c r="DD102" s="311"/>
      <c r="DE102" s="161"/>
      <c r="DF102" s="115">
        <f>H102</f>
        <v>1318399</v>
      </c>
      <c r="DG102" s="115">
        <f>DF102*15%</f>
        <v>197759.85</v>
      </c>
      <c r="DH102" s="115">
        <f>DF102+DG102</f>
        <v>1516158.85</v>
      </c>
      <c r="DI102" s="1042">
        <f t="shared" si="21"/>
        <v>1318399</v>
      </c>
      <c r="DJ102" s="1043">
        <f>Detailed[[#This Row],[Column12]]+Detailed[[#This Row],[Column16]]+Detailed[[#This Row],[Column20]]+Detailed[[#This Row],[Column24]]+Detailed[[#This Row],[Column28]]+Detailed[[#This Row],[Column32]]</f>
        <v>1023443.6499999999</v>
      </c>
      <c r="DK102" s="212">
        <v>1</v>
      </c>
      <c r="DL102" s="213">
        <f>DK102*DF102</f>
        <v>1318399</v>
      </c>
      <c r="DM102" s="376">
        <f>DL102-DI102</f>
        <v>0</v>
      </c>
      <c r="DN102" s="178"/>
      <c r="DO102" s="694">
        <f t="shared" si="14"/>
        <v>1318399</v>
      </c>
      <c r="DP102" s="694">
        <f>DO102-Detailed[[#This Row],[Column66]]</f>
        <v>0</v>
      </c>
      <c r="DQ102" s="179"/>
      <c r="DR102" s="179"/>
      <c r="DS102" s="231">
        <f>DQ102-Detailed[[#This Row],[Column66]]</f>
        <v>-1318399</v>
      </c>
      <c r="DT102" s="179"/>
      <c r="DU102" s="179"/>
      <c r="DV102" s="179"/>
      <c r="DW102" s="179"/>
      <c r="DX102" s="179"/>
      <c r="DY102" s="179"/>
      <c r="DZ102" s="179"/>
      <c r="EA102" s="179"/>
      <c r="EB102" s="179"/>
      <c r="EC102" s="179"/>
      <c r="ED102" s="179"/>
      <c r="EE102" s="179"/>
      <c r="EF102" s="179"/>
      <c r="EG102" s="179"/>
      <c r="EH102" s="179"/>
      <c r="EI102" s="179"/>
      <c r="EJ102" s="179"/>
      <c r="EK102" s="179"/>
      <c r="EL102" s="179"/>
      <c r="EM102" s="179"/>
      <c r="EN102" s="179"/>
      <c r="EO102" s="179"/>
      <c r="EP102" s="179"/>
      <c r="EQ102" s="179"/>
      <c r="ER102" s="179"/>
      <c r="ES102" s="179"/>
      <c r="ET102" s="179"/>
      <c r="EU102" s="179"/>
      <c r="EV102" s="179"/>
      <c r="EW102" s="179"/>
      <c r="EX102" s="179"/>
      <c r="EY102" s="179"/>
      <c r="EZ102" s="179"/>
      <c r="FA102" s="179"/>
      <c r="FB102" s="179"/>
      <c r="FC102" s="179"/>
      <c r="FD102" s="179"/>
      <c r="FE102" s="179"/>
      <c r="FF102" s="179"/>
      <c r="FG102" s="179"/>
      <c r="FH102" s="179"/>
      <c r="FI102" s="179"/>
      <c r="FJ102" s="179"/>
      <c r="FK102" s="179"/>
      <c r="FL102" s="179"/>
      <c r="FM102" s="179"/>
      <c r="FN102" s="179"/>
      <c r="FO102" s="179"/>
      <c r="FP102" s="179"/>
      <c r="FQ102" s="179"/>
      <c r="FR102" s="179"/>
      <c r="FS102" s="179"/>
      <c r="FT102" s="179"/>
      <c r="FU102" s="179"/>
      <c r="FV102" s="179"/>
      <c r="FW102" s="179"/>
      <c r="FX102" s="179"/>
      <c r="FY102" s="179"/>
      <c r="FZ102" s="179"/>
      <c r="GA102" s="179"/>
      <c r="GB102" s="179"/>
      <c r="GC102" s="179"/>
      <c r="GD102" s="179"/>
      <c r="GE102" s="179"/>
      <c r="GF102" s="179"/>
      <c r="GG102" s="179"/>
      <c r="GH102" s="179"/>
      <c r="GI102" s="179"/>
      <c r="GJ102" s="179"/>
      <c r="GK102" s="179"/>
      <c r="GL102" s="179"/>
      <c r="GM102" s="179"/>
      <c r="GN102" s="179"/>
      <c r="GO102" s="179"/>
      <c r="GP102" s="179"/>
      <c r="GQ102" s="179"/>
      <c r="GR102" s="179"/>
      <c r="GS102" s="179"/>
      <c r="GT102" s="179"/>
      <c r="GU102" s="179"/>
      <c r="GV102" s="179"/>
      <c r="GW102" s="179"/>
      <c r="GX102" s="179"/>
      <c r="GY102" s="179"/>
      <c r="GZ102" s="179"/>
      <c r="HA102" s="179"/>
      <c r="HB102" s="179"/>
      <c r="HC102" s="179"/>
      <c r="HD102" s="179"/>
      <c r="HE102" s="179"/>
      <c r="HF102" s="179"/>
      <c r="HG102" s="179"/>
      <c r="HH102" s="179"/>
      <c r="HI102" s="179"/>
      <c r="HJ102" s="179"/>
      <c r="HK102" s="179"/>
      <c r="HL102" s="179"/>
      <c r="HM102" s="179"/>
      <c r="HN102" s="179"/>
      <c r="HO102" s="179"/>
      <c r="HP102" s="179"/>
      <c r="HQ102" s="179"/>
      <c r="HR102" s="179"/>
      <c r="HS102" s="179"/>
      <c r="HT102" s="179"/>
      <c r="HU102" s="179"/>
      <c r="HV102" s="179"/>
      <c r="HW102" s="179"/>
      <c r="HX102" s="179"/>
      <c r="HY102" s="179"/>
      <c r="HZ102" s="179"/>
      <c r="IA102" s="179"/>
      <c r="IB102" s="179"/>
      <c r="IC102" s="179"/>
      <c r="ID102" s="179"/>
      <c r="IE102" s="179"/>
      <c r="IF102" s="179"/>
      <c r="IG102" s="179"/>
      <c r="IH102" s="179"/>
      <c r="II102" s="179"/>
      <c r="IJ102" s="179"/>
      <c r="IK102" s="179"/>
      <c r="IL102" s="179"/>
      <c r="IM102" s="179"/>
      <c r="IN102" s="179"/>
      <c r="IO102" s="179"/>
      <c r="IP102" s="179"/>
      <c r="IQ102" s="179"/>
      <c r="IR102" s="179"/>
      <c r="IS102" s="179"/>
      <c r="IT102" s="179"/>
      <c r="IU102" s="179"/>
      <c r="IV102" s="179"/>
      <c r="IW102" s="179"/>
      <c r="IX102" s="179"/>
      <c r="IY102" s="179"/>
      <c r="IZ102" s="179"/>
      <c r="JA102" s="179"/>
      <c r="JB102" s="179"/>
      <c r="JC102" s="179"/>
      <c r="JD102" s="179"/>
      <c r="JE102" s="179"/>
      <c r="JF102" s="179"/>
      <c r="JG102" s="179"/>
      <c r="JH102" s="179"/>
      <c r="JI102" s="179"/>
    </row>
    <row r="103" spans="1:269" ht="16.8" thickTop="1" thickBot="1">
      <c r="A103" s="637" t="s">
        <v>316</v>
      </c>
      <c r="B103" s="607">
        <v>5</v>
      </c>
      <c r="C103" s="139" t="s">
        <v>389</v>
      </c>
      <c r="D103" s="608"/>
      <c r="E103" s="608"/>
      <c r="F103" s="609"/>
      <c r="G103" s="86" t="s">
        <v>390</v>
      </c>
      <c r="H103" s="611">
        <v>1230000</v>
      </c>
      <c r="I103" s="612"/>
      <c r="J103" s="613"/>
      <c r="K103" s="613"/>
      <c r="L103" s="614"/>
      <c r="M103" s="615"/>
      <c r="N103" s="616"/>
      <c r="O103" s="616"/>
      <c r="P103" s="617"/>
      <c r="Q103" s="318"/>
      <c r="R103" s="55"/>
      <c r="S103" s="202"/>
      <c r="T103" s="47"/>
      <c r="U103" s="621"/>
      <c r="V103" s="620"/>
      <c r="W103" s="620"/>
      <c r="X103" s="617"/>
      <c r="Y103" s="621"/>
      <c r="Z103" s="620"/>
      <c r="AA103" s="620"/>
      <c r="AB103" s="617"/>
      <c r="AC103" s="621"/>
      <c r="AD103" s="620"/>
      <c r="AE103" s="620"/>
      <c r="AF103" s="617"/>
      <c r="AG103" s="615">
        <v>45959</v>
      </c>
      <c r="AH103" s="613">
        <f>'Engicon - P1'!M66</f>
        <v>123052</v>
      </c>
      <c r="AI103" s="63">
        <f>AH103*15%</f>
        <v>18457.8</v>
      </c>
      <c r="AJ103" s="56">
        <f>Detailed[[#This Row],[Column34]]+Detailed[[#This Row],[Column35]]</f>
        <v>141509.79999999999</v>
      </c>
      <c r="AK103" s="64">
        <v>45991</v>
      </c>
      <c r="AL103" s="63">
        <f>'Engicon - P1'!O66</f>
        <v>122987</v>
      </c>
      <c r="AM103" s="202">
        <f>AL103*15%</f>
        <v>18448.05</v>
      </c>
      <c r="AN103" s="47">
        <f>AL103+AM103</f>
        <v>141435.04999999999</v>
      </c>
      <c r="AO103" s="623"/>
      <c r="AP103" s="624"/>
      <c r="AQ103" s="624"/>
      <c r="AR103" s="625"/>
      <c r="AS103" s="623"/>
      <c r="AT103" s="624"/>
      <c r="AU103" s="624"/>
      <c r="AV103" s="625"/>
      <c r="AW103" s="623"/>
      <c r="AX103" s="624"/>
      <c r="AY103" s="624"/>
      <c r="AZ103" s="625"/>
      <c r="BA103" s="623"/>
      <c r="BB103" s="624"/>
      <c r="BC103" s="624"/>
      <c r="BD103" s="625"/>
      <c r="BE103" s="623"/>
      <c r="BF103" s="624"/>
      <c r="BG103" s="624"/>
      <c r="BH103" s="625"/>
      <c r="BI103" s="623"/>
      <c r="BJ103" s="624"/>
      <c r="BK103" s="624"/>
      <c r="BL103" s="626"/>
      <c r="BM103" s="623"/>
      <c r="BN103" s="624"/>
      <c r="BO103" s="624"/>
      <c r="BP103" s="626"/>
      <c r="BQ103" s="627"/>
      <c r="BR103" s="628"/>
      <c r="BS103" s="628"/>
      <c r="BT103" s="629"/>
      <c r="BU103" s="630"/>
      <c r="BV103" s="631"/>
      <c r="BW103" s="632"/>
      <c r="BX103" s="633"/>
      <c r="BY103" s="627"/>
      <c r="BZ103" s="628"/>
      <c r="CA103" s="628"/>
      <c r="CB103" s="629"/>
      <c r="CC103" s="247"/>
      <c r="CD103" s="351"/>
      <c r="CE103" s="351"/>
      <c r="CF103" s="245"/>
      <c r="CG103" s="356"/>
      <c r="CH103" s="351"/>
      <c r="CI103" s="356"/>
      <c r="CJ103" s="246"/>
      <c r="CK103" s="634"/>
      <c r="CL103" s="635"/>
      <c r="CM103" s="634"/>
      <c r="CN103" s="634"/>
      <c r="CO103" s="634"/>
      <c r="CP103" s="634"/>
      <c r="CQ103" s="634"/>
      <c r="CR103" s="634"/>
      <c r="CS103" s="634"/>
      <c r="CT103" s="634"/>
      <c r="CU103" s="634"/>
      <c r="CV103" s="634"/>
      <c r="CW103" s="634"/>
      <c r="CX103" s="634"/>
      <c r="CY103" s="634"/>
      <c r="CZ103" s="634"/>
      <c r="DA103" s="634"/>
      <c r="DB103" s="634"/>
      <c r="DC103" s="634"/>
      <c r="DD103" s="634"/>
      <c r="DE103" s="1033"/>
      <c r="DF103" s="1057">
        <f>H103</f>
        <v>1230000</v>
      </c>
      <c r="DG103" s="1058">
        <f>DF103*15%</f>
        <v>184500</v>
      </c>
      <c r="DH103" s="1058">
        <f>DF103+DG103</f>
        <v>1414500</v>
      </c>
      <c r="DI103" s="1059">
        <f>SUMPRODUCT((MOD(COLUMN(I103:DD103)-COLUMN(I103),4)=1)*I103:DD103)</f>
        <v>246039</v>
      </c>
      <c r="DJ103" s="1059">
        <f>SUMPRODUCT((MOD(COLUMN(I103:DD103)-COLUMN(J103),4)=2)*I103:DD103)</f>
        <v>282944.84999999998</v>
      </c>
      <c r="DK103" s="1060">
        <v>0.3</v>
      </c>
      <c r="DL103" s="1061">
        <f>DK103*DF103</f>
        <v>369000</v>
      </c>
      <c r="DM103" s="1062">
        <f>DL103-DI103</f>
        <v>122961</v>
      </c>
      <c r="DN103" s="178"/>
      <c r="DO103" s="694">
        <f t="shared" si="14"/>
        <v>246039</v>
      </c>
      <c r="DP103" s="694">
        <f>DO103-Detailed[[#This Row],[Column66]]</f>
        <v>0</v>
      </c>
      <c r="DQ103" s="179"/>
      <c r="DR103" s="179"/>
      <c r="DS103" s="231"/>
      <c r="DT103" s="179"/>
      <c r="DU103" s="179"/>
      <c r="DV103" s="179"/>
      <c r="DW103" s="179"/>
      <c r="DX103" s="179"/>
      <c r="DY103" s="179"/>
      <c r="DZ103" s="179"/>
      <c r="EA103" s="179"/>
      <c r="EB103" s="179"/>
      <c r="EC103" s="179"/>
      <c r="ED103" s="179"/>
      <c r="EE103" s="179"/>
      <c r="EF103" s="179"/>
      <c r="EG103" s="179"/>
      <c r="EH103" s="179"/>
      <c r="EI103" s="179"/>
      <c r="EJ103" s="179"/>
      <c r="EK103" s="179"/>
      <c r="EL103" s="179"/>
      <c r="EM103" s="179"/>
      <c r="EN103" s="179"/>
      <c r="EO103" s="179"/>
      <c r="EP103" s="179"/>
      <c r="EQ103" s="179"/>
      <c r="ER103" s="179"/>
      <c r="ES103" s="179"/>
      <c r="ET103" s="179"/>
      <c r="EU103" s="179"/>
      <c r="EV103" s="179"/>
      <c r="EW103" s="179"/>
      <c r="EX103" s="179"/>
      <c r="EY103" s="179"/>
      <c r="EZ103" s="179"/>
      <c r="FA103" s="179"/>
      <c r="FB103" s="179"/>
      <c r="FC103" s="179"/>
      <c r="FD103" s="179"/>
      <c r="FE103" s="179"/>
      <c r="FF103" s="179"/>
      <c r="FG103" s="179"/>
      <c r="FH103" s="179"/>
      <c r="FI103" s="179"/>
      <c r="FJ103" s="179"/>
      <c r="FK103" s="179"/>
      <c r="FL103" s="179"/>
      <c r="FM103" s="179"/>
      <c r="FN103" s="179"/>
      <c r="FO103" s="179"/>
      <c r="FP103" s="179"/>
      <c r="FQ103" s="179"/>
      <c r="FR103" s="179"/>
      <c r="FS103" s="179"/>
      <c r="FT103" s="179"/>
      <c r="FU103" s="179"/>
      <c r="FV103" s="179"/>
      <c r="FW103" s="179"/>
      <c r="FX103" s="179"/>
      <c r="FY103" s="179"/>
      <c r="FZ103" s="179"/>
      <c r="GA103" s="179"/>
      <c r="GB103" s="179"/>
      <c r="GC103" s="179"/>
      <c r="GD103" s="179"/>
      <c r="GE103" s="179"/>
      <c r="GF103" s="179"/>
      <c r="GG103" s="179"/>
      <c r="GH103" s="179"/>
      <c r="GI103" s="179"/>
      <c r="GJ103" s="179"/>
      <c r="GK103" s="179"/>
      <c r="GL103" s="179"/>
      <c r="GM103" s="179"/>
      <c r="GN103" s="179"/>
      <c r="GO103" s="179"/>
      <c r="GP103" s="179"/>
      <c r="GQ103" s="179"/>
      <c r="GR103" s="179"/>
      <c r="GS103" s="179"/>
      <c r="GT103" s="179"/>
      <c r="GU103" s="179"/>
      <c r="GV103" s="179"/>
      <c r="GW103" s="179"/>
      <c r="GX103" s="179"/>
      <c r="GY103" s="179"/>
      <c r="GZ103" s="179"/>
      <c r="HA103" s="179"/>
      <c r="HB103" s="179"/>
      <c r="HC103" s="179"/>
      <c r="HD103" s="179"/>
      <c r="HE103" s="179"/>
      <c r="HF103" s="179"/>
      <c r="HG103" s="179"/>
      <c r="HH103" s="179"/>
      <c r="HI103" s="179"/>
      <c r="HJ103" s="179"/>
      <c r="HK103" s="179"/>
      <c r="HL103" s="179"/>
      <c r="HM103" s="179"/>
      <c r="HN103" s="179"/>
      <c r="HO103" s="179"/>
      <c r="HP103" s="179"/>
      <c r="HQ103" s="179"/>
      <c r="HR103" s="179"/>
      <c r="HS103" s="179"/>
      <c r="HT103" s="179"/>
      <c r="HU103" s="179"/>
      <c r="HV103" s="179"/>
      <c r="HW103" s="179"/>
      <c r="HX103" s="179"/>
      <c r="HY103" s="179"/>
      <c r="HZ103" s="179"/>
      <c r="IA103" s="179"/>
      <c r="IB103" s="179"/>
      <c r="IC103" s="179"/>
      <c r="ID103" s="179"/>
      <c r="IE103" s="179"/>
      <c r="IF103" s="179"/>
      <c r="IG103" s="179"/>
      <c r="IH103" s="179"/>
      <c r="II103" s="179"/>
      <c r="IJ103" s="179"/>
      <c r="IK103" s="179"/>
      <c r="IL103" s="179"/>
      <c r="IM103" s="179"/>
      <c r="IN103" s="179"/>
      <c r="IO103" s="179"/>
      <c r="IP103" s="179"/>
      <c r="IQ103" s="179"/>
      <c r="IR103" s="179"/>
      <c r="IS103" s="179"/>
      <c r="IT103" s="179"/>
      <c r="IU103" s="179"/>
      <c r="IV103" s="179"/>
      <c r="IW103" s="179"/>
      <c r="IX103" s="179"/>
      <c r="IY103" s="179"/>
      <c r="IZ103" s="179"/>
      <c r="JA103" s="179"/>
      <c r="JB103" s="179"/>
      <c r="JC103" s="179"/>
      <c r="JD103" s="179"/>
      <c r="JE103" s="179"/>
      <c r="JF103" s="179"/>
      <c r="JG103" s="179"/>
      <c r="JH103" s="179"/>
      <c r="JI103" s="179"/>
    </row>
    <row r="104" spans="1:269" ht="16.8" thickTop="1" thickBot="1">
      <c r="A104" s="637" t="s">
        <v>316</v>
      </c>
      <c r="B104" s="777"/>
      <c r="C104" s="778"/>
      <c r="D104" s="779"/>
      <c r="E104" s="779"/>
      <c r="F104" s="780"/>
      <c r="G104" s="781"/>
      <c r="H104" s="782"/>
      <c r="I104" s="783"/>
      <c r="J104" s="784"/>
      <c r="K104" s="784"/>
      <c r="L104" s="785"/>
      <c r="M104" s="786"/>
      <c r="N104" s="787"/>
      <c r="O104" s="787"/>
      <c r="P104" s="788"/>
      <c r="Q104" s="789"/>
      <c r="R104" s="790"/>
      <c r="S104" s="790"/>
      <c r="T104" s="791"/>
      <c r="U104" s="792"/>
      <c r="V104" s="791"/>
      <c r="W104" s="791"/>
      <c r="X104" s="788"/>
      <c r="Y104" s="792"/>
      <c r="Z104" s="791"/>
      <c r="AA104" s="791"/>
      <c r="AB104" s="788"/>
      <c r="AC104" s="792"/>
      <c r="AD104" s="791"/>
      <c r="AE104" s="791"/>
      <c r="AF104" s="788"/>
      <c r="AG104" s="792"/>
      <c r="AH104" s="784"/>
      <c r="AI104" s="784"/>
      <c r="AJ104" s="788"/>
      <c r="AK104" s="786"/>
      <c r="AL104" s="787"/>
      <c r="AM104" s="787"/>
      <c r="AN104" s="793"/>
      <c r="AO104" s="794"/>
      <c r="AP104" s="795"/>
      <c r="AQ104" s="795"/>
      <c r="AR104" s="796"/>
      <c r="AS104" s="794"/>
      <c r="AT104" s="795"/>
      <c r="AU104" s="795"/>
      <c r="AV104" s="796"/>
      <c r="AW104" s="794"/>
      <c r="AX104" s="795"/>
      <c r="AY104" s="795"/>
      <c r="AZ104" s="796"/>
      <c r="BA104" s="794"/>
      <c r="BB104" s="795"/>
      <c r="BC104" s="795"/>
      <c r="BD104" s="796"/>
      <c r="BE104" s="794"/>
      <c r="BF104" s="795"/>
      <c r="BG104" s="795"/>
      <c r="BH104" s="796"/>
      <c r="BI104" s="794"/>
      <c r="BJ104" s="795"/>
      <c r="BK104" s="795"/>
      <c r="BL104" s="797"/>
      <c r="BM104" s="794"/>
      <c r="BN104" s="795"/>
      <c r="BO104" s="795"/>
      <c r="BP104" s="797"/>
      <c r="BQ104" s="798"/>
      <c r="BR104" s="799"/>
      <c r="BS104" s="799"/>
      <c r="BT104" s="800"/>
      <c r="BU104" s="801"/>
      <c r="BV104" s="802"/>
      <c r="BW104" s="803"/>
      <c r="BX104" s="804"/>
      <c r="BY104" s="798"/>
      <c r="BZ104" s="799"/>
      <c r="CA104" s="799"/>
      <c r="CB104" s="800"/>
      <c r="CC104" s="247"/>
      <c r="CD104" s="351"/>
      <c r="CE104" s="351"/>
      <c r="CF104" s="245"/>
      <c r="CG104" s="356"/>
      <c r="CH104" s="351"/>
      <c r="CI104" s="356"/>
      <c r="CJ104" s="246"/>
      <c r="CK104" s="805"/>
      <c r="CL104" s="806"/>
      <c r="CM104" s="805"/>
      <c r="CN104" s="805"/>
      <c r="CO104" s="805"/>
      <c r="CP104" s="805"/>
      <c r="CQ104" s="805"/>
      <c r="CR104" s="805"/>
      <c r="CS104" s="805"/>
      <c r="CT104" s="805"/>
      <c r="CU104" s="805"/>
      <c r="CV104" s="805"/>
      <c r="CW104" s="805"/>
      <c r="CX104" s="805"/>
      <c r="CY104" s="805"/>
      <c r="CZ104" s="805"/>
      <c r="DA104" s="805"/>
      <c r="DB104" s="805"/>
      <c r="DC104" s="805"/>
      <c r="DD104" s="805"/>
      <c r="DE104" s="1033"/>
      <c r="DF104" s="1103"/>
      <c r="DG104" s="807"/>
      <c r="DH104" s="807"/>
      <c r="DI104" s="807"/>
      <c r="DJ104" s="807"/>
      <c r="DK104" s="153"/>
      <c r="DL104" s="154"/>
      <c r="DM104" s="1104"/>
      <c r="DN104" s="178"/>
      <c r="DO104" s="694">
        <f t="shared" si="14"/>
        <v>0</v>
      </c>
      <c r="DP104" s="694">
        <f>DO104-Detailed[[#This Row],[Column66]]</f>
        <v>0</v>
      </c>
      <c r="DQ104" s="179"/>
      <c r="DR104" s="179"/>
      <c r="DS104" s="231">
        <f>DQ104-Detailed[[#This Row],[Column66]]</f>
        <v>0</v>
      </c>
      <c r="DT104" s="179"/>
      <c r="DU104" s="179"/>
      <c r="DV104" s="179"/>
      <c r="DW104" s="179"/>
      <c r="DX104" s="179"/>
      <c r="DY104" s="179"/>
      <c r="DZ104" s="179"/>
      <c r="EA104" s="179"/>
      <c r="EB104" s="179"/>
      <c r="EC104" s="179"/>
      <c r="ED104" s="179"/>
      <c r="EE104" s="179"/>
      <c r="EF104" s="179"/>
      <c r="EG104" s="179"/>
      <c r="EH104" s="179"/>
      <c r="EI104" s="179"/>
      <c r="EJ104" s="179"/>
      <c r="EK104" s="179"/>
      <c r="EL104" s="179"/>
      <c r="EM104" s="179"/>
      <c r="EN104" s="179"/>
      <c r="EO104" s="179"/>
      <c r="EP104" s="179"/>
      <c r="EQ104" s="179"/>
      <c r="ER104" s="179"/>
      <c r="ES104" s="179"/>
      <c r="ET104" s="179"/>
      <c r="EU104" s="179"/>
      <c r="EV104" s="179"/>
      <c r="EW104" s="179"/>
      <c r="EX104" s="179"/>
      <c r="EY104" s="179"/>
      <c r="EZ104" s="179"/>
      <c r="FA104" s="179"/>
      <c r="FB104" s="179"/>
      <c r="FC104" s="179"/>
      <c r="FD104" s="179"/>
      <c r="FE104" s="179"/>
      <c r="FF104" s="179"/>
      <c r="FG104" s="179"/>
      <c r="FH104" s="179"/>
      <c r="FI104" s="179"/>
      <c r="FJ104" s="179"/>
      <c r="FK104" s="179"/>
      <c r="FL104" s="179"/>
      <c r="FM104" s="179"/>
      <c r="FN104" s="179"/>
      <c r="FO104" s="179"/>
      <c r="FP104" s="179"/>
      <c r="FQ104" s="179"/>
      <c r="FR104" s="179"/>
      <c r="FS104" s="179"/>
      <c r="FT104" s="179"/>
      <c r="FU104" s="179"/>
      <c r="FV104" s="179"/>
      <c r="FW104" s="179"/>
      <c r="FX104" s="179"/>
      <c r="FY104" s="179"/>
      <c r="FZ104" s="179"/>
      <c r="GA104" s="179"/>
      <c r="GB104" s="179"/>
      <c r="GC104" s="179"/>
      <c r="GD104" s="179"/>
      <c r="GE104" s="179"/>
      <c r="GF104" s="179"/>
      <c r="GG104" s="179"/>
      <c r="GH104" s="179"/>
      <c r="GI104" s="179"/>
      <c r="GJ104" s="179"/>
      <c r="GK104" s="179"/>
      <c r="GL104" s="179"/>
      <c r="GM104" s="179"/>
      <c r="GN104" s="179"/>
      <c r="GO104" s="179"/>
      <c r="GP104" s="179"/>
      <c r="GQ104" s="179"/>
      <c r="GR104" s="179"/>
      <c r="GS104" s="179"/>
      <c r="GT104" s="179"/>
      <c r="GU104" s="179"/>
      <c r="GV104" s="179"/>
      <c r="GW104" s="179"/>
      <c r="GX104" s="179"/>
      <c r="GY104" s="179"/>
      <c r="GZ104" s="179"/>
      <c r="HA104" s="179"/>
      <c r="HB104" s="179"/>
      <c r="HC104" s="179"/>
      <c r="HD104" s="179"/>
      <c r="HE104" s="179"/>
      <c r="HF104" s="179"/>
      <c r="HG104" s="179"/>
      <c r="HH104" s="179"/>
      <c r="HI104" s="179"/>
      <c r="HJ104" s="179"/>
      <c r="HK104" s="179"/>
      <c r="HL104" s="179"/>
      <c r="HM104" s="179"/>
      <c r="HN104" s="179"/>
      <c r="HO104" s="179"/>
      <c r="HP104" s="179"/>
      <c r="HQ104" s="179"/>
      <c r="HR104" s="179"/>
      <c r="HS104" s="179"/>
      <c r="HT104" s="179"/>
      <c r="HU104" s="179"/>
      <c r="HV104" s="179"/>
      <c r="HW104" s="179"/>
      <c r="HX104" s="179"/>
      <c r="HY104" s="179"/>
      <c r="HZ104" s="179"/>
      <c r="IA104" s="179"/>
      <c r="IB104" s="179"/>
      <c r="IC104" s="179"/>
      <c r="ID104" s="179"/>
      <c r="IE104" s="179"/>
      <c r="IF104" s="179"/>
      <c r="IG104" s="179"/>
      <c r="IH104" s="179"/>
      <c r="II104" s="179"/>
      <c r="IJ104" s="179"/>
      <c r="IK104" s="179"/>
      <c r="IL104" s="179"/>
      <c r="IM104" s="179"/>
      <c r="IN104" s="179"/>
      <c r="IO104" s="179"/>
      <c r="IP104" s="179"/>
      <c r="IQ104" s="179"/>
      <c r="IR104" s="179"/>
      <c r="IS104" s="179"/>
      <c r="IT104" s="179"/>
      <c r="IU104" s="179"/>
      <c r="IV104" s="179"/>
      <c r="IW104" s="179"/>
      <c r="IX104" s="179"/>
      <c r="IY104" s="179"/>
      <c r="IZ104" s="179"/>
      <c r="JA104" s="179"/>
      <c r="JB104" s="179"/>
      <c r="JC104" s="179"/>
      <c r="JD104" s="179"/>
      <c r="JE104" s="179"/>
      <c r="JF104" s="179"/>
      <c r="JG104" s="179"/>
      <c r="JH104" s="179"/>
      <c r="JI104" s="179"/>
    </row>
    <row r="105" spans="1:269" ht="16.2" thickBot="1">
      <c r="A105" s="146" t="s">
        <v>316</v>
      </c>
      <c r="B105" s="85"/>
      <c r="C105" s="185"/>
      <c r="D105" s="186"/>
      <c r="E105" s="186"/>
      <c r="F105" s="187"/>
      <c r="G105" s="86"/>
      <c r="H105" s="87"/>
      <c r="I105" s="659"/>
      <c r="J105" s="345">
        <f>SUM(J99:J103)</f>
        <v>3808968.75</v>
      </c>
      <c r="K105" s="660"/>
      <c r="L105" s="345">
        <f>SUM(L99:L103)</f>
        <v>4380314.0625</v>
      </c>
      <c r="M105" s="661"/>
      <c r="N105" s="345">
        <f>SUM(N98:N103)</f>
        <v>2727120.0500000003</v>
      </c>
      <c r="O105" s="203"/>
      <c r="P105" s="320">
        <f>SUM(P98:P103)</f>
        <v>3136188.0575000001</v>
      </c>
      <c r="Q105" s="664"/>
      <c r="R105" s="345">
        <f>SUM(R98:R103)</f>
        <v>251084</v>
      </c>
      <c r="S105" s="203"/>
      <c r="T105" s="320">
        <f>SUM(T98:T103)</f>
        <v>288746.59999999998</v>
      </c>
      <c r="U105" s="667"/>
      <c r="V105" s="345">
        <f>SUM(V101:V103)</f>
        <v>879410</v>
      </c>
      <c r="W105" s="203"/>
      <c r="X105" s="320">
        <f>SUM(X101:X103)</f>
        <v>1011321.5</v>
      </c>
      <c r="Y105" s="667"/>
      <c r="Z105" s="345">
        <f>SUM(Z101:Z103)</f>
        <v>564910</v>
      </c>
      <c r="AA105" s="666"/>
      <c r="AB105" s="345">
        <f>SUM(AB98:AB104)</f>
        <v>649646.5</v>
      </c>
      <c r="AC105" s="667"/>
      <c r="AD105" s="345">
        <f>SUM(AD99:AD103)</f>
        <v>2296929.16</v>
      </c>
      <c r="AE105" s="345"/>
      <c r="AF105" s="345">
        <f>SUM(AF98:AF104)</f>
        <v>2641468.534</v>
      </c>
      <c r="AG105" s="667"/>
      <c r="AH105" s="345">
        <f>SUM(AH98:AH104)</f>
        <v>939046</v>
      </c>
      <c r="AI105" s="660"/>
      <c r="AJ105" s="345">
        <f>SUM(AJ98:AJ104)</f>
        <v>1079902.9000000001</v>
      </c>
      <c r="AK105" s="661"/>
      <c r="AL105" s="345">
        <f>SUM(AL98:AL104)</f>
        <v>888630.05</v>
      </c>
      <c r="AM105" s="662"/>
      <c r="AN105" s="345">
        <f>SUM(AN98:AN104)</f>
        <v>1021924.5575000001</v>
      </c>
      <c r="AO105" s="669"/>
      <c r="AP105" s="670"/>
      <c r="AQ105" s="670"/>
      <c r="AR105" s="671"/>
      <c r="AS105" s="669"/>
      <c r="AT105" s="670"/>
      <c r="AU105" s="670"/>
      <c r="AV105" s="671"/>
      <c r="AW105" s="669"/>
      <c r="AX105" s="670"/>
      <c r="AY105" s="670"/>
      <c r="AZ105" s="671"/>
      <c r="BA105" s="669"/>
      <c r="BB105" s="670"/>
      <c r="BC105" s="670"/>
      <c r="BD105" s="671"/>
      <c r="BE105" s="669"/>
      <c r="BF105" s="670"/>
      <c r="BG105" s="670"/>
      <c r="BH105" s="671"/>
      <c r="BI105" s="669"/>
      <c r="BJ105" s="670"/>
      <c r="BK105" s="670"/>
      <c r="BL105" s="672"/>
      <c r="BM105" s="669"/>
      <c r="BN105" s="670"/>
      <c r="BO105" s="670"/>
      <c r="BP105" s="672"/>
      <c r="BQ105" s="673"/>
      <c r="BR105" s="674"/>
      <c r="BS105" s="674"/>
      <c r="BT105" s="675"/>
      <c r="BU105" s="676"/>
      <c r="BV105" s="677"/>
      <c r="BW105" s="678"/>
      <c r="BX105" s="679"/>
      <c r="BY105" s="673"/>
      <c r="BZ105" s="674"/>
      <c r="CA105" s="674"/>
      <c r="CB105" s="675"/>
      <c r="CC105" s="249"/>
      <c r="CD105" s="353"/>
      <c r="CE105" s="353"/>
      <c r="CF105" s="360"/>
      <c r="CG105" s="358"/>
      <c r="CH105" s="353"/>
      <c r="CI105" s="358"/>
      <c r="CJ105" s="248"/>
      <c r="CK105" s="680"/>
      <c r="CL105" s="681"/>
      <c r="CM105" s="680"/>
      <c r="CN105" s="680"/>
      <c r="CO105" s="680"/>
      <c r="CP105" s="680"/>
      <c r="CQ105" s="680"/>
      <c r="CR105" s="680"/>
      <c r="CS105" s="680"/>
      <c r="CT105" s="680"/>
      <c r="CU105" s="680"/>
      <c r="CV105" s="680"/>
      <c r="CW105" s="680"/>
      <c r="CX105" s="680"/>
      <c r="CY105" s="680"/>
      <c r="CZ105" s="680"/>
      <c r="DA105" s="680"/>
      <c r="DB105" s="680"/>
      <c r="DC105" s="680"/>
      <c r="DD105" s="680"/>
      <c r="DE105" s="1033"/>
      <c r="DF105" s="1074">
        <f>SUM(DF99:DF103)</f>
        <v>13340059</v>
      </c>
      <c r="DG105" s="393">
        <f>SUM(DG99:DG103)</f>
        <v>2001008.85</v>
      </c>
      <c r="DH105" s="393">
        <f>SUM(DH99:DH103)</f>
        <v>15341067.85</v>
      </c>
      <c r="DI105" s="393">
        <f>SUM(J105,N105,R105,V105,Z105,AD105,AH105,AL105,AP105,AT105,AX105,BB105,BF105,BJ105,BN105,BR105,BV105,BZ105,CD105,CH105,CL105,CP105,CT105,CX105,DB105)</f>
        <v>12356098.010000002</v>
      </c>
      <c r="DJ105" s="393">
        <f>SUM(DJ99:DJ103)</f>
        <v>13271119.611499999</v>
      </c>
      <c r="DK105" s="394"/>
      <c r="DL105" s="393">
        <f>SUM(DL99:DL103)</f>
        <v>12479059</v>
      </c>
      <c r="DM105" s="1075">
        <f>SUM(DM99:DM103)</f>
        <v>122960.98999999929</v>
      </c>
      <c r="DN105" s="178"/>
      <c r="DO105" s="694">
        <f t="shared" si="14"/>
        <v>12356098.010000002</v>
      </c>
      <c r="DP105" s="694">
        <f>DO105-Detailed[[#This Row],[Column66]]</f>
        <v>0</v>
      </c>
      <c r="DQ105" s="179"/>
      <c r="DR105" s="179"/>
      <c r="DS105" s="231"/>
      <c r="DT105" s="179"/>
      <c r="DU105" s="179"/>
      <c r="DV105" s="179"/>
      <c r="DW105" s="179"/>
      <c r="DX105" s="179"/>
      <c r="DY105" s="179"/>
      <c r="DZ105" s="179"/>
      <c r="EA105" s="179"/>
      <c r="EB105" s="179"/>
      <c r="EC105" s="179"/>
      <c r="ED105" s="179"/>
      <c r="EE105" s="179"/>
      <c r="EF105" s="179"/>
      <c r="EG105" s="179"/>
      <c r="EH105" s="179"/>
      <c r="EI105" s="179"/>
      <c r="EJ105" s="179"/>
      <c r="EK105" s="179"/>
      <c r="EL105" s="179"/>
      <c r="EM105" s="179"/>
      <c r="EN105" s="179"/>
      <c r="EO105" s="179"/>
      <c r="EP105" s="179"/>
      <c r="EQ105" s="179"/>
      <c r="ER105" s="179"/>
      <c r="ES105" s="179"/>
      <c r="ET105" s="179"/>
      <c r="EU105" s="179"/>
      <c r="EV105" s="179"/>
      <c r="EW105" s="179"/>
      <c r="EX105" s="179"/>
      <c r="EY105" s="179"/>
      <c r="EZ105" s="179"/>
      <c r="FA105" s="179"/>
      <c r="FB105" s="179"/>
      <c r="FC105" s="179"/>
      <c r="FD105" s="179"/>
      <c r="FE105" s="179"/>
      <c r="FF105" s="179"/>
      <c r="FG105" s="179"/>
      <c r="FH105" s="179"/>
      <c r="FI105" s="179"/>
      <c r="FJ105" s="179"/>
      <c r="FK105" s="179"/>
      <c r="FL105" s="179"/>
      <c r="FM105" s="179"/>
      <c r="FN105" s="179"/>
      <c r="FO105" s="179"/>
      <c r="FP105" s="179"/>
      <c r="FQ105" s="179"/>
      <c r="FR105" s="179"/>
      <c r="FS105" s="179"/>
      <c r="FT105" s="179"/>
      <c r="FU105" s="179"/>
      <c r="FV105" s="179"/>
      <c r="FW105" s="179"/>
      <c r="FX105" s="179"/>
      <c r="FY105" s="179"/>
      <c r="FZ105" s="179"/>
      <c r="GA105" s="179"/>
      <c r="GB105" s="179"/>
      <c r="GC105" s="179"/>
      <c r="GD105" s="179"/>
      <c r="GE105" s="179"/>
      <c r="GF105" s="179"/>
      <c r="GG105" s="179"/>
      <c r="GH105" s="179"/>
      <c r="GI105" s="179"/>
      <c r="GJ105" s="179"/>
      <c r="GK105" s="179"/>
      <c r="GL105" s="179"/>
      <c r="GM105" s="179"/>
      <c r="GN105" s="179"/>
      <c r="GO105" s="179"/>
      <c r="GP105" s="179"/>
      <c r="GQ105" s="179"/>
      <c r="GR105" s="179"/>
      <c r="GS105" s="179"/>
      <c r="GT105" s="179"/>
      <c r="GU105" s="179"/>
      <c r="GV105" s="179"/>
      <c r="GW105" s="179"/>
      <c r="GX105" s="179"/>
      <c r="GY105" s="179"/>
      <c r="GZ105" s="179"/>
      <c r="HA105" s="179"/>
      <c r="HB105" s="179"/>
      <c r="HC105" s="179"/>
      <c r="HD105" s="179"/>
      <c r="HE105" s="179"/>
      <c r="HF105" s="179"/>
      <c r="HG105" s="179"/>
      <c r="HH105" s="179"/>
      <c r="HI105" s="179"/>
      <c r="HJ105" s="179"/>
      <c r="HK105" s="179"/>
      <c r="HL105" s="179"/>
      <c r="HM105" s="179"/>
      <c r="HN105" s="179"/>
      <c r="HO105" s="179"/>
      <c r="HP105" s="179"/>
      <c r="HQ105" s="179"/>
      <c r="HR105" s="179"/>
      <c r="HS105" s="179"/>
      <c r="HT105" s="179"/>
      <c r="HU105" s="179"/>
      <c r="HV105" s="179"/>
      <c r="HW105" s="179"/>
      <c r="HX105" s="179"/>
      <c r="HY105" s="179"/>
      <c r="HZ105" s="179"/>
      <c r="IA105" s="179"/>
      <c r="IB105" s="179"/>
      <c r="IC105" s="179"/>
      <c r="ID105" s="179"/>
      <c r="IE105" s="179"/>
      <c r="IF105" s="179"/>
      <c r="IG105" s="179"/>
      <c r="IH105" s="179"/>
      <c r="II105" s="179"/>
      <c r="IJ105" s="179"/>
      <c r="IK105" s="179"/>
      <c r="IL105" s="179"/>
      <c r="IM105" s="179"/>
      <c r="IN105" s="179"/>
      <c r="IO105" s="179"/>
      <c r="IP105" s="179"/>
      <c r="IQ105" s="179"/>
      <c r="IR105" s="179"/>
      <c r="IS105" s="179"/>
      <c r="IT105" s="179"/>
      <c r="IU105" s="179"/>
      <c r="IV105" s="179"/>
      <c r="IW105" s="179"/>
      <c r="IX105" s="179"/>
      <c r="IY105" s="179"/>
      <c r="IZ105" s="179"/>
      <c r="JA105" s="179"/>
      <c r="JB105" s="179"/>
      <c r="JC105" s="179"/>
      <c r="JD105" s="179"/>
      <c r="JE105" s="179"/>
      <c r="JF105" s="179"/>
      <c r="JG105" s="179"/>
      <c r="JH105" s="179"/>
      <c r="JI105" s="179"/>
    </row>
    <row r="106" spans="1:269" ht="16.8" thickTop="1" thickBot="1">
      <c r="A106" s="145" t="s">
        <v>361</v>
      </c>
      <c r="B106" s="130"/>
      <c r="C106" s="181"/>
      <c r="D106" s="180"/>
      <c r="E106" s="180"/>
      <c r="F106" s="497"/>
      <c r="G106" s="463" t="s">
        <v>362</v>
      </c>
      <c r="H106" s="98">
        <f>F15</f>
        <v>14990000</v>
      </c>
      <c r="I106" s="66"/>
      <c r="J106" s="55"/>
      <c r="K106" s="55"/>
      <c r="L106" s="67"/>
      <c r="M106" s="64"/>
      <c r="N106" s="65"/>
      <c r="O106" s="65"/>
      <c r="P106" s="56"/>
      <c r="Q106" s="68"/>
      <c r="R106" s="69"/>
      <c r="S106" s="69"/>
      <c r="T106" s="63"/>
      <c r="U106" s="54"/>
      <c r="V106" s="63"/>
      <c r="W106" s="63"/>
      <c r="X106" s="56"/>
      <c r="Y106" s="54"/>
      <c r="Z106" s="63"/>
      <c r="AA106" s="63"/>
      <c r="AB106" s="56"/>
      <c r="AC106" s="54"/>
      <c r="AD106" s="63"/>
      <c r="AE106" s="63"/>
      <c r="AF106" s="56"/>
      <c r="AG106" s="54"/>
      <c r="AH106" s="55"/>
      <c r="AI106" s="55"/>
      <c r="AJ106" s="56"/>
      <c r="AK106" s="64"/>
      <c r="AL106" s="65"/>
      <c r="AM106" s="65"/>
      <c r="AN106" s="125"/>
      <c r="AO106" s="123"/>
      <c r="AP106" s="124"/>
      <c r="AQ106" s="124"/>
      <c r="AR106" s="121"/>
      <c r="AS106" s="123"/>
      <c r="AT106" s="124"/>
      <c r="AU106" s="124"/>
      <c r="AV106" s="121"/>
      <c r="AW106" s="123"/>
      <c r="AX106" s="124"/>
      <c r="AY106" s="124"/>
      <c r="AZ106" s="121"/>
      <c r="BA106" s="123"/>
      <c r="BB106" s="124"/>
      <c r="BC106" s="124"/>
      <c r="BD106" s="121"/>
      <c r="BE106" s="123"/>
      <c r="BF106" s="124"/>
      <c r="BG106" s="124"/>
      <c r="BH106" s="121"/>
      <c r="BI106" s="123"/>
      <c r="BJ106" s="124"/>
      <c r="BK106" s="124"/>
      <c r="BL106" s="122"/>
      <c r="BM106" s="123"/>
      <c r="BN106" s="124"/>
      <c r="BO106" s="124"/>
      <c r="BP106" s="122"/>
      <c r="BQ106" s="158"/>
      <c r="BR106" s="434"/>
      <c r="BS106" s="434"/>
      <c r="BT106" s="443"/>
      <c r="BU106" s="173"/>
      <c r="BV106" s="215"/>
      <c r="BW106" s="444"/>
      <c r="BX106" s="205"/>
      <c r="BY106" s="158"/>
      <c r="BZ106" s="434"/>
      <c r="CA106" s="434"/>
      <c r="CB106" s="443"/>
      <c r="CC106" s="247"/>
      <c r="CD106" s="351"/>
      <c r="CE106" s="351"/>
      <c r="CF106" s="245"/>
      <c r="CG106" s="356"/>
      <c r="CH106" s="351"/>
      <c r="CI106" s="356"/>
      <c r="CJ106" s="246"/>
      <c r="CK106" s="311"/>
      <c r="CL106" s="352"/>
      <c r="CM106" s="311"/>
      <c r="CN106" s="311"/>
      <c r="CO106" s="311"/>
      <c r="CP106" s="311"/>
      <c r="CQ106" s="311"/>
      <c r="CR106" s="311"/>
      <c r="CS106" s="311"/>
      <c r="CT106" s="311"/>
      <c r="CU106" s="311"/>
      <c r="CV106" s="311"/>
      <c r="CW106" s="311"/>
      <c r="CX106" s="311"/>
      <c r="CY106" s="311"/>
      <c r="CZ106" s="311"/>
      <c r="DA106" s="311"/>
      <c r="DB106" s="311"/>
      <c r="DC106" s="311"/>
      <c r="DD106" s="311"/>
      <c r="DE106" s="1033"/>
      <c r="DF106" s="1076"/>
      <c r="DG106" s="1066"/>
      <c r="DH106" s="1066"/>
      <c r="DI106" s="1066"/>
      <c r="DJ106" s="1066"/>
      <c r="DK106" s="1067"/>
      <c r="DL106" s="1109"/>
      <c r="DM106" s="1079"/>
      <c r="DN106" s="178"/>
      <c r="DO106" s="694">
        <f t="shared" si="14"/>
        <v>0</v>
      </c>
      <c r="DP106" s="694">
        <f>DO106-Detailed[[#This Row],[Column66]]</f>
        <v>0</v>
      </c>
      <c r="DQ106" s="179"/>
      <c r="DR106" s="179"/>
      <c r="DS106" s="231"/>
      <c r="DT106" s="179"/>
      <c r="DU106" s="179"/>
      <c r="DV106" s="179"/>
      <c r="DW106" s="179"/>
      <c r="DX106" s="179"/>
      <c r="DY106" s="179"/>
      <c r="DZ106" s="179"/>
      <c r="EA106" s="179"/>
      <c r="EB106" s="179"/>
      <c r="EC106" s="179"/>
      <c r="ED106" s="179"/>
      <c r="EE106" s="179"/>
      <c r="EF106" s="179"/>
      <c r="EG106" s="179"/>
      <c r="EH106" s="179"/>
      <c r="EI106" s="179"/>
      <c r="EJ106" s="179"/>
      <c r="EK106" s="179"/>
      <c r="EL106" s="179"/>
      <c r="EM106" s="179"/>
      <c r="EN106" s="179"/>
      <c r="EO106" s="179"/>
      <c r="EP106" s="179"/>
      <c r="EQ106" s="179"/>
      <c r="ER106" s="179"/>
      <c r="ES106" s="179"/>
      <c r="ET106" s="179"/>
      <c r="EU106" s="179"/>
      <c r="EV106" s="179"/>
      <c r="EW106" s="179"/>
      <c r="EX106" s="179"/>
      <c r="EY106" s="179"/>
      <c r="EZ106" s="179"/>
      <c r="FA106" s="179"/>
      <c r="FB106" s="179"/>
      <c r="FC106" s="179"/>
      <c r="FD106" s="179"/>
      <c r="FE106" s="179"/>
      <c r="FF106" s="179"/>
      <c r="FG106" s="179"/>
      <c r="FH106" s="179"/>
      <c r="FI106" s="179"/>
      <c r="FJ106" s="179"/>
      <c r="FK106" s="179"/>
      <c r="FL106" s="179"/>
      <c r="FM106" s="179"/>
      <c r="FN106" s="179"/>
      <c r="FO106" s="179"/>
      <c r="FP106" s="179"/>
      <c r="FQ106" s="179"/>
      <c r="FR106" s="179"/>
      <c r="FS106" s="179"/>
      <c r="FT106" s="179"/>
      <c r="FU106" s="179"/>
      <c r="FV106" s="179"/>
      <c r="FW106" s="179"/>
      <c r="FX106" s="179"/>
      <c r="FY106" s="179"/>
      <c r="FZ106" s="179"/>
      <c r="GA106" s="179"/>
      <c r="GB106" s="179"/>
      <c r="GC106" s="179"/>
      <c r="GD106" s="179"/>
      <c r="GE106" s="179"/>
      <c r="GF106" s="179"/>
      <c r="GG106" s="179"/>
      <c r="GH106" s="179"/>
      <c r="GI106" s="179"/>
      <c r="GJ106" s="179"/>
      <c r="GK106" s="179"/>
      <c r="GL106" s="179"/>
      <c r="GM106" s="179"/>
      <c r="GN106" s="179"/>
      <c r="GO106" s="179"/>
      <c r="GP106" s="179"/>
      <c r="GQ106" s="179"/>
      <c r="GR106" s="179"/>
      <c r="GS106" s="179"/>
      <c r="GT106" s="179"/>
      <c r="GU106" s="179"/>
      <c r="GV106" s="179"/>
      <c r="GW106" s="179"/>
      <c r="GX106" s="179"/>
      <c r="GY106" s="179"/>
      <c r="GZ106" s="179"/>
      <c r="HA106" s="179"/>
      <c r="HB106" s="179"/>
      <c r="HC106" s="179"/>
      <c r="HD106" s="179"/>
      <c r="HE106" s="179"/>
      <c r="HF106" s="179"/>
      <c r="HG106" s="179"/>
      <c r="HH106" s="179"/>
      <c r="HI106" s="179"/>
      <c r="HJ106" s="179"/>
      <c r="HK106" s="179"/>
      <c r="HL106" s="179"/>
      <c r="HM106" s="179"/>
      <c r="HN106" s="179"/>
      <c r="HO106" s="179"/>
      <c r="HP106" s="179"/>
      <c r="HQ106" s="179"/>
      <c r="HR106" s="179"/>
      <c r="HS106" s="179"/>
      <c r="HT106" s="179"/>
      <c r="HU106" s="179"/>
      <c r="HV106" s="179"/>
      <c r="HW106" s="179"/>
      <c r="HX106" s="179"/>
      <c r="HY106" s="179"/>
      <c r="HZ106" s="179"/>
      <c r="IA106" s="179"/>
      <c r="IB106" s="179"/>
      <c r="IC106" s="179"/>
      <c r="ID106" s="179"/>
      <c r="IE106" s="179"/>
      <c r="IF106" s="179"/>
      <c r="IG106" s="179"/>
      <c r="IH106" s="179"/>
      <c r="II106" s="179"/>
      <c r="IJ106" s="179"/>
      <c r="IK106" s="179"/>
      <c r="IL106" s="179"/>
      <c r="IM106" s="179"/>
      <c r="IN106" s="179"/>
      <c r="IO106" s="179"/>
      <c r="IP106" s="179"/>
      <c r="IQ106" s="179"/>
      <c r="IR106" s="179"/>
      <c r="IS106" s="179"/>
      <c r="IT106" s="179"/>
      <c r="IU106" s="179"/>
      <c r="IV106" s="179"/>
      <c r="IW106" s="179"/>
      <c r="IX106" s="179"/>
      <c r="IY106" s="179"/>
      <c r="IZ106" s="179"/>
      <c r="JA106" s="179"/>
      <c r="JB106" s="179"/>
      <c r="JC106" s="179"/>
      <c r="JD106" s="179"/>
      <c r="JE106" s="179"/>
      <c r="JF106" s="179"/>
      <c r="JG106" s="179"/>
      <c r="JH106" s="179"/>
      <c r="JI106" s="179"/>
    </row>
    <row r="107" spans="1:269" ht="16.8" thickTop="1" thickBot="1">
      <c r="A107" s="194" t="s">
        <v>361</v>
      </c>
      <c r="B107" s="57">
        <v>1</v>
      </c>
      <c r="C107" s="139" t="s">
        <v>388</v>
      </c>
      <c r="D107" s="141"/>
      <c r="E107" s="141"/>
      <c r="F107" s="142"/>
      <c r="G107" s="58"/>
      <c r="H107" s="59">
        <v>2997130</v>
      </c>
      <c r="I107" s="66">
        <v>45939</v>
      </c>
      <c r="J107" s="55">
        <f>MEINHARDT!R12</f>
        <v>299713</v>
      </c>
      <c r="K107" s="55">
        <f>Detailed[[#This Row],[Column10]]*15%</f>
        <v>44956.95</v>
      </c>
      <c r="L107" s="67">
        <f>Detailed[[#This Row],[Column10]]+Detailed[[#This Row],[Column11]]</f>
        <v>344669.95</v>
      </c>
      <c r="M107" s="64">
        <v>45951</v>
      </c>
      <c r="N107" s="55">
        <f>MEINHARDT!T12</f>
        <v>299713</v>
      </c>
      <c r="O107" s="55">
        <f>Detailed[[#This Row],[Column10]]*15%</f>
        <v>44956.95</v>
      </c>
      <c r="P107" s="67">
        <f>Detailed[[#This Row],[Column10]]+Detailed[[#This Row],[Column11]]</f>
        <v>344669.95</v>
      </c>
      <c r="Q107" s="68">
        <v>45959</v>
      </c>
      <c r="R107" s="55">
        <f>MEINHARDT!V12</f>
        <v>599426.07000000007</v>
      </c>
      <c r="S107" s="55">
        <f>Detailed[[#This Row],[Column18]]*15%</f>
        <v>89913.910500000013</v>
      </c>
      <c r="T107" s="63">
        <f>Detailed[[#This Row],[Column18]]+Detailed[[#This Row],[Column19]]</f>
        <v>689339.98050000006</v>
      </c>
      <c r="U107" s="54"/>
      <c r="V107" s="63"/>
      <c r="W107" s="63"/>
      <c r="X107" s="56"/>
      <c r="Y107" s="54"/>
      <c r="Z107" s="63"/>
      <c r="AA107" s="63"/>
      <c r="AB107" s="56"/>
      <c r="AC107" s="54"/>
      <c r="AD107" s="63"/>
      <c r="AE107" s="63"/>
      <c r="AF107" s="56"/>
      <c r="AG107" s="54"/>
      <c r="AH107" s="55"/>
      <c r="AI107" s="55"/>
      <c r="AJ107" s="56"/>
      <c r="AK107" s="64"/>
      <c r="AL107" s="65"/>
      <c r="AM107" s="65"/>
      <c r="AN107" s="125"/>
      <c r="AO107" s="123"/>
      <c r="AP107" s="124"/>
      <c r="AQ107" s="124"/>
      <c r="AR107" s="121"/>
      <c r="AS107" s="123"/>
      <c r="AT107" s="124"/>
      <c r="AU107" s="124"/>
      <c r="AV107" s="121"/>
      <c r="AW107" s="123"/>
      <c r="AX107" s="124"/>
      <c r="AY107" s="124"/>
      <c r="AZ107" s="121"/>
      <c r="BA107" s="123"/>
      <c r="BB107" s="124"/>
      <c r="BC107" s="124"/>
      <c r="BD107" s="121"/>
      <c r="BE107" s="123"/>
      <c r="BF107" s="124"/>
      <c r="BG107" s="124"/>
      <c r="BH107" s="121"/>
      <c r="BI107" s="123"/>
      <c r="BJ107" s="124"/>
      <c r="BK107" s="124"/>
      <c r="BL107" s="122"/>
      <c r="BM107" s="123"/>
      <c r="BN107" s="124"/>
      <c r="BO107" s="124"/>
      <c r="BP107" s="122"/>
      <c r="BQ107" s="158"/>
      <c r="BR107" s="434"/>
      <c r="BS107" s="434"/>
      <c r="BT107" s="443"/>
      <c r="BU107" s="173"/>
      <c r="BV107" s="215"/>
      <c r="BW107" s="444"/>
      <c r="BX107" s="205"/>
      <c r="BY107" s="158"/>
      <c r="BZ107" s="434"/>
      <c r="CA107" s="434"/>
      <c r="CB107" s="443"/>
      <c r="CC107" s="247"/>
      <c r="CD107" s="351"/>
      <c r="CE107" s="351"/>
      <c r="CF107" s="245"/>
      <c r="CG107" s="356"/>
      <c r="CH107" s="351"/>
      <c r="CI107" s="356"/>
      <c r="CJ107" s="246"/>
      <c r="CK107" s="311"/>
      <c r="CL107" s="352"/>
      <c r="CM107" s="311"/>
      <c r="CN107" s="311"/>
      <c r="CO107" s="311"/>
      <c r="CP107" s="311"/>
      <c r="CQ107" s="311"/>
      <c r="CR107" s="311"/>
      <c r="CS107" s="311"/>
      <c r="CT107" s="311"/>
      <c r="CU107" s="311"/>
      <c r="CV107" s="311"/>
      <c r="CW107" s="311"/>
      <c r="CX107" s="311"/>
      <c r="CY107" s="311"/>
      <c r="CZ107" s="311"/>
      <c r="DA107" s="311"/>
      <c r="DB107" s="311"/>
      <c r="DC107" s="311"/>
      <c r="DD107" s="311"/>
      <c r="DE107" s="161"/>
      <c r="DF107" s="152">
        <f>H107</f>
        <v>2997130</v>
      </c>
      <c r="DG107" s="152">
        <f>DF107*15%</f>
        <v>449569.5</v>
      </c>
      <c r="DH107" s="152">
        <f>DF107+DG107</f>
        <v>3446699.5</v>
      </c>
      <c r="DI107" s="1042">
        <f>SUM(J107,N107,R107,V107,Z107,AD107,AH107,AL107,AP107,AT107,AX107,BB107,BF107,BJ107,BN107,BR107,BV107,BZ107,CD107,CH107,CL107,CP107,CT107,CX107,DB107)</f>
        <v>1198852.07</v>
      </c>
      <c r="DJ107" s="152">
        <f>L107+P107+T107+X107+AB107+AF107+AJ107+AN107+AV107</f>
        <v>1378679.8805</v>
      </c>
      <c r="DK107" s="1045">
        <v>0.4</v>
      </c>
      <c r="DL107" s="1046">
        <f>DK107*DF107</f>
        <v>1198852</v>
      </c>
      <c r="DM107" s="377">
        <f>DL107-DI107</f>
        <v>-7.000000006519258E-2</v>
      </c>
      <c r="DN107" s="178"/>
      <c r="DO107" s="694">
        <f t="shared" si="14"/>
        <v>1198852.07</v>
      </c>
      <c r="DP107" s="694">
        <f>DO107-Detailed[[#This Row],[Column66]]</f>
        <v>0</v>
      </c>
      <c r="DQ107" s="179"/>
      <c r="DR107" s="179"/>
      <c r="DS107" s="231"/>
      <c r="DT107" s="179"/>
      <c r="DU107" s="179"/>
      <c r="DV107" s="179"/>
      <c r="DW107" s="179"/>
      <c r="DX107" s="179"/>
      <c r="DY107" s="179"/>
      <c r="DZ107" s="179"/>
      <c r="EA107" s="179"/>
      <c r="EB107" s="179"/>
      <c r="EC107" s="179"/>
      <c r="ED107" s="179"/>
      <c r="EE107" s="179"/>
      <c r="EF107" s="179"/>
      <c r="EG107" s="179"/>
      <c r="EH107" s="179"/>
      <c r="EI107" s="179"/>
      <c r="EJ107" s="179"/>
      <c r="EK107" s="179"/>
      <c r="EL107" s="179"/>
      <c r="EM107" s="179"/>
      <c r="EN107" s="179"/>
      <c r="EO107" s="179"/>
      <c r="EP107" s="179"/>
      <c r="EQ107" s="179"/>
      <c r="ER107" s="179"/>
      <c r="ES107" s="179"/>
      <c r="ET107" s="179"/>
      <c r="EU107" s="179"/>
      <c r="EV107" s="179"/>
      <c r="EW107" s="179"/>
      <c r="EX107" s="179"/>
      <c r="EY107" s="179"/>
      <c r="EZ107" s="179"/>
      <c r="FA107" s="179"/>
      <c r="FB107" s="179"/>
      <c r="FC107" s="179"/>
      <c r="FD107" s="179"/>
      <c r="FE107" s="179"/>
      <c r="FF107" s="179"/>
      <c r="FG107" s="179"/>
      <c r="FH107" s="179"/>
      <c r="FI107" s="179"/>
      <c r="FJ107" s="179"/>
      <c r="FK107" s="179"/>
      <c r="FL107" s="179"/>
      <c r="FM107" s="179"/>
      <c r="FN107" s="179"/>
      <c r="FO107" s="179"/>
      <c r="FP107" s="179"/>
      <c r="FQ107" s="179"/>
      <c r="FR107" s="179"/>
      <c r="FS107" s="179"/>
      <c r="FT107" s="179"/>
      <c r="FU107" s="179"/>
      <c r="FV107" s="179"/>
      <c r="FW107" s="179"/>
      <c r="FX107" s="179"/>
      <c r="FY107" s="179"/>
      <c r="FZ107" s="179"/>
      <c r="GA107" s="179"/>
      <c r="GB107" s="179"/>
      <c r="GC107" s="179"/>
      <c r="GD107" s="179"/>
      <c r="GE107" s="179"/>
      <c r="GF107" s="179"/>
      <c r="GG107" s="179"/>
      <c r="GH107" s="179"/>
      <c r="GI107" s="179"/>
      <c r="GJ107" s="179"/>
      <c r="GK107" s="179"/>
      <c r="GL107" s="179"/>
      <c r="GM107" s="179"/>
      <c r="GN107" s="179"/>
      <c r="GO107" s="179"/>
      <c r="GP107" s="179"/>
      <c r="GQ107" s="179"/>
      <c r="GR107" s="179"/>
      <c r="GS107" s="179"/>
      <c r="GT107" s="179"/>
      <c r="GU107" s="179"/>
      <c r="GV107" s="179"/>
      <c r="GW107" s="179"/>
      <c r="GX107" s="179"/>
      <c r="GY107" s="179"/>
      <c r="GZ107" s="179"/>
      <c r="HA107" s="179"/>
      <c r="HB107" s="179"/>
      <c r="HC107" s="179"/>
      <c r="HD107" s="179"/>
      <c r="HE107" s="179"/>
      <c r="HF107" s="179"/>
      <c r="HG107" s="179"/>
      <c r="HH107" s="179"/>
      <c r="HI107" s="179"/>
      <c r="HJ107" s="179"/>
      <c r="HK107" s="179"/>
      <c r="HL107" s="179"/>
      <c r="HM107" s="179"/>
      <c r="HN107" s="179"/>
      <c r="HO107" s="179"/>
      <c r="HP107" s="179"/>
      <c r="HQ107" s="179"/>
      <c r="HR107" s="179"/>
      <c r="HS107" s="179"/>
      <c r="HT107" s="179"/>
      <c r="HU107" s="179"/>
      <c r="HV107" s="179"/>
      <c r="HW107" s="179"/>
      <c r="HX107" s="179"/>
      <c r="HY107" s="179"/>
      <c r="HZ107" s="179"/>
      <c r="IA107" s="179"/>
      <c r="IB107" s="179"/>
      <c r="IC107" s="179"/>
      <c r="ID107" s="179"/>
      <c r="IE107" s="179"/>
      <c r="IF107" s="179"/>
      <c r="IG107" s="179"/>
      <c r="IH107" s="179"/>
      <c r="II107" s="179"/>
      <c r="IJ107" s="179"/>
      <c r="IK107" s="179"/>
      <c r="IL107" s="179"/>
      <c r="IM107" s="179"/>
      <c r="IN107" s="179"/>
      <c r="IO107" s="179"/>
      <c r="IP107" s="179"/>
      <c r="IQ107" s="179"/>
      <c r="IR107" s="179"/>
      <c r="IS107" s="179"/>
      <c r="IT107" s="179"/>
      <c r="IU107" s="179"/>
      <c r="IV107" s="179"/>
      <c r="IW107" s="179"/>
      <c r="IX107" s="179"/>
      <c r="IY107" s="179"/>
      <c r="IZ107" s="179"/>
      <c r="JA107" s="179"/>
      <c r="JB107" s="179"/>
      <c r="JC107" s="179"/>
      <c r="JD107" s="179"/>
      <c r="JE107" s="179"/>
      <c r="JF107" s="179"/>
      <c r="JG107" s="179"/>
      <c r="JH107" s="179"/>
      <c r="JI107" s="179"/>
    </row>
    <row r="108" spans="1:269" ht="16.8" thickTop="1" thickBot="1">
      <c r="A108" s="194" t="s">
        <v>361</v>
      </c>
      <c r="B108" s="57"/>
      <c r="C108" s="140"/>
      <c r="D108" s="141"/>
      <c r="E108" s="141"/>
      <c r="F108" s="142"/>
      <c r="G108" s="58"/>
      <c r="H108" s="59"/>
      <c r="I108" s="66"/>
      <c r="J108" s="55"/>
      <c r="K108" s="55"/>
      <c r="L108" s="67"/>
      <c r="M108" s="64"/>
      <c r="N108" s="65"/>
      <c r="O108" s="65"/>
      <c r="P108" s="56"/>
      <c r="Q108" s="68"/>
      <c r="R108" s="55"/>
      <c r="S108" s="69"/>
      <c r="T108" s="63"/>
      <c r="U108" s="54"/>
      <c r="V108" s="63"/>
      <c r="W108" s="63"/>
      <c r="X108" s="56"/>
      <c r="Y108" s="54"/>
      <c r="Z108" s="63"/>
      <c r="AA108" s="63"/>
      <c r="AB108" s="56"/>
      <c r="AC108" s="54"/>
      <c r="AD108" s="63"/>
      <c r="AE108" s="63"/>
      <c r="AF108" s="56"/>
      <c r="AG108" s="54"/>
      <c r="AH108" s="55"/>
      <c r="AI108" s="55"/>
      <c r="AJ108" s="56"/>
      <c r="AK108" s="64"/>
      <c r="AL108" s="65"/>
      <c r="AM108" s="65"/>
      <c r="AN108" s="125"/>
      <c r="AO108" s="123"/>
      <c r="AP108" s="124"/>
      <c r="AQ108" s="124"/>
      <c r="AR108" s="121"/>
      <c r="AS108" s="123"/>
      <c r="AT108" s="124"/>
      <c r="AU108" s="124"/>
      <c r="AV108" s="121"/>
      <c r="AW108" s="123"/>
      <c r="AX108" s="124"/>
      <c r="AY108" s="124"/>
      <c r="AZ108" s="121"/>
      <c r="BA108" s="123"/>
      <c r="BB108" s="124"/>
      <c r="BC108" s="124"/>
      <c r="BD108" s="121"/>
      <c r="BE108" s="123"/>
      <c r="BF108" s="124"/>
      <c r="BG108" s="124"/>
      <c r="BH108" s="121"/>
      <c r="BI108" s="123"/>
      <c r="BJ108" s="124"/>
      <c r="BK108" s="124"/>
      <c r="BL108" s="122"/>
      <c r="BM108" s="123"/>
      <c r="BN108" s="124"/>
      <c r="BO108" s="124"/>
      <c r="BP108" s="122"/>
      <c r="BQ108" s="158"/>
      <c r="BR108" s="434"/>
      <c r="BS108" s="434"/>
      <c r="BT108" s="443"/>
      <c r="BU108" s="173"/>
      <c r="BV108" s="215"/>
      <c r="BW108" s="444"/>
      <c r="BX108" s="205"/>
      <c r="BY108" s="158"/>
      <c r="BZ108" s="434"/>
      <c r="CA108" s="434"/>
      <c r="CB108" s="443"/>
      <c r="CC108" s="247"/>
      <c r="CD108" s="351"/>
      <c r="CE108" s="351"/>
      <c r="CF108" s="245"/>
      <c r="CG108" s="356"/>
      <c r="CH108" s="351"/>
      <c r="CI108" s="356"/>
      <c r="CJ108" s="246"/>
      <c r="CK108" s="311"/>
      <c r="CL108" s="352"/>
      <c r="CM108" s="311"/>
      <c r="CN108" s="311"/>
      <c r="CO108" s="311"/>
      <c r="CP108" s="311"/>
      <c r="CQ108" s="311"/>
      <c r="CR108" s="311"/>
      <c r="CS108" s="311"/>
      <c r="CT108" s="311"/>
      <c r="CU108" s="311"/>
      <c r="CV108" s="311"/>
      <c r="CW108" s="311"/>
      <c r="CX108" s="311"/>
      <c r="CY108" s="311"/>
      <c r="CZ108" s="311"/>
      <c r="DA108" s="311"/>
      <c r="DB108" s="311"/>
      <c r="DC108" s="311"/>
      <c r="DD108" s="311"/>
      <c r="DE108" s="1033"/>
      <c r="DF108" s="1057"/>
      <c r="DG108" s="1058"/>
      <c r="DH108" s="1058"/>
      <c r="DI108" s="1059">
        <f>SUMPRODUCT((MOD(COLUMN(I108:DD108)-COLUMN(I108),4)=1)*I108:DD108)</f>
        <v>0</v>
      </c>
      <c r="DJ108" s="1058"/>
      <c r="DK108" s="1060"/>
      <c r="DL108" s="1110"/>
      <c r="DM108" s="1098"/>
      <c r="DN108" s="178"/>
      <c r="DO108" s="694">
        <f t="shared" si="14"/>
        <v>0</v>
      </c>
      <c r="DP108" s="694">
        <f>DO108-Detailed[[#This Row],[Column66]]</f>
        <v>0</v>
      </c>
      <c r="DQ108" s="179"/>
      <c r="DR108" s="179"/>
      <c r="DS108" s="231"/>
      <c r="DT108" s="179"/>
      <c r="DU108" s="179"/>
      <c r="DV108" s="179"/>
      <c r="DW108" s="179"/>
      <c r="DX108" s="179"/>
      <c r="DY108" s="179"/>
      <c r="DZ108" s="179"/>
      <c r="EA108" s="179"/>
      <c r="EB108" s="179"/>
      <c r="EC108" s="179"/>
      <c r="ED108" s="179"/>
      <c r="EE108" s="179"/>
      <c r="EF108" s="179"/>
      <c r="EG108" s="179"/>
      <c r="EH108" s="179"/>
      <c r="EI108" s="179"/>
      <c r="EJ108" s="179"/>
      <c r="EK108" s="179"/>
      <c r="EL108" s="179"/>
      <c r="EM108" s="179"/>
      <c r="EN108" s="179"/>
      <c r="EO108" s="179"/>
      <c r="EP108" s="179"/>
      <c r="EQ108" s="179"/>
      <c r="ER108" s="179"/>
      <c r="ES108" s="179"/>
      <c r="ET108" s="179"/>
      <c r="EU108" s="179"/>
      <c r="EV108" s="179"/>
      <c r="EW108" s="179"/>
      <c r="EX108" s="179"/>
      <c r="EY108" s="179"/>
      <c r="EZ108" s="179"/>
      <c r="FA108" s="179"/>
      <c r="FB108" s="179"/>
      <c r="FC108" s="179"/>
      <c r="FD108" s="179"/>
      <c r="FE108" s="179"/>
      <c r="FF108" s="179"/>
      <c r="FG108" s="179"/>
      <c r="FH108" s="179"/>
      <c r="FI108" s="179"/>
      <c r="FJ108" s="179"/>
      <c r="FK108" s="179"/>
      <c r="FL108" s="179"/>
      <c r="FM108" s="179"/>
      <c r="FN108" s="179"/>
      <c r="FO108" s="179"/>
      <c r="FP108" s="179"/>
      <c r="FQ108" s="179"/>
      <c r="FR108" s="179"/>
      <c r="FS108" s="179"/>
      <c r="FT108" s="179"/>
      <c r="FU108" s="179"/>
      <c r="FV108" s="179"/>
      <c r="FW108" s="179"/>
      <c r="FX108" s="179"/>
      <c r="FY108" s="179"/>
      <c r="FZ108" s="179"/>
      <c r="GA108" s="179"/>
      <c r="GB108" s="179"/>
      <c r="GC108" s="179"/>
      <c r="GD108" s="179"/>
      <c r="GE108" s="179"/>
      <c r="GF108" s="179"/>
      <c r="GG108" s="179"/>
      <c r="GH108" s="179"/>
      <c r="GI108" s="179"/>
      <c r="GJ108" s="179"/>
      <c r="GK108" s="179"/>
      <c r="GL108" s="179"/>
      <c r="GM108" s="179"/>
      <c r="GN108" s="179"/>
      <c r="GO108" s="179"/>
      <c r="GP108" s="179"/>
      <c r="GQ108" s="179"/>
      <c r="GR108" s="179"/>
      <c r="GS108" s="179"/>
      <c r="GT108" s="179"/>
      <c r="GU108" s="179"/>
      <c r="GV108" s="179"/>
      <c r="GW108" s="179"/>
      <c r="GX108" s="179"/>
      <c r="GY108" s="179"/>
      <c r="GZ108" s="179"/>
      <c r="HA108" s="179"/>
      <c r="HB108" s="179"/>
      <c r="HC108" s="179"/>
      <c r="HD108" s="179"/>
      <c r="HE108" s="179"/>
      <c r="HF108" s="179"/>
      <c r="HG108" s="179"/>
      <c r="HH108" s="179"/>
      <c r="HI108" s="179"/>
      <c r="HJ108" s="179"/>
      <c r="HK108" s="179"/>
      <c r="HL108" s="179"/>
      <c r="HM108" s="179"/>
      <c r="HN108" s="179"/>
      <c r="HO108" s="179"/>
      <c r="HP108" s="179"/>
      <c r="HQ108" s="179"/>
      <c r="HR108" s="179"/>
      <c r="HS108" s="179"/>
      <c r="HT108" s="179"/>
      <c r="HU108" s="179"/>
      <c r="HV108" s="179"/>
      <c r="HW108" s="179"/>
      <c r="HX108" s="179"/>
      <c r="HY108" s="179"/>
      <c r="HZ108" s="179"/>
      <c r="IA108" s="179"/>
      <c r="IB108" s="179"/>
      <c r="IC108" s="179"/>
      <c r="ID108" s="179"/>
      <c r="IE108" s="179"/>
      <c r="IF108" s="179"/>
      <c r="IG108" s="179"/>
      <c r="IH108" s="179"/>
      <c r="II108" s="179"/>
      <c r="IJ108" s="179"/>
      <c r="IK108" s="179"/>
      <c r="IL108" s="179"/>
      <c r="IM108" s="179"/>
      <c r="IN108" s="179"/>
      <c r="IO108" s="179"/>
      <c r="IP108" s="179"/>
      <c r="IQ108" s="179"/>
      <c r="IR108" s="179"/>
      <c r="IS108" s="179"/>
      <c r="IT108" s="179"/>
      <c r="IU108" s="179"/>
      <c r="IV108" s="179"/>
      <c r="IW108" s="179"/>
      <c r="IX108" s="179"/>
      <c r="IY108" s="179"/>
      <c r="IZ108" s="179"/>
      <c r="JA108" s="179"/>
      <c r="JB108" s="179"/>
      <c r="JC108" s="179"/>
      <c r="JD108" s="179"/>
      <c r="JE108" s="179"/>
      <c r="JF108" s="179"/>
      <c r="JG108" s="179"/>
      <c r="JH108" s="179"/>
      <c r="JI108" s="179"/>
    </row>
    <row r="109" spans="1:269" ht="16.8" thickTop="1" thickBot="1">
      <c r="A109" s="194" t="s">
        <v>361</v>
      </c>
      <c r="B109" s="57"/>
      <c r="C109" s="140"/>
      <c r="D109" s="141"/>
      <c r="E109" s="141"/>
      <c r="F109" s="142"/>
      <c r="G109" s="58"/>
      <c r="H109" s="59"/>
      <c r="I109" s="66"/>
      <c r="J109" s="55"/>
      <c r="K109" s="55"/>
      <c r="L109" s="67"/>
      <c r="M109" s="64"/>
      <c r="N109" s="65"/>
      <c r="O109" s="65"/>
      <c r="P109" s="56"/>
      <c r="Q109" s="68"/>
      <c r="R109" s="69"/>
      <c r="S109" s="69"/>
      <c r="T109" s="63"/>
      <c r="U109" s="54"/>
      <c r="V109" s="63"/>
      <c r="W109" s="63"/>
      <c r="X109" s="56"/>
      <c r="Y109" s="54"/>
      <c r="Z109" s="63"/>
      <c r="AA109" s="63"/>
      <c r="AB109" s="56"/>
      <c r="AC109" s="54"/>
      <c r="AD109" s="63"/>
      <c r="AE109" s="63"/>
      <c r="AF109" s="56"/>
      <c r="AG109" s="54"/>
      <c r="AH109" s="55"/>
      <c r="AI109" s="55"/>
      <c r="AJ109" s="56"/>
      <c r="AK109" s="64"/>
      <c r="AL109" s="65"/>
      <c r="AM109" s="65"/>
      <c r="AN109" s="125"/>
      <c r="AO109" s="123"/>
      <c r="AP109" s="124"/>
      <c r="AQ109" s="124"/>
      <c r="AR109" s="121"/>
      <c r="AS109" s="123"/>
      <c r="AT109" s="124"/>
      <c r="AU109" s="124"/>
      <c r="AV109" s="121"/>
      <c r="AW109" s="123"/>
      <c r="AX109" s="124"/>
      <c r="AY109" s="124"/>
      <c r="AZ109" s="121"/>
      <c r="BA109" s="123"/>
      <c r="BB109" s="124"/>
      <c r="BC109" s="124"/>
      <c r="BD109" s="121"/>
      <c r="BE109" s="123"/>
      <c r="BF109" s="124"/>
      <c r="BG109" s="124"/>
      <c r="BH109" s="121"/>
      <c r="BI109" s="123"/>
      <c r="BJ109" s="124"/>
      <c r="BK109" s="124"/>
      <c r="BL109" s="122"/>
      <c r="BM109" s="123"/>
      <c r="BN109" s="124"/>
      <c r="BO109" s="124"/>
      <c r="BP109" s="122"/>
      <c r="BQ109" s="158"/>
      <c r="BR109" s="434"/>
      <c r="BS109" s="434"/>
      <c r="BT109" s="443"/>
      <c r="BU109" s="173"/>
      <c r="BV109" s="215"/>
      <c r="BW109" s="444"/>
      <c r="BX109" s="205"/>
      <c r="BY109" s="158"/>
      <c r="BZ109" s="434"/>
      <c r="CA109" s="434"/>
      <c r="CB109" s="443"/>
      <c r="CC109" s="247"/>
      <c r="CD109" s="351"/>
      <c r="CE109" s="351"/>
      <c r="CF109" s="245"/>
      <c r="CG109" s="356"/>
      <c r="CH109" s="351"/>
      <c r="CI109" s="356"/>
      <c r="CJ109" s="246"/>
      <c r="CK109" s="311"/>
      <c r="CL109" s="352"/>
      <c r="CM109" s="311"/>
      <c r="CN109" s="311"/>
      <c r="CO109" s="311"/>
      <c r="CP109" s="311"/>
      <c r="CQ109" s="311"/>
      <c r="CR109" s="311"/>
      <c r="CS109" s="311"/>
      <c r="CT109" s="311"/>
      <c r="CU109" s="311"/>
      <c r="CV109" s="311"/>
      <c r="CW109" s="311"/>
      <c r="CX109" s="311"/>
      <c r="CY109" s="311"/>
      <c r="CZ109" s="311"/>
      <c r="DA109" s="311"/>
      <c r="DB109" s="311"/>
      <c r="DC109" s="311"/>
      <c r="DD109" s="311"/>
      <c r="DE109" s="1033"/>
      <c r="DF109" s="1086"/>
      <c r="DG109" s="128"/>
      <c r="DH109" s="128"/>
      <c r="DI109" s="1059">
        <f>SUMPRODUCT((MOD(COLUMN(I109:DD109)-COLUMN(I109),4)=1)*I109:DD109)</f>
        <v>0</v>
      </c>
      <c r="DJ109" s="1059">
        <f>SUMPRODUCT((MOD(COLUMN(I109:DD109)-COLUMN(J109),4)=2)*I109:DD109)</f>
        <v>0</v>
      </c>
      <c r="DK109" s="153"/>
      <c r="DL109" s="862"/>
      <c r="DM109" s="1087"/>
      <c r="DN109" s="178"/>
      <c r="DO109" s="694">
        <f t="shared" si="14"/>
        <v>0</v>
      </c>
      <c r="DP109" s="694">
        <f>DO109-Detailed[[#This Row],[Column66]]</f>
        <v>0</v>
      </c>
      <c r="DQ109" s="179"/>
      <c r="DR109" s="179"/>
      <c r="DS109" s="231"/>
      <c r="DT109" s="179"/>
      <c r="DU109" s="179"/>
      <c r="DV109" s="179"/>
      <c r="DW109" s="179"/>
      <c r="DX109" s="179"/>
      <c r="DY109" s="179"/>
      <c r="DZ109" s="179"/>
      <c r="EA109" s="179"/>
      <c r="EB109" s="179"/>
      <c r="EC109" s="179"/>
      <c r="ED109" s="179"/>
      <c r="EE109" s="179"/>
      <c r="EF109" s="179"/>
      <c r="EG109" s="179"/>
      <c r="EH109" s="179"/>
      <c r="EI109" s="179"/>
      <c r="EJ109" s="179"/>
      <c r="EK109" s="179"/>
      <c r="EL109" s="179"/>
      <c r="EM109" s="179"/>
      <c r="EN109" s="179"/>
      <c r="EO109" s="179"/>
      <c r="EP109" s="179"/>
      <c r="EQ109" s="179"/>
      <c r="ER109" s="179"/>
      <c r="ES109" s="179"/>
      <c r="ET109" s="179"/>
      <c r="EU109" s="179"/>
      <c r="EV109" s="179"/>
      <c r="EW109" s="179"/>
      <c r="EX109" s="179"/>
      <c r="EY109" s="179"/>
      <c r="EZ109" s="179"/>
      <c r="FA109" s="179"/>
      <c r="FB109" s="179"/>
      <c r="FC109" s="179"/>
      <c r="FD109" s="179"/>
      <c r="FE109" s="179"/>
      <c r="FF109" s="179"/>
      <c r="FG109" s="179"/>
      <c r="FH109" s="179"/>
      <c r="FI109" s="179"/>
      <c r="FJ109" s="179"/>
      <c r="FK109" s="179"/>
      <c r="FL109" s="179"/>
      <c r="FM109" s="179"/>
      <c r="FN109" s="179"/>
      <c r="FO109" s="179"/>
      <c r="FP109" s="179"/>
      <c r="FQ109" s="179"/>
      <c r="FR109" s="179"/>
      <c r="FS109" s="179"/>
      <c r="FT109" s="179"/>
      <c r="FU109" s="179"/>
      <c r="FV109" s="179"/>
      <c r="FW109" s="179"/>
      <c r="FX109" s="179"/>
      <c r="FY109" s="179"/>
      <c r="FZ109" s="179"/>
      <c r="GA109" s="179"/>
      <c r="GB109" s="179"/>
      <c r="GC109" s="179"/>
      <c r="GD109" s="179"/>
      <c r="GE109" s="179"/>
      <c r="GF109" s="179"/>
      <c r="GG109" s="179"/>
      <c r="GH109" s="179"/>
      <c r="GI109" s="179"/>
      <c r="GJ109" s="179"/>
      <c r="GK109" s="179"/>
      <c r="GL109" s="179"/>
      <c r="GM109" s="179"/>
      <c r="GN109" s="179"/>
      <c r="GO109" s="179"/>
      <c r="GP109" s="179"/>
      <c r="GQ109" s="179"/>
      <c r="GR109" s="179"/>
      <c r="GS109" s="179"/>
      <c r="GT109" s="179"/>
      <c r="GU109" s="179"/>
      <c r="GV109" s="179"/>
      <c r="GW109" s="179"/>
      <c r="GX109" s="179"/>
      <c r="GY109" s="179"/>
      <c r="GZ109" s="179"/>
      <c r="HA109" s="179"/>
      <c r="HB109" s="179"/>
      <c r="HC109" s="179"/>
      <c r="HD109" s="179"/>
      <c r="HE109" s="179"/>
      <c r="HF109" s="179"/>
      <c r="HG109" s="179"/>
      <c r="HH109" s="179"/>
      <c r="HI109" s="179"/>
      <c r="HJ109" s="179"/>
      <c r="HK109" s="179"/>
      <c r="HL109" s="179"/>
      <c r="HM109" s="179"/>
      <c r="HN109" s="179"/>
      <c r="HO109" s="179"/>
      <c r="HP109" s="179"/>
      <c r="HQ109" s="179"/>
      <c r="HR109" s="179"/>
      <c r="HS109" s="179"/>
      <c r="HT109" s="179"/>
      <c r="HU109" s="179"/>
      <c r="HV109" s="179"/>
      <c r="HW109" s="179"/>
      <c r="HX109" s="179"/>
      <c r="HY109" s="179"/>
      <c r="HZ109" s="179"/>
      <c r="IA109" s="179"/>
      <c r="IB109" s="179"/>
      <c r="IC109" s="179"/>
      <c r="ID109" s="179"/>
      <c r="IE109" s="179"/>
      <c r="IF109" s="179"/>
      <c r="IG109" s="179"/>
      <c r="IH109" s="179"/>
      <c r="II109" s="179"/>
      <c r="IJ109" s="179"/>
      <c r="IK109" s="179"/>
      <c r="IL109" s="179"/>
      <c r="IM109" s="179"/>
      <c r="IN109" s="179"/>
      <c r="IO109" s="179"/>
      <c r="IP109" s="179"/>
      <c r="IQ109" s="179"/>
      <c r="IR109" s="179"/>
      <c r="IS109" s="179"/>
      <c r="IT109" s="179"/>
      <c r="IU109" s="179"/>
      <c r="IV109" s="179"/>
      <c r="IW109" s="179"/>
      <c r="IX109" s="179"/>
      <c r="IY109" s="179"/>
      <c r="IZ109" s="179"/>
      <c r="JA109" s="179"/>
      <c r="JB109" s="179"/>
      <c r="JC109" s="179"/>
      <c r="JD109" s="179"/>
      <c r="JE109" s="179"/>
      <c r="JF109" s="179"/>
      <c r="JG109" s="179"/>
      <c r="JH109" s="179"/>
      <c r="JI109" s="179"/>
    </row>
    <row r="110" spans="1:269" ht="16.8" thickTop="1" thickBot="1">
      <c r="A110" s="776"/>
      <c r="B110" s="777"/>
      <c r="C110" s="778"/>
      <c r="D110" s="779"/>
      <c r="E110" s="779"/>
      <c r="F110" s="780"/>
      <c r="G110" s="781"/>
      <c r="H110" s="782"/>
      <c r="I110" s="783"/>
      <c r="J110" s="784"/>
      <c r="K110" s="784"/>
      <c r="L110" s="785"/>
      <c r="M110" s="786"/>
      <c r="N110" s="787"/>
      <c r="O110" s="787"/>
      <c r="P110" s="788"/>
      <c r="Q110" s="789"/>
      <c r="R110" s="790"/>
      <c r="S110" s="790"/>
      <c r="T110" s="791"/>
      <c r="U110" s="792"/>
      <c r="V110" s="791"/>
      <c r="W110" s="791"/>
      <c r="X110" s="788"/>
      <c r="Y110" s="792"/>
      <c r="Z110" s="791"/>
      <c r="AA110" s="791"/>
      <c r="AB110" s="788"/>
      <c r="AC110" s="792"/>
      <c r="AD110" s="791"/>
      <c r="AE110" s="791"/>
      <c r="AF110" s="788"/>
      <c r="AG110" s="792"/>
      <c r="AH110" s="784"/>
      <c r="AI110" s="784"/>
      <c r="AJ110" s="788"/>
      <c r="AK110" s="786"/>
      <c r="AL110" s="787"/>
      <c r="AM110" s="787"/>
      <c r="AN110" s="793"/>
      <c r="AO110" s="794"/>
      <c r="AP110" s="795"/>
      <c r="AQ110" s="795"/>
      <c r="AR110" s="796"/>
      <c r="AS110" s="794"/>
      <c r="AT110" s="795"/>
      <c r="AU110" s="795"/>
      <c r="AV110" s="796"/>
      <c r="AW110" s="794"/>
      <c r="AX110" s="795"/>
      <c r="AY110" s="795"/>
      <c r="AZ110" s="796"/>
      <c r="BA110" s="794"/>
      <c r="BB110" s="795"/>
      <c r="BC110" s="795"/>
      <c r="BD110" s="796"/>
      <c r="BE110" s="794"/>
      <c r="BF110" s="795"/>
      <c r="BG110" s="795"/>
      <c r="BH110" s="796"/>
      <c r="BI110" s="794"/>
      <c r="BJ110" s="795"/>
      <c r="BK110" s="795"/>
      <c r="BL110" s="797"/>
      <c r="BM110" s="794"/>
      <c r="BN110" s="795"/>
      <c r="BO110" s="795"/>
      <c r="BP110" s="797"/>
      <c r="BQ110" s="798"/>
      <c r="BR110" s="799"/>
      <c r="BS110" s="799"/>
      <c r="BT110" s="800"/>
      <c r="BU110" s="801"/>
      <c r="BV110" s="802"/>
      <c r="BW110" s="803"/>
      <c r="BX110" s="804"/>
      <c r="BY110" s="798"/>
      <c r="BZ110" s="799"/>
      <c r="CA110" s="799"/>
      <c r="CB110" s="800"/>
      <c r="CC110" s="247"/>
      <c r="CD110" s="351"/>
      <c r="CE110" s="351"/>
      <c r="CF110" s="245"/>
      <c r="CG110" s="356"/>
      <c r="CH110" s="351"/>
      <c r="CI110" s="356"/>
      <c r="CJ110" s="246"/>
      <c r="CK110" s="805"/>
      <c r="CL110" s="806"/>
      <c r="CM110" s="805"/>
      <c r="CN110" s="805"/>
      <c r="CO110" s="805"/>
      <c r="CP110" s="805"/>
      <c r="CQ110" s="805"/>
      <c r="CR110" s="805"/>
      <c r="CS110" s="805"/>
      <c r="CT110" s="805"/>
      <c r="CU110" s="805"/>
      <c r="CV110" s="805"/>
      <c r="CW110" s="805"/>
      <c r="CX110" s="805"/>
      <c r="CY110" s="805"/>
      <c r="CZ110" s="805"/>
      <c r="DA110" s="805"/>
      <c r="DB110" s="805"/>
      <c r="DC110" s="805"/>
      <c r="DD110" s="805"/>
      <c r="DE110" s="1033"/>
      <c r="DF110" s="1111"/>
      <c r="DG110" s="1112"/>
      <c r="DH110" s="1112"/>
      <c r="DI110" s="1059">
        <f>SUMPRODUCT((MOD(COLUMN(I110:DD110)-COLUMN(I110),4)=1)*I110:DD110)</f>
        <v>0</v>
      </c>
      <c r="DJ110" s="1059">
        <f>SUMPRODUCT((MOD(COLUMN(I110:DD110)-COLUMN(J110),4)=2)*I110:DD110)</f>
        <v>0</v>
      </c>
      <c r="DK110" s="1067"/>
      <c r="DL110" s="1109"/>
      <c r="DM110" s="1113"/>
      <c r="DN110" s="178"/>
      <c r="DO110" s="694">
        <f t="shared" si="14"/>
        <v>0</v>
      </c>
      <c r="DP110" s="694">
        <f>DO110-Detailed[[#This Row],[Column66]]</f>
        <v>0</v>
      </c>
      <c r="DQ110" s="179"/>
      <c r="DR110" s="179"/>
      <c r="DS110" s="231"/>
      <c r="DT110" s="179"/>
      <c r="DU110" s="179"/>
      <c r="DV110" s="179"/>
      <c r="DW110" s="179"/>
      <c r="DX110" s="179"/>
      <c r="DY110" s="179"/>
      <c r="DZ110" s="179"/>
      <c r="EA110" s="179"/>
      <c r="EB110" s="179"/>
      <c r="EC110" s="179"/>
      <c r="ED110" s="179"/>
      <c r="EE110" s="179"/>
      <c r="EF110" s="179"/>
      <c r="EG110" s="179"/>
      <c r="EH110" s="179"/>
      <c r="EI110" s="179"/>
      <c r="EJ110" s="179"/>
      <c r="EK110" s="179"/>
      <c r="EL110" s="179"/>
      <c r="EM110" s="179"/>
      <c r="EN110" s="179"/>
      <c r="EO110" s="179"/>
      <c r="EP110" s="179"/>
      <c r="EQ110" s="179"/>
      <c r="ER110" s="179"/>
      <c r="ES110" s="179"/>
      <c r="ET110" s="179"/>
      <c r="EU110" s="179"/>
      <c r="EV110" s="179"/>
      <c r="EW110" s="179"/>
      <c r="EX110" s="179"/>
      <c r="EY110" s="179"/>
      <c r="EZ110" s="179"/>
      <c r="FA110" s="179"/>
      <c r="FB110" s="179"/>
      <c r="FC110" s="179"/>
      <c r="FD110" s="179"/>
      <c r="FE110" s="179"/>
      <c r="FF110" s="179"/>
      <c r="FG110" s="179"/>
      <c r="FH110" s="179"/>
      <c r="FI110" s="179"/>
      <c r="FJ110" s="179"/>
      <c r="FK110" s="179"/>
      <c r="FL110" s="179"/>
      <c r="FM110" s="179"/>
      <c r="FN110" s="179"/>
      <c r="FO110" s="179"/>
      <c r="FP110" s="179"/>
      <c r="FQ110" s="179"/>
      <c r="FR110" s="179"/>
      <c r="FS110" s="179"/>
      <c r="FT110" s="179"/>
      <c r="FU110" s="179"/>
      <c r="FV110" s="179"/>
      <c r="FW110" s="179"/>
      <c r="FX110" s="179"/>
      <c r="FY110" s="179"/>
      <c r="FZ110" s="179"/>
      <c r="GA110" s="179"/>
      <c r="GB110" s="179"/>
      <c r="GC110" s="179"/>
      <c r="GD110" s="179"/>
      <c r="GE110" s="179"/>
      <c r="GF110" s="179"/>
      <c r="GG110" s="179"/>
      <c r="GH110" s="179"/>
      <c r="GI110" s="179"/>
      <c r="GJ110" s="179"/>
      <c r="GK110" s="179"/>
      <c r="GL110" s="179"/>
      <c r="GM110" s="179"/>
      <c r="GN110" s="179"/>
      <c r="GO110" s="179"/>
      <c r="GP110" s="179"/>
      <c r="GQ110" s="179"/>
      <c r="GR110" s="179"/>
      <c r="GS110" s="179"/>
      <c r="GT110" s="179"/>
      <c r="GU110" s="179"/>
      <c r="GV110" s="179"/>
      <c r="GW110" s="179"/>
      <c r="GX110" s="179"/>
      <c r="GY110" s="179"/>
      <c r="GZ110" s="179"/>
      <c r="HA110" s="179"/>
      <c r="HB110" s="179"/>
      <c r="HC110" s="179"/>
      <c r="HD110" s="179"/>
      <c r="HE110" s="179"/>
      <c r="HF110" s="179"/>
      <c r="HG110" s="179"/>
      <c r="HH110" s="179"/>
      <c r="HI110" s="179"/>
      <c r="HJ110" s="179"/>
      <c r="HK110" s="179"/>
      <c r="HL110" s="179"/>
      <c r="HM110" s="179"/>
      <c r="HN110" s="179"/>
      <c r="HO110" s="179"/>
      <c r="HP110" s="179"/>
      <c r="HQ110" s="179"/>
      <c r="HR110" s="179"/>
      <c r="HS110" s="179"/>
      <c r="HT110" s="179"/>
      <c r="HU110" s="179"/>
      <c r="HV110" s="179"/>
      <c r="HW110" s="179"/>
      <c r="HX110" s="179"/>
      <c r="HY110" s="179"/>
      <c r="HZ110" s="179"/>
      <c r="IA110" s="179"/>
      <c r="IB110" s="179"/>
      <c r="IC110" s="179"/>
      <c r="ID110" s="179"/>
      <c r="IE110" s="179"/>
      <c r="IF110" s="179"/>
      <c r="IG110" s="179"/>
      <c r="IH110" s="179"/>
      <c r="II110" s="179"/>
      <c r="IJ110" s="179"/>
      <c r="IK110" s="179"/>
      <c r="IL110" s="179"/>
      <c r="IM110" s="179"/>
      <c r="IN110" s="179"/>
      <c r="IO110" s="179"/>
      <c r="IP110" s="179"/>
      <c r="IQ110" s="179"/>
      <c r="IR110" s="179"/>
      <c r="IS110" s="179"/>
      <c r="IT110" s="179"/>
      <c r="IU110" s="179"/>
      <c r="IV110" s="179"/>
      <c r="IW110" s="179"/>
      <c r="IX110" s="179"/>
      <c r="IY110" s="179"/>
      <c r="IZ110" s="179"/>
      <c r="JA110" s="179"/>
      <c r="JB110" s="179"/>
      <c r="JC110" s="179"/>
      <c r="JD110" s="179"/>
      <c r="JE110" s="179"/>
      <c r="JF110" s="179"/>
      <c r="JG110" s="179"/>
      <c r="JH110" s="179"/>
      <c r="JI110" s="179"/>
    </row>
    <row r="111" spans="1:269" ht="16.8" thickTop="1" thickBot="1">
      <c r="A111" s="809"/>
      <c r="B111" s="810"/>
      <c r="C111" s="811"/>
      <c r="D111" s="812"/>
      <c r="E111" s="812"/>
      <c r="F111" s="813"/>
      <c r="G111" s="814"/>
      <c r="H111" s="831"/>
      <c r="I111" s="832"/>
      <c r="J111" s="345">
        <f>SUM(J106:J110)</f>
        <v>299713</v>
      </c>
      <c r="K111" s="833"/>
      <c r="L111" s="345">
        <f>SUM(L106:L110)</f>
        <v>344669.95</v>
      </c>
      <c r="M111" s="834"/>
      <c r="N111" s="345">
        <f>SUM(N106:N110)</f>
        <v>299713</v>
      </c>
      <c r="O111" s="835"/>
      <c r="P111" s="345">
        <f>SUM(P106:P110)</f>
        <v>344669.95</v>
      </c>
      <c r="Q111" s="837"/>
      <c r="R111" s="320">
        <f>SUM(R106:R110)</f>
        <v>599426.07000000007</v>
      </c>
      <c r="S111" s="838"/>
      <c r="T111" s="320">
        <f>SUM(T106:T110)</f>
        <v>689339.98050000006</v>
      </c>
      <c r="U111" s="840"/>
      <c r="V111" s="839"/>
      <c r="W111" s="839"/>
      <c r="X111" s="836"/>
      <c r="Y111" s="840"/>
      <c r="Z111" s="839"/>
      <c r="AA111" s="839"/>
      <c r="AB111" s="836"/>
      <c r="AC111" s="840"/>
      <c r="AD111" s="839"/>
      <c r="AE111" s="839"/>
      <c r="AF111" s="836"/>
      <c r="AG111" s="840"/>
      <c r="AH111" s="833"/>
      <c r="AI111" s="833"/>
      <c r="AJ111" s="836"/>
      <c r="AK111" s="834"/>
      <c r="AL111" s="835"/>
      <c r="AM111" s="835"/>
      <c r="AN111" s="841"/>
      <c r="AO111" s="842"/>
      <c r="AP111" s="843"/>
      <c r="AQ111" s="843"/>
      <c r="AR111" s="844"/>
      <c r="AS111" s="842"/>
      <c r="AT111" s="843"/>
      <c r="AU111" s="843"/>
      <c r="AV111" s="844"/>
      <c r="AW111" s="842"/>
      <c r="AX111" s="843"/>
      <c r="AY111" s="843"/>
      <c r="AZ111" s="844"/>
      <c r="BA111" s="842"/>
      <c r="BB111" s="843"/>
      <c r="BC111" s="843"/>
      <c r="BD111" s="844"/>
      <c r="BE111" s="842"/>
      <c r="BF111" s="843"/>
      <c r="BG111" s="843"/>
      <c r="BH111" s="844"/>
      <c r="BI111" s="842"/>
      <c r="BJ111" s="843"/>
      <c r="BK111" s="843"/>
      <c r="BL111" s="845"/>
      <c r="BM111" s="842"/>
      <c r="BN111" s="843"/>
      <c r="BO111" s="843"/>
      <c r="BP111" s="845"/>
      <c r="BQ111" s="846"/>
      <c r="BR111" s="847"/>
      <c r="BS111" s="847"/>
      <c r="BT111" s="848"/>
      <c r="BU111" s="849"/>
      <c r="BV111" s="850"/>
      <c r="BW111" s="851"/>
      <c r="BX111" s="852"/>
      <c r="BY111" s="846"/>
      <c r="BZ111" s="847"/>
      <c r="CA111" s="847"/>
      <c r="CB111" s="848"/>
      <c r="CC111" s="853"/>
      <c r="CD111" s="854"/>
      <c r="CE111" s="854"/>
      <c r="CF111" s="855"/>
      <c r="CG111" s="856"/>
      <c r="CH111" s="854"/>
      <c r="CI111" s="856"/>
      <c r="CJ111" s="857"/>
      <c r="CK111" s="858"/>
      <c r="CL111" s="859"/>
      <c r="CM111" s="858"/>
      <c r="CN111" s="858"/>
      <c r="CO111" s="858"/>
      <c r="CP111" s="858"/>
      <c r="CQ111" s="858"/>
      <c r="CR111" s="858"/>
      <c r="CS111" s="858"/>
      <c r="CT111" s="858"/>
      <c r="CU111" s="858"/>
      <c r="CV111" s="858"/>
      <c r="CW111" s="858"/>
      <c r="CX111" s="858"/>
      <c r="CY111" s="858"/>
      <c r="CZ111" s="858"/>
      <c r="DA111" s="858"/>
      <c r="DB111" s="858"/>
      <c r="DC111" s="858"/>
      <c r="DD111" s="858"/>
      <c r="DE111" s="860"/>
      <c r="DF111" s="1047">
        <f>SUM(DF107:DF109)</f>
        <v>2997130</v>
      </c>
      <c r="DG111" s="1047">
        <f>SUM(DG107:DG109)</f>
        <v>449569.5</v>
      </c>
      <c r="DH111" s="1047">
        <f>SUM(DH107:DH109)</f>
        <v>3446699.5</v>
      </c>
      <c r="DI111" s="1047">
        <f>SUM(DI107:DI109)</f>
        <v>1198852.07</v>
      </c>
      <c r="DJ111" s="1047">
        <f>SUM(DJ107:DJ109)</f>
        <v>1378679.8805</v>
      </c>
      <c r="DK111" s="1045"/>
      <c r="DL111" s="1047">
        <f>SUM(DL107:DL109)</f>
        <v>1198852</v>
      </c>
      <c r="DM111" s="1047">
        <f>SUM(DM107:DM109)</f>
        <v>-7.000000006519258E-2</v>
      </c>
      <c r="DN111" s="178"/>
      <c r="DO111" s="694">
        <f t="shared" si="14"/>
        <v>1198852.07</v>
      </c>
      <c r="DP111" s="694">
        <f>DO111-Detailed[[#This Row],[Column66]]</f>
        <v>0</v>
      </c>
      <c r="DQ111" s="179"/>
      <c r="DR111" s="179"/>
      <c r="DS111" s="231"/>
      <c r="DT111" s="179"/>
      <c r="DU111" s="179"/>
      <c r="DV111" s="179"/>
      <c r="DW111" s="179"/>
      <c r="DX111" s="179"/>
      <c r="DY111" s="179"/>
      <c r="DZ111" s="179"/>
      <c r="EA111" s="179"/>
      <c r="EB111" s="179"/>
      <c r="EC111" s="179"/>
      <c r="ED111" s="179"/>
      <c r="EE111" s="179"/>
      <c r="EF111" s="179"/>
      <c r="EG111" s="179"/>
      <c r="EH111" s="179"/>
      <c r="EI111" s="179"/>
      <c r="EJ111" s="179"/>
      <c r="EK111" s="179"/>
      <c r="EL111" s="179"/>
      <c r="EM111" s="179"/>
      <c r="EN111" s="179"/>
      <c r="EO111" s="179"/>
      <c r="EP111" s="179"/>
      <c r="EQ111" s="179"/>
      <c r="ER111" s="179"/>
      <c r="ES111" s="179"/>
      <c r="ET111" s="179"/>
      <c r="EU111" s="179"/>
      <c r="EV111" s="179"/>
      <c r="EW111" s="179"/>
      <c r="EX111" s="179"/>
      <c r="EY111" s="179"/>
      <c r="EZ111" s="179"/>
      <c r="FA111" s="179"/>
      <c r="FB111" s="179"/>
      <c r="FC111" s="179"/>
      <c r="FD111" s="179"/>
      <c r="FE111" s="179"/>
      <c r="FF111" s="179"/>
      <c r="FG111" s="179"/>
      <c r="FH111" s="179"/>
      <c r="FI111" s="179"/>
      <c r="FJ111" s="179"/>
      <c r="FK111" s="179"/>
      <c r="FL111" s="179"/>
      <c r="FM111" s="179"/>
      <c r="FN111" s="179"/>
      <c r="FO111" s="179"/>
      <c r="FP111" s="179"/>
      <c r="FQ111" s="179"/>
      <c r="FR111" s="179"/>
      <c r="FS111" s="179"/>
      <c r="FT111" s="179"/>
      <c r="FU111" s="179"/>
      <c r="FV111" s="179"/>
      <c r="FW111" s="179"/>
      <c r="FX111" s="179"/>
      <c r="FY111" s="179"/>
      <c r="FZ111" s="179"/>
      <c r="GA111" s="179"/>
      <c r="GB111" s="179"/>
      <c r="GC111" s="179"/>
      <c r="GD111" s="179"/>
      <c r="GE111" s="179"/>
      <c r="GF111" s="179"/>
      <c r="GG111" s="179"/>
      <c r="GH111" s="179"/>
      <c r="GI111" s="179"/>
      <c r="GJ111" s="179"/>
      <c r="GK111" s="179"/>
      <c r="GL111" s="179"/>
      <c r="GM111" s="179"/>
      <c r="GN111" s="179"/>
      <c r="GO111" s="179"/>
      <c r="GP111" s="179"/>
      <c r="GQ111" s="179"/>
      <c r="GR111" s="179"/>
      <c r="GS111" s="179"/>
      <c r="GT111" s="179"/>
      <c r="GU111" s="179"/>
      <c r="GV111" s="179"/>
      <c r="GW111" s="179"/>
      <c r="GX111" s="179"/>
      <c r="GY111" s="179"/>
      <c r="GZ111" s="179"/>
      <c r="HA111" s="179"/>
      <c r="HB111" s="179"/>
      <c r="HC111" s="179"/>
      <c r="HD111" s="179"/>
      <c r="HE111" s="179"/>
      <c r="HF111" s="179"/>
      <c r="HG111" s="179"/>
      <c r="HH111" s="179"/>
      <c r="HI111" s="179"/>
      <c r="HJ111" s="179"/>
      <c r="HK111" s="179"/>
      <c r="HL111" s="179"/>
      <c r="HM111" s="179"/>
      <c r="HN111" s="179"/>
      <c r="HO111" s="179"/>
      <c r="HP111" s="179"/>
      <c r="HQ111" s="179"/>
      <c r="HR111" s="179"/>
      <c r="HS111" s="179"/>
      <c r="HT111" s="179"/>
      <c r="HU111" s="179"/>
      <c r="HV111" s="179"/>
      <c r="HW111" s="179"/>
      <c r="HX111" s="179"/>
      <c r="HY111" s="179"/>
      <c r="HZ111" s="179"/>
      <c r="IA111" s="179"/>
      <c r="IB111" s="179"/>
      <c r="IC111" s="179"/>
      <c r="ID111" s="179"/>
      <c r="IE111" s="179"/>
      <c r="IF111" s="179"/>
      <c r="IG111" s="179"/>
      <c r="IH111" s="179"/>
      <c r="II111" s="179"/>
      <c r="IJ111" s="179"/>
      <c r="IK111" s="179"/>
      <c r="IL111" s="179"/>
      <c r="IM111" s="179"/>
      <c r="IN111" s="179"/>
      <c r="IO111" s="179"/>
      <c r="IP111" s="179"/>
      <c r="IQ111" s="179"/>
      <c r="IR111" s="179"/>
      <c r="IS111" s="179"/>
      <c r="IT111" s="179"/>
      <c r="IU111" s="179"/>
      <c r="IV111" s="179"/>
      <c r="IW111" s="179"/>
      <c r="IX111" s="179"/>
      <c r="IY111" s="179"/>
      <c r="IZ111" s="179"/>
      <c r="JA111" s="179"/>
      <c r="JB111" s="179"/>
      <c r="JC111" s="179"/>
      <c r="JD111" s="179"/>
      <c r="JE111" s="179"/>
      <c r="JF111" s="179"/>
      <c r="JG111" s="179"/>
      <c r="JH111" s="179"/>
      <c r="JI111" s="179"/>
    </row>
    <row r="112" spans="1:269" ht="16.8" thickTop="1" thickBot="1">
      <c r="A112" s="808" t="s">
        <v>364</v>
      </c>
      <c r="B112" s="130"/>
      <c r="C112" s="181"/>
      <c r="D112" s="180"/>
      <c r="E112" s="180"/>
      <c r="F112" s="497"/>
      <c r="G112" s="463" t="s">
        <v>370</v>
      </c>
      <c r="H112" s="98">
        <f>F16</f>
        <v>59500000</v>
      </c>
      <c r="I112" s="815"/>
      <c r="J112" s="816"/>
      <c r="K112" s="816"/>
      <c r="L112" s="817"/>
      <c r="M112" s="818"/>
      <c r="N112" s="819"/>
      <c r="O112" s="819"/>
      <c r="P112" s="820"/>
      <c r="Q112" s="821"/>
      <c r="R112" s="822"/>
      <c r="S112" s="822"/>
      <c r="T112" s="823"/>
      <c r="U112" s="824"/>
      <c r="V112" s="823"/>
      <c r="W112" s="823"/>
      <c r="X112" s="820"/>
      <c r="Y112" s="824"/>
      <c r="Z112" s="823"/>
      <c r="AA112" s="823"/>
      <c r="AB112" s="820"/>
      <c r="AC112" s="824"/>
      <c r="AD112" s="823"/>
      <c r="AE112" s="823"/>
      <c r="AF112" s="820"/>
      <c r="AG112" s="824"/>
      <c r="AH112" s="816"/>
      <c r="AI112" s="816"/>
      <c r="AJ112" s="820"/>
      <c r="AK112" s="818"/>
      <c r="AL112" s="819"/>
      <c r="AM112" s="819"/>
      <c r="AN112" s="825"/>
      <c r="AO112" s="826"/>
      <c r="AP112" s="827"/>
      <c r="AQ112" s="827"/>
      <c r="AR112" s="828"/>
      <c r="AS112" s="826"/>
      <c r="AT112" s="827"/>
      <c r="AU112" s="827"/>
      <c r="AV112" s="828"/>
      <c r="AW112" s="826"/>
      <c r="AX112" s="827"/>
      <c r="AY112" s="827"/>
      <c r="AZ112" s="828"/>
      <c r="BA112" s="826"/>
      <c r="BB112" s="827"/>
      <c r="BC112" s="827"/>
      <c r="BD112" s="828"/>
      <c r="BE112" s="826"/>
      <c r="BF112" s="827"/>
      <c r="BG112" s="827"/>
      <c r="BH112" s="828"/>
      <c r="BI112" s="826"/>
      <c r="BJ112" s="827"/>
      <c r="BK112" s="827"/>
      <c r="BL112" s="829"/>
      <c r="BM112" s="826"/>
      <c r="BN112" s="827"/>
      <c r="BO112" s="827"/>
      <c r="BP112" s="829"/>
      <c r="BQ112" s="798"/>
      <c r="BR112" s="799"/>
      <c r="BS112" s="799"/>
      <c r="BT112" s="800"/>
      <c r="BU112" s="801"/>
      <c r="BV112" s="802"/>
      <c r="BW112" s="803"/>
      <c r="BX112" s="830"/>
      <c r="BY112" s="798"/>
      <c r="BZ112" s="799"/>
      <c r="CA112" s="799"/>
      <c r="CB112" s="800"/>
      <c r="CC112" s="247"/>
      <c r="CD112" s="351"/>
      <c r="CE112" s="351"/>
      <c r="CF112" s="245"/>
      <c r="CG112" s="356"/>
      <c r="CH112" s="351"/>
      <c r="CI112" s="356"/>
      <c r="CJ112" s="246"/>
      <c r="CK112" s="805"/>
      <c r="CL112" s="806"/>
      <c r="CM112" s="805"/>
      <c r="CN112" s="805"/>
      <c r="CO112" s="805"/>
      <c r="CP112" s="805"/>
      <c r="CQ112" s="805"/>
      <c r="CR112" s="805"/>
      <c r="CS112" s="805"/>
      <c r="CT112" s="805"/>
      <c r="CU112" s="805"/>
      <c r="CV112" s="805"/>
      <c r="CW112" s="805"/>
      <c r="CX112" s="805"/>
      <c r="CY112" s="805"/>
      <c r="CZ112" s="805"/>
      <c r="DA112" s="805"/>
      <c r="DB112" s="805"/>
      <c r="DC112" s="805"/>
      <c r="DD112" s="805"/>
      <c r="DE112" s="1033"/>
      <c r="DF112" s="1090"/>
      <c r="DG112" s="1091"/>
      <c r="DH112" s="1091"/>
      <c r="DI112" s="1091"/>
      <c r="DJ112" s="1091"/>
      <c r="DK112" s="1060"/>
      <c r="DL112" s="1110"/>
      <c r="DM112" s="1092"/>
      <c r="DN112" s="178"/>
      <c r="DO112" s="694">
        <f t="shared" si="14"/>
        <v>0</v>
      </c>
      <c r="DP112" s="694">
        <f>DO112-Detailed[[#This Row],[Column66]]</f>
        <v>0</v>
      </c>
      <c r="DQ112" s="179"/>
      <c r="DR112" s="179"/>
      <c r="DS112" s="231"/>
      <c r="DT112" s="179"/>
      <c r="DU112" s="179"/>
      <c r="DV112" s="179"/>
      <c r="DW112" s="179"/>
      <c r="DX112" s="179"/>
      <c r="DY112" s="179"/>
      <c r="DZ112" s="179"/>
      <c r="EA112" s="179"/>
      <c r="EB112" s="179"/>
      <c r="EC112" s="179"/>
      <c r="ED112" s="179"/>
      <c r="EE112" s="179"/>
      <c r="EF112" s="179"/>
      <c r="EG112" s="179"/>
      <c r="EH112" s="179"/>
      <c r="EI112" s="179"/>
      <c r="EJ112" s="179"/>
      <c r="EK112" s="179"/>
      <c r="EL112" s="179"/>
      <c r="EM112" s="179"/>
      <c r="EN112" s="179"/>
      <c r="EO112" s="179"/>
      <c r="EP112" s="179"/>
      <c r="EQ112" s="179"/>
      <c r="ER112" s="179"/>
      <c r="ES112" s="179"/>
      <c r="ET112" s="179"/>
      <c r="EU112" s="179"/>
      <c r="EV112" s="179"/>
      <c r="EW112" s="179"/>
      <c r="EX112" s="179"/>
      <c r="EY112" s="179"/>
      <c r="EZ112" s="179"/>
      <c r="FA112" s="179"/>
      <c r="FB112" s="179"/>
      <c r="FC112" s="179"/>
      <c r="FD112" s="179"/>
      <c r="FE112" s="179"/>
      <c r="FF112" s="179"/>
      <c r="FG112" s="179"/>
      <c r="FH112" s="179"/>
      <c r="FI112" s="179"/>
      <c r="FJ112" s="179"/>
      <c r="FK112" s="179"/>
      <c r="FL112" s="179"/>
      <c r="FM112" s="179"/>
      <c r="FN112" s="179"/>
      <c r="FO112" s="179"/>
      <c r="FP112" s="179"/>
      <c r="FQ112" s="179"/>
      <c r="FR112" s="179"/>
      <c r="FS112" s="179"/>
      <c r="FT112" s="179"/>
      <c r="FU112" s="179"/>
      <c r="FV112" s="179"/>
      <c r="FW112" s="179"/>
      <c r="FX112" s="179"/>
      <c r="FY112" s="179"/>
      <c r="FZ112" s="179"/>
      <c r="GA112" s="179"/>
      <c r="GB112" s="179"/>
      <c r="GC112" s="179"/>
      <c r="GD112" s="179"/>
      <c r="GE112" s="179"/>
      <c r="GF112" s="179"/>
      <c r="GG112" s="179"/>
      <c r="GH112" s="179"/>
      <c r="GI112" s="179"/>
      <c r="GJ112" s="179"/>
      <c r="GK112" s="179"/>
      <c r="GL112" s="179"/>
      <c r="GM112" s="179"/>
      <c r="GN112" s="179"/>
      <c r="GO112" s="179"/>
      <c r="GP112" s="179"/>
      <c r="GQ112" s="179"/>
      <c r="GR112" s="179"/>
      <c r="GS112" s="179"/>
      <c r="GT112" s="179"/>
      <c r="GU112" s="179"/>
      <c r="GV112" s="179"/>
      <c r="GW112" s="179"/>
      <c r="GX112" s="179"/>
      <c r="GY112" s="179"/>
      <c r="GZ112" s="179"/>
      <c r="HA112" s="179"/>
      <c r="HB112" s="179"/>
      <c r="HC112" s="179"/>
      <c r="HD112" s="179"/>
      <c r="HE112" s="179"/>
      <c r="HF112" s="179"/>
      <c r="HG112" s="179"/>
      <c r="HH112" s="179"/>
      <c r="HI112" s="179"/>
      <c r="HJ112" s="179"/>
      <c r="HK112" s="179"/>
      <c r="HL112" s="179"/>
      <c r="HM112" s="179"/>
      <c r="HN112" s="179"/>
      <c r="HO112" s="179"/>
      <c r="HP112" s="179"/>
      <c r="HQ112" s="179"/>
      <c r="HR112" s="179"/>
      <c r="HS112" s="179"/>
      <c r="HT112" s="179"/>
      <c r="HU112" s="179"/>
      <c r="HV112" s="179"/>
      <c r="HW112" s="179"/>
      <c r="HX112" s="179"/>
      <c r="HY112" s="179"/>
      <c r="HZ112" s="179"/>
      <c r="IA112" s="179"/>
      <c r="IB112" s="179"/>
      <c r="IC112" s="179"/>
      <c r="ID112" s="179"/>
      <c r="IE112" s="179"/>
      <c r="IF112" s="179"/>
      <c r="IG112" s="179"/>
      <c r="IH112" s="179"/>
      <c r="II112" s="179"/>
      <c r="IJ112" s="179"/>
      <c r="IK112" s="179"/>
      <c r="IL112" s="179"/>
      <c r="IM112" s="179"/>
      <c r="IN112" s="179"/>
      <c r="IO112" s="179"/>
      <c r="IP112" s="179"/>
      <c r="IQ112" s="179"/>
      <c r="IR112" s="179"/>
      <c r="IS112" s="179"/>
      <c r="IT112" s="179"/>
      <c r="IU112" s="179"/>
      <c r="IV112" s="179"/>
      <c r="IW112" s="179"/>
      <c r="IX112" s="179"/>
      <c r="IY112" s="179"/>
      <c r="IZ112" s="179"/>
      <c r="JA112" s="179"/>
      <c r="JB112" s="179"/>
      <c r="JC112" s="179"/>
      <c r="JD112" s="179"/>
      <c r="JE112" s="179"/>
      <c r="JF112" s="179"/>
      <c r="JG112" s="179"/>
      <c r="JH112" s="179"/>
      <c r="JI112" s="179"/>
    </row>
    <row r="113" spans="1:269" ht="16.8" thickTop="1" thickBot="1">
      <c r="A113" s="808" t="s">
        <v>364</v>
      </c>
      <c r="B113" s="777">
        <v>1</v>
      </c>
      <c r="C113" s="139" t="s">
        <v>385</v>
      </c>
      <c r="D113" s="779"/>
      <c r="E113" s="779"/>
      <c r="F113" s="780"/>
      <c r="G113" s="781"/>
      <c r="H113" s="782">
        <v>2490457</v>
      </c>
      <c r="I113" s="66">
        <v>45966</v>
      </c>
      <c r="J113" s="784">
        <f>'ENGICON RIYADH 4 P2 '!M19</f>
        <v>747154</v>
      </c>
      <c r="K113" s="55">
        <f>Detailed[[#This Row],[Column10]]*15%</f>
        <v>112073.09999999999</v>
      </c>
      <c r="L113" s="785">
        <f>Detailed[[#This Row],[Column10]]+Detailed[[#This Row],[Column11]]</f>
        <v>859227.1</v>
      </c>
      <c r="M113" s="786"/>
      <c r="N113" s="55">
        <f>'ENGICON RIYADH 4 P2 '!O19</f>
        <v>622572</v>
      </c>
      <c r="O113" s="55">
        <f>Detailed[[#This Row],[Column14]]*15%</f>
        <v>93385.8</v>
      </c>
      <c r="P113" s="788">
        <f>Detailed[[#This Row],[Column14]]+Detailed[[#This Row],[Column15]]</f>
        <v>715957.8</v>
      </c>
      <c r="Q113" s="789"/>
      <c r="R113" s="790"/>
      <c r="S113" s="790"/>
      <c r="T113" s="791"/>
      <c r="U113" s="792"/>
      <c r="V113" s="791"/>
      <c r="W113" s="791"/>
      <c r="X113" s="788"/>
      <c r="Y113" s="792"/>
      <c r="Z113" s="791"/>
      <c r="AA113" s="791"/>
      <c r="AB113" s="788"/>
      <c r="AC113" s="792"/>
      <c r="AD113" s="791"/>
      <c r="AE113" s="791"/>
      <c r="AF113" s="788"/>
      <c r="AG113" s="792"/>
      <c r="AH113" s="784"/>
      <c r="AI113" s="784"/>
      <c r="AJ113" s="788"/>
      <c r="AK113" s="786"/>
      <c r="AL113" s="787"/>
      <c r="AM113" s="787"/>
      <c r="AN113" s="793"/>
      <c r="AO113" s="794"/>
      <c r="AP113" s="795"/>
      <c r="AQ113" s="795"/>
      <c r="AR113" s="796"/>
      <c r="AS113" s="794"/>
      <c r="AT113" s="795"/>
      <c r="AU113" s="795"/>
      <c r="AV113" s="796"/>
      <c r="AW113" s="794"/>
      <c r="AX113" s="795"/>
      <c r="AY113" s="795"/>
      <c r="AZ113" s="796"/>
      <c r="BA113" s="794"/>
      <c r="BB113" s="795"/>
      <c r="BC113" s="795"/>
      <c r="BD113" s="796"/>
      <c r="BE113" s="794"/>
      <c r="BF113" s="795"/>
      <c r="BG113" s="795"/>
      <c r="BH113" s="796"/>
      <c r="BI113" s="794"/>
      <c r="BJ113" s="795"/>
      <c r="BK113" s="795"/>
      <c r="BL113" s="797"/>
      <c r="BM113" s="794"/>
      <c r="BN113" s="795"/>
      <c r="BO113" s="795"/>
      <c r="BP113" s="797"/>
      <c r="BQ113" s="798"/>
      <c r="BR113" s="799"/>
      <c r="BS113" s="799"/>
      <c r="BT113" s="800"/>
      <c r="BU113" s="801"/>
      <c r="BV113" s="802"/>
      <c r="BW113" s="803"/>
      <c r="BX113" s="804"/>
      <c r="BY113" s="798"/>
      <c r="BZ113" s="799"/>
      <c r="CA113" s="799"/>
      <c r="CB113" s="800"/>
      <c r="CC113" s="247"/>
      <c r="CD113" s="351"/>
      <c r="CE113" s="351"/>
      <c r="CF113" s="245"/>
      <c r="CG113" s="356"/>
      <c r="CH113" s="351"/>
      <c r="CI113" s="356"/>
      <c r="CJ113" s="246"/>
      <c r="CK113" s="805"/>
      <c r="CL113" s="806"/>
      <c r="CM113" s="805"/>
      <c r="CN113" s="805"/>
      <c r="CO113" s="805"/>
      <c r="CP113" s="805"/>
      <c r="CQ113" s="805"/>
      <c r="CR113" s="805"/>
      <c r="CS113" s="805"/>
      <c r="CT113" s="805"/>
      <c r="CU113" s="805"/>
      <c r="CV113" s="805"/>
      <c r="CW113" s="805"/>
      <c r="CX113" s="805"/>
      <c r="CY113" s="805"/>
      <c r="CZ113" s="805"/>
      <c r="DA113" s="805"/>
      <c r="DB113" s="805"/>
      <c r="DC113" s="805"/>
      <c r="DD113" s="805"/>
      <c r="DE113" s="1033"/>
      <c r="DF113" s="1082">
        <f>H113</f>
        <v>2490457</v>
      </c>
      <c r="DG113" s="126">
        <f>DF113*15%</f>
        <v>373568.55</v>
      </c>
      <c r="DH113" s="126">
        <f>DF113+DG113</f>
        <v>2864025.55</v>
      </c>
      <c r="DI113" s="1059">
        <f>SUMPRODUCT((MOD(COLUMN(I113:DD113)-COLUMN(I113),4)=1)*I113:DD113)</f>
        <v>1369726</v>
      </c>
      <c r="DJ113" s="1059">
        <f>SUMPRODUCT((MOD(COLUMN(I113:DD113)-COLUMN(J113),4)=2)*I113:DD113)</f>
        <v>1575184.9</v>
      </c>
      <c r="DK113" s="153">
        <v>0.55000000000000004</v>
      </c>
      <c r="DL113" s="154">
        <f>DK113*DF113</f>
        <v>1369751.35</v>
      </c>
      <c r="DM113" s="1083">
        <f>DL113-DI113</f>
        <v>25.350000000093132</v>
      </c>
      <c r="DN113" s="178"/>
      <c r="DO113" s="694">
        <f t="shared" si="14"/>
        <v>1369726</v>
      </c>
      <c r="DP113" s="694">
        <f>DO113-Detailed[[#This Row],[Column66]]</f>
        <v>0</v>
      </c>
      <c r="DQ113" s="179"/>
      <c r="DR113" s="179"/>
      <c r="DS113" s="231"/>
      <c r="DT113" s="179"/>
      <c r="DU113" s="179"/>
      <c r="DV113" s="179"/>
      <c r="DW113" s="179"/>
      <c r="DX113" s="179"/>
      <c r="DY113" s="179"/>
      <c r="DZ113" s="179"/>
      <c r="EA113" s="179"/>
      <c r="EB113" s="179"/>
      <c r="EC113" s="179"/>
      <c r="ED113" s="179"/>
      <c r="EE113" s="179"/>
      <c r="EF113" s="179"/>
      <c r="EG113" s="179"/>
      <c r="EH113" s="179"/>
      <c r="EI113" s="179"/>
      <c r="EJ113" s="179"/>
      <c r="EK113" s="179"/>
      <c r="EL113" s="179"/>
      <c r="EM113" s="179"/>
      <c r="EN113" s="179"/>
      <c r="EO113" s="179"/>
      <c r="EP113" s="179"/>
      <c r="EQ113" s="179"/>
      <c r="ER113" s="179"/>
      <c r="ES113" s="179"/>
      <c r="ET113" s="179"/>
      <c r="EU113" s="179"/>
      <c r="EV113" s="179"/>
      <c r="EW113" s="179"/>
      <c r="EX113" s="179"/>
      <c r="EY113" s="179"/>
      <c r="EZ113" s="179"/>
      <c r="FA113" s="179"/>
      <c r="FB113" s="179"/>
      <c r="FC113" s="179"/>
      <c r="FD113" s="179"/>
      <c r="FE113" s="179"/>
      <c r="FF113" s="179"/>
      <c r="FG113" s="179"/>
      <c r="FH113" s="179"/>
      <c r="FI113" s="179"/>
      <c r="FJ113" s="179"/>
      <c r="FK113" s="179"/>
      <c r="FL113" s="179"/>
      <c r="FM113" s="179"/>
      <c r="FN113" s="179"/>
      <c r="FO113" s="179"/>
      <c r="FP113" s="179"/>
      <c r="FQ113" s="179"/>
      <c r="FR113" s="179"/>
      <c r="FS113" s="179"/>
      <c r="FT113" s="179"/>
      <c r="FU113" s="179"/>
      <c r="FV113" s="179"/>
      <c r="FW113" s="179"/>
      <c r="FX113" s="179"/>
      <c r="FY113" s="179"/>
      <c r="FZ113" s="179"/>
      <c r="GA113" s="179"/>
      <c r="GB113" s="179"/>
      <c r="GC113" s="179"/>
      <c r="GD113" s="179"/>
      <c r="GE113" s="179"/>
      <c r="GF113" s="179"/>
      <c r="GG113" s="179"/>
      <c r="GH113" s="179"/>
      <c r="GI113" s="179"/>
      <c r="GJ113" s="179"/>
      <c r="GK113" s="179"/>
      <c r="GL113" s="179"/>
      <c r="GM113" s="179"/>
      <c r="GN113" s="179"/>
      <c r="GO113" s="179"/>
      <c r="GP113" s="179"/>
      <c r="GQ113" s="179"/>
      <c r="GR113" s="179"/>
      <c r="GS113" s="179"/>
      <c r="GT113" s="179"/>
      <c r="GU113" s="179"/>
      <c r="GV113" s="179"/>
      <c r="GW113" s="179"/>
      <c r="GX113" s="179"/>
      <c r="GY113" s="179"/>
      <c r="GZ113" s="179"/>
      <c r="HA113" s="179"/>
      <c r="HB113" s="179"/>
      <c r="HC113" s="179"/>
      <c r="HD113" s="179"/>
      <c r="HE113" s="179"/>
      <c r="HF113" s="179"/>
      <c r="HG113" s="179"/>
      <c r="HH113" s="179"/>
      <c r="HI113" s="179"/>
      <c r="HJ113" s="179"/>
      <c r="HK113" s="179"/>
      <c r="HL113" s="179"/>
      <c r="HM113" s="179"/>
      <c r="HN113" s="179"/>
      <c r="HO113" s="179"/>
      <c r="HP113" s="179"/>
      <c r="HQ113" s="179"/>
      <c r="HR113" s="179"/>
      <c r="HS113" s="179"/>
      <c r="HT113" s="179"/>
      <c r="HU113" s="179"/>
      <c r="HV113" s="179"/>
      <c r="HW113" s="179"/>
      <c r="HX113" s="179"/>
      <c r="HY113" s="179"/>
      <c r="HZ113" s="179"/>
      <c r="IA113" s="179"/>
      <c r="IB113" s="179"/>
      <c r="IC113" s="179"/>
      <c r="ID113" s="179"/>
      <c r="IE113" s="179"/>
      <c r="IF113" s="179"/>
      <c r="IG113" s="179"/>
      <c r="IH113" s="179"/>
      <c r="II113" s="179"/>
      <c r="IJ113" s="179"/>
      <c r="IK113" s="179"/>
      <c r="IL113" s="179"/>
      <c r="IM113" s="179"/>
      <c r="IN113" s="179"/>
      <c r="IO113" s="179"/>
      <c r="IP113" s="179"/>
      <c r="IQ113" s="179"/>
      <c r="IR113" s="179"/>
      <c r="IS113" s="179"/>
      <c r="IT113" s="179"/>
      <c r="IU113" s="179"/>
      <c r="IV113" s="179"/>
      <c r="IW113" s="179"/>
      <c r="IX113" s="179"/>
      <c r="IY113" s="179"/>
      <c r="IZ113" s="179"/>
      <c r="JA113" s="179"/>
      <c r="JB113" s="179"/>
      <c r="JC113" s="179"/>
      <c r="JD113" s="179"/>
      <c r="JE113" s="179"/>
      <c r="JF113" s="179"/>
      <c r="JG113" s="179"/>
      <c r="JH113" s="179"/>
      <c r="JI113" s="179"/>
    </row>
    <row r="114" spans="1:269" ht="16.2" thickTop="1">
      <c r="A114" s="808" t="s">
        <v>364</v>
      </c>
      <c r="B114" s="777">
        <v>2</v>
      </c>
      <c r="C114" s="139" t="s">
        <v>419</v>
      </c>
      <c r="D114" s="779"/>
      <c r="E114" s="779"/>
      <c r="F114" s="780"/>
      <c r="G114" s="58" t="s">
        <v>420</v>
      </c>
      <c r="H114" s="782">
        <v>24501677</v>
      </c>
      <c r="I114" s="66">
        <v>45966</v>
      </c>
      <c r="J114" s="784">
        <f>'ENGICON RIYADH 4 P2 '!M31</f>
        <v>7963335</v>
      </c>
      <c r="K114" s="55">
        <f>Detailed[[#This Row],[Column10]]*15%</f>
        <v>1194500.25</v>
      </c>
      <c r="L114" s="785">
        <f>Detailed[[#This Row],[Column10]]+Detailed[[#This Row],[Column11]]</f>
        <v>9157835.25</v>
      </c>
      <c r="M114" s="786"/>
      <c r="N114" s="787"/>
      <c r="O114" s="787"/>
      <c r="P114" s="788"/>
      <c r="Q114" s="789"/>
      <c r="R114" s="790"/>
      <c r="S114" s="790"/>
      <c r="T114" s="791"/>
      <c r="U114" s="792"/>
      <c r="V114" s="791"/>
      <c r="W114" s="791"/>
      <c r="X114" s="788"/>
      <c r="Y114" s="792"/>
      <c r="Z114" s="791"/>
      <c r="AA114" s="791"/>
      <c r="AB114" s="788"/>
      <c r="AC114" s="792"/>
      <c r="AD114" s="791"/>
      <c r="AE114" s="791"/>
      <c r="AF114" s="788"/>
      <c r="AG114" s="792"/>
      <c r="AH114" s="784"/>
      <c r="AI114" s="784"/>
      <c r="AJ114" s="788"/>
      <c r="AK114" s="786"/>
      <c r="AL114" s="787"/>
      <c r="AM114" s="787"/>
      <c r="AN114" s="793"/>
      <c r="AO114" s="794"/>
      <c r="AP114" s="795"/>
      <c r="AQ114" s="795"/>
      <c r="AR114" s="796"/>
      <c r="AS114" s="794"/>
      <c r="AT114" s="795"/>
      <c r="AU114" s="795"/>
      <c r="AV114" s="796"/>
      <c r="AW114" s="794"/>
      <c r="AX114" s="795"/>
      <c r="AY114" s="795"/>
      <c r="AZ114" s="796"/>
      <c r="BA114" s="794"/>
      <c r="BB114" s="795"/>
      <c r="BC114" s="795"/>
      <c r="BD114" s="796"/>
      <c r="BE114" s="794"/>
      <c r="BF114" s="795"/>
      <c r="BG114" s="795"/>
      <c r="BH114" s="796"/>
      <c r="BI114" s="794"/>
      <c r="BJ114" s="795"/>
      <c r="BK114" s="795"/>
      <c r="BL114" s="797"/>
      <c r="BM114" s="794"/>
      <c r="BN114" s="795"/>
      <c r="BO114" s="795"/>
      <c r="BP114" s="797"/>
      <c r="BQ114" s="798"/>
      <c r="BR114" s="799"/>
      <c r="BS114" s="799"/>
      <c r="BT114" s="800"/>
      <c r="BU114" s="801"/>
      <c r="BV114" s="802"/>
      <c r="BW114" s="803"/>
      <c r="BX114" s="804"/>
      <c r="BY114" s="798"/>
      <c r="BZ114" s="799"/>
      <c r="CA114" s="799"/>
      <c r="CB114" s="800"/>
      <c r="CC114" s="247"/>
      <c r="CD114" s="351"/>
      <c r="CE114" s="351"/>
      <c r="CF114" s="245"/>
      <c r="CG114" s="356"/>
      <c r="CH114" s="351"/>
      <c r="CI114" s="356"/>
      <c r="CJ114" s="246"/>
      <c r="CK114" s="805"/>
      <c r="CL114" s="806"/>
      <c r="CM114" s="805"/>
      <c r="CN114" s="805"/>
      <c r="CO114" s="805"/>
      <c r="CP114" s="805"/>
      <c r="CQ114" s="805"/>
      <c r="CR114" s="805"/>
      <c r="CS114" s="805"/>
      <c r="CT114" s="805"/>
      <c r="CU114" s="805"/>
      <c r="CV114" s="805"/>
      <c r="CW114" s="805"/>
      <c r="CX114" s="805"/>
      <c r="CY114" s="805"/>
      <c r="CZ114" s="805"/>
      <c r="DA114" s="805"/>
      <c r="DB114" s="805"/>
      <c r="DC114" s="805"/>
      <c r="DD114" s="805"/>
      <c r="DE114" s="1033"/>
      <c r="DF114" s="1082">
        <f>H114</f>
        <v>24501677</v>
      </c>
      <c r="DG114" s="126">
        <f>DF114*15%</f>
        <v>3675251.55</v>
      </c>
      <c r="DH114" s="126">
        <f>DF114+DG114</f>
        <v>28176928.550000001</v>
      </c>
      <c r="DI114" s="1059">
        <f>SUMPRODUCT((MOD(COLUMN(I114:DD114)-COLUMN(I114),4)=1)*I114:DD114)</f>
        <v>7963335</v>
      </c>
      <c r="DJ114" s="1059">
        <f>SUMPRODUCT((MOD(COLUMN(I114:DD114)-COLUMN(J114),4)=2)*I114:DD114)</f>
        <v>9157835.25</v>
      </c>
      <c r="DK114" s="153">
        <v>0.38</v>
      </c>
      <c r="DL114" s="154">
        <f>DK114*DF114</f>
        <v>9310637.2599999998</v>
      </c>
      <c r="DM114" s="1083">
        <f>DL114-DI114</f>
        <v>1347302.2599999998</v>
      </c>
      <c r="DN114" s="178"/>
      <c r="DO114" s="694">
        <f t="shared" si="14"/>
        <v>7963335</v>
      </c>
      <c r="DP114" s="694">
        <f>DO114-Detailed[[#This Row],[Column66]]</f>
        <v>0</v>
      </c>
      <c r="DQ114" s="179"/>
      <c r="DR114" s="179"/>
      <c r="DS114" s="231"/>
      <c r="DT114" s="179"/>
      <c r="DU114" s="179"/>
      <c r="DV114" s="179"/>
      <c r="DW114" s="179"/>
      <c r="DX114" s="179"/>
      <c r="DY114" s="179"/>
      <c r="DZ114" s="179"/>
      <c r="EA114" s="179"/>
      <c r="EB114" s="179"/>
      <c r="EC114" s="179"/>
      <c r="ED114" s="179"/>
      <c r="EE114" s="179"/>
      <c r="EF114" s="179"/>
      <c r="EG114" s="179"/>
      <c r="EH114" s="179"/>
      <c r="EI114" s="179"/>
      <c r="EJ114" s="179"/>
      <c r="EK114" s="179"/>
      <c r="EL114" s="179"/>
      <c r="EM114" s="179"/>
      <c r="EN114" s="179"/>
      <c r="EO114" s="179"/>
      <c r="EP114" s="179"/>
      <c r="EQ114" s="179"/>
      <c r="ER114" s="179"/>
      <c r="ES114" s="179"/>
      <c r="ET114" s="179"/>
      <c r="EU114" s="179"/>
      <c r="EV114" s="179"/>
      <c r="EW114" s="179"/>
      <c r="EX114" s="179"/>
      <c r="EY114" s="179"/>
      <c r="EZ114" s="179"/>
      <c r="FA114" s="179"/>
      <c r="FB114" s="179"/>
      <c r="FC114" s="179"/>
      <c r="FD114" s="179"/>
      <c r="FE114" s="179"/>
      <c r="FF114" s="179"/>
      <c r="FG114" s="179"/>
      <c r="FH114" s="179"/>
      <c r="FI114" s="179"/>
      <c r="FJ114" s="179"/>
      <c r="FK114" s="179"/>
      <c r="FL114" s="179"/>
      <c r="FM114" s="179"/>
      <c r="FN114" s="179"/>
      <c r="FO114" s="179"/>
      <c r="FP114" s="179"/>
      <c r="FQ114" s="179"/>
      <c r="FR114" s="179"/>
      <c r="FS114" s="179"/>
      <c r="FT114" s="179"/>
      <c r="FU114" s="179"/>
      <c r="FV114" s="179"/>
      <c r="FW114" s="179"/>
      <c r="FX114" s="179"/>
      <c r="FY114" s="179"/>
      <c r="FZ114" s="179"/>
      <c r="GA114" s="179"/>
      <c r="GB114" s="179"/>
      <c r="GC114" s="179"/>
      <c r="GD114" s="179"/>
      <c r="GE114" s="179"/>
      <c r="GF114" s="179"/>
      <c r="GG114" s="179"/>
      <c r="GH114" s="179"/>
      <c r="GI114" s="179"/>
      <c r="GJ114" s="179"/>
      <c r="GK114" s="179"/>
      <c r="GL114" s="179"/>
      <c r="GM114" s="179"/>
      <c r="GN114" s="179"/>
      <c r="GO114" s="179"/>
      <c r="GP114" s="179"/>
      <c r="GQ114" s="179"/>
      <c r="GR114" s="179"/>
      <c r="GS114" s="179"/>
      <c r="GT114" s="179"/>
      <c r="GU114" s="179"/>
      <c r="GV114" s="179"/>
      <c r="GW114" s="179"/>
      <c r="GX114" s="179"/>
      <c r="GY114" s="179"/>
      <c r="GZ114" s="179"/>
      <c r="HA114" s="179"/>
      <c r="HB114" s="179"/>
      <c r="HC114" s="179"/>
      <c r="HD114" s="179"/>
      <c r="HE114" s="179"/>
      <c r="HF114" s="179"/>
      <c r="HG114" s="179"/>
      <c r="HH114" s="179"/>
      <c r="HI114" s="179"/>
      <c r="HJ114" s="179"/>
      <c r="HK114" s="179"/>
      <c r="HL114" s="179"/>
      <c r="HM114" s="179"/>
      <c r="HN114" s="179"/>
      <c r="HO114" s="179"/>
      <c r="HP114" s="179"/>
      <c r="HQ114" s="179"/>
      <c r="HR114" s="179"/>
      <c r="HS114" s="179"/>
      <c r="HT114" s="179"/>
      <c r="HU114" s="179"/>
      <c r="HV114" s="179"/>
      <c r="HW114" s="179"/>
      <c r="HX114" s="179"/>
      <c r="HY114" s="179"/>
      <c r="HZ114" s="179"/>
      <c r="IA114" s="179"/>
      <c r="IB114" s="179"/>
      <c r="IC114" s="179"/>
      <c r="ID114" s="179"/>
      <c r="IE114" s="179"/>
      <c r="IF114" s="179"/>
      <c r="IG114" s="179"/>
      <c r="IH114" s="179"/>
      <c r="II114" s="179"/>
      <c r="IJ114" s="179"/>
      <c r="IK114" s="179"/>
      <c r="IL114" s="179"/>
      <c r="IM114" s="179"/>
      <c r="IN114" s="179"/>
      <c r="IO114" s="179"/>
      <c r="IP114" s="179"/>
      <c r="IQ114" s="179"/>
      <c r="IR114" s="179"/>
      <c r="IS114" s="179"/>
      <c r="IT114" s="179"/>
      <c r="IU114" s="179"/>
      <c r="IV114" s="179"/>
      <c r="IW114" s="179"/>
      <c r="IX114" s="179"/>
      <c r="IY114" s="179"/>
      <c r="IZ114" s="179"/>
      <c r="JA114" s="179"/>
      <c r="JB114" s="179"/>
      <c r="JC114" s="179"/>
      <c r="JD114" s="179"/>
      <c r="JE114" s="179"/>
      <c r="JF114" s="179"/>
      <c r="JG114" s="179"/>
      <c r="JH114" s="179"/>
      <c r="JI114" s="179"/>
    </row>
    <row r="115" spans="1:269" ht="15.6">
      <c r="A115" s="808" t="s">
        <v>364</v>
      </c>
      <c r="B115" s="777"/>
      <c r="C115" s="778"/>
      <c r="D115" s="779"/>
      <c r="E115" s="779"/>
      <c r="F115" s="780"/>
      <c r="G115" s="781"/>
      <c r="H115" s="782"/>
      <c r="I115" s="783"/>
      <c r="J115" s="784"/>
      <c r="K115" s="784"/>
      <c r="L115" s="785"/>
      <c r="M115" s="786"/>
      <c r="N115" s="787"/>
      <c r="O115" s="787"/>
      <c r="P115" s="788"/>
      <c r="Q115" s="789"/>
      <c r="R115" s="790"/>
      <c r="S115" s="790"/>
      <c r="T115" s="791"/>
      <c r="U115" s="792"/>
      <c r="V115" s="791"/>
      <c r="W115" s="791"/>
      <c r="X115" s="788"/>
      <c r="Y115" s="792"/>
      <c r="Z115" s="791"/>
      <c r="AA115" s="791"/>
      <c r="AB115" s="788"/>
      <c r="AC115" s="792"/>
      <c r="AD115" s="791"/>
      <c r="AE115" s="791"/>
      <c r="AF115" s="788"/>
      <c r="AG115" s="792"/>
      <c r="AH115" s="784"/>
      <c r="AI115" s="784"/>
      <c r="AJ115" s="788"/>
      <c r="AK115" s="786"/>
      <c r="AL115" s="787"/>
      <c r="AM115" s="787"/>
      <c r="AN115" s="793"/>
      <c r="AO115" s="794"/>
      <c r="AP115" s="795"/>
      <c r="AQ115" s="795"/>
      <c r="AR115" s="796"/>
      <c r="AS115" s="794"/>
      <c r="AT115" s="795"/>
      <c r="AU115" s="795"/>
      <c r="AV115" s="796"/>
      <c r="AW115" s="794"/>
      <c r="AX115" s="795"/>
      <c r="AY115" s="795"/>
      <c r="AZ115" s="796"/>
      <c r="BA115" s="794"/>
      <c r="BB115" s="795"/>
      <c r="BC115" s="795"/>
      <c r="BD115" s="796"/>
      <c r="BE115" s="794"/>
      <c r="BF115" s="795"/>
      <c r="BG115" s="795"/>
      <c r="BH115" s="796"/>
      <c r="BI115" s="794"/>
      <c r="BJ115" s="795"/>
      <c r="BK115" s="795"/>
      <c r="BL115" s="797"/>
      <c r="BM115" s="794"/>
      <c r="BN115" s="795"/>
      <c r="BO115" s="795"/>
      <c r="BP115" s="797"/>
      <c r="BQ115" s="798"/>
      <c r="BR115" s="799"/>
      <c r="BS115" s="799"/>
      <c r="BT115" s="800"/>
      <c r="BU115" s="801"/>
      <c r="BV115" s="802"/>
      <c r="BW115" s="803"/>
      <c r="BX115" s="804"/>
      <c r="BY115" s="798"/>
      <c r="BZ115" s="799"/>
      <c r="CA115" s="799"/>
      <c r="CB115" s="800"/>
      <c r="CC115" s="247"/>
      <c r="CD115" s="351"/>
      <c r="CE115" s="351"/>
      <c r="CF115" s="245"/>
      <c r="CG115" s="356"/>
      <c r="CH115" s="351"/>
      <c r="CI115" s="356"/>
      <c r="CJ115" s="246"/>
      <c r="CK115" s="805"/>
      <c r="CL115" s="806"/>
      <c r="CM115" s="805"/>
      <c r="CN115" s="805"/>
      <c r="CO115" s="805"/>
      <c r="CP115" s="805"/>
      <c r="CQ115" s="805"/>
      <c r="CR115" s="805"/>
      <c r="CS115" s="805"/>
      <c r="CT115" s="805"/>
      <c r="CU115" s="805"/>
      <c r="CV115" s="805"/>
      <c r="CW115" s="805"/>
      <c r="CX115" s="805"/>
      <c r="CY115" s="805"/>
      <c r="CZ115" s="805"/>
      <c r="DA115" s="805"/>
      <c r="DB115" s="805"/>
      <c r="DC115" s="805"/>
      <c r="DD115" s="805"/>
      <c r="DE115" s="1033"/>
      <c r="DF115" s="1103"/>
      <c r="DG115" s="807"/>
      <c r="DH115" s="807"/>
      <c r="DI115" s="807"/>
      <c r="DJ115" s="807"/>
      <c r="DK115" s="153"/>
      <c r="DL115" s="862"/>
      <c r="DM115" s="1104"/>
      <c r="DN115" s="178"/>
      <c r="DO115" s="694">
        <f t="shared" si="14"/>
        <v>0</v>
      </c>
      <c r="DP115" s="694">
        <f>DO115-Detailed[[#This Row],[Column66]]</f>
        <v>0</v>
      </c>
      <c r="DQ115" s="179"/>
      <c r="DR115" s="179"/>
      <c r="DS115" s="231"/>
      <c r="DT115" s="179"/>
      <c r="DU115" s="179"/>
      <c r="DV115" s="179"/>
      <c r="DW115" s="179"/>
      <c r="DX115" s="179"/>
      <c r="DY115" s="179"/>
      <c r="DZ115" s="179"/>
      <c r="EA115" s="179"/>
      <c r="EB115" s="179"/>
      <c r="EC115" s="179"/>
      <c r="ED115" s="179"/>
      <c r="EE115" s="179"/>
      <c r="EF115" s="179"/>
      <c r="EG115" s="179"/>
      <c r="EH115" s="179"/>
      <c r="EI115" s="179"/>
      <c r="EJ115" s="179"/>
      <c r="EK115" s="179"/>
      <c r="EL115" s="179"/>
      <c r="EM115" s="179"/>
      <c r="EN115" s="179"/>
      <c r="EO115" s="179"/>
      <c r="EP115" s="179"/>
      <c r="EQ115" s="179"/>
      <c r="ER115" s="179"/>
      <c r="ES115" s="179"/>
      <c r="ET115" s="179"/>
      <c r="EU115" s="179"/>
      <c r="EV115" s="179"/>
      <c r="EW115" s="179"/>
      <c r="EX115" s="179"/>
      <c r="EY115" s="179"/>
      <c r="EZ115" s="179"/>
      <c r="FA115" s="179"/>
      <c r="FB115" s="179"/>
      <c r="FC115" s="179"/>
      <c r="FD115" s="179"/>
      <c r="FE115" s="179"/>
      <c r="FF115" s="179"/>
      <c r="FG115" s="179"/>
      <c r="FH115" s="179"/>
      <c r="FI115" s="179"/>
      <c r="FJ115" s="179"/>
      <c r="FK115" s="179"/>
      <c r="FL115" s="179"/>
      <c r="FM115" s="179"/>
      <c r="FN115" s="179"/>
      <c r="FO115" s="179"/>
      <c r="FP115" s="179"/>
      <c r="FQ115" s="179"/>
      <c r="FR115" s="179"/>
      <c r="FS115" s="179"/>
      <c r="FT115" s="179"/>
      <c r="FU115" s="179"/>
      <c r="FV115" s="179"/>
      <c r="FW115" s="179"/>
      <c r="FX115" s="179"/>
      <c r="FY115" s="179"/>
      <c r="FZ115" s="179"/>
      <c r="GA115" s="179"/>
      <c r="GB115" s="179"/>
      <c r="GC115" s="179"/>
      <c r="GD115" s="179"/>
      <c r="GE115" s="179"/>
      <c r="GF115" s="179"/>
      <c r="GG115" s="179"/>
      <c r="GH115" s="179"/>
      <c r="GI115" s="179"/>
      <c r="GJ115" s="179"/>
      <c r="GK115" s="179"/>
      <c r="GL115" s="179"/>
      <c r="GM115" s="179"/>
      <c r="GN115" s="179"/>
      <c r="GO115" s="179"/>
      <c r="GP115" s="179"/>
      <c r="GQ115" s="179"/>
      <c r="GR115" s="179"/>
      <c r="GS115" s="179"/>
      <c r="GT115" s="179"/>
      <c r="GU115" s="179"/>
      <c r="GV115" s="179"/>
      <c r="GW115" s="179"/>
      <c r="GX115" s="179"/>
      <c r="GY115" s="179"/>
      <c r="GZ115" s="179"/>
      <c r="HA115" s="179"/>
      <c r="HB115" s="179"/>
      <c r="HC115" s="179"/>
      <c r="HD115" s="179"/>
      <c r="HE115" s="179"/>
      <c r="HF115" s="179"/>
      <c r="HG115" s="179"/>
      <c r="HH115" s="179"/>
      <c r="HI115" s="179"/>
      <c r="HJ115" s="179"/>
      <c r="HK115" s="179"/>
      <c r="HL115" s="179"/>
      <c r="HM115" s="179"/>
      <c r="HN115" s="179"/>
      <c r="HO115" s="179"/>
      <c r="HP115" s="179"/>
      <c r="HQ115" s="179"/>
      <c r="HR115" s="179"/>
      <c r="HS115" s="179"/>
      <c r="HT115" s="179"/>
      <c r="HU115" s="179"/>
      <c r="HV115" s="179"/>
      <c r="HW115" s="179"/>
      <c r="HX115" s="179"/>
      <c r="HY115" s="179"/>
      <c r="HZ115" s="179"/>
      <c r="IA115" s="179"/>
      <c r="IB115" s="179"/>
      <c r="IC115" s="179"/>
      <c r="ID115" s="179"/>
      <c r="IE115" s="179"/>
      <c r="IF115" s="179"/>
      <c r="IG115" s="179"/>
      <c r="IH115" s="179"/>
      <c r="II115" s="179"/>
      <c r="IJ115" s="179"/>
      <c r="IK115" s="179"/>
      <c r="IL115" s="179"/>
      <c r="IM115" s="179"/>
      <c r="IN115" s="179"/>
      <c r="IO115" s="179"/>
      <c r="IP115" s="179"/>
      <c r="IQ115" s="179"/>
      <c r="IR115" s="179"/>
      <c r="IS115" s="179"/>
      <c r="IT115" s="179"/>
      <c r="IU115" s="179"/>
      <c r="IV115" s="179"/>
      <c r="IW115" s="179"/>
      <c r="IX115" s="179"/>
      <c r="IY115" s="179"/>
      <c r="IZ115" s="179"/>
      <c r="JA115" s="179"/>
      <c r="JB115" s="179"/>
      <c r="JC115" s="179"/>
      <c r="JD115" s="179"/>
      <c r="JE115" s="179"/>
      <c r="JF115" s="179"/>
      <c r="JG115" s="179"/>
      <c r="JH115" s="179"/>
      <c r="JI115" s="179"/>
    </row>
    <row r="116" spans="1:269" ht="16.2" thickBot="1">
      <c r="A116" s="776"/>
      <c r="B116" s="777"/>
      <c r="C116" s="778"/>
      <c r="D116" s="779"/>
      <c r="E116" s="779"/>
      <c r="F116" s="780"/>
      <c r="G116" s="781"/>
      <c r="H116" s="782"/>
      <c r="I116" s="783"/>
      <c r="J116" s="784"/>
      <c r="K116" s="784"/>
      <c r="L116" s="785"/>
      <c r="M116" s="786"/>
      <c r="N116" s="787"/>
      <c r="O116" s="787"/>
      <c r="P116" s="788"/>
      <c r="Q116" s="789"/>
      <c r="R116" s="790"/>
      <c r="S116" s="790"/>
      <c r="T116" s="791"/>
      <c r="U116" s="792"/>
      <c r="V116" s="791"/>
      <c r="W116" s="791"/>
      <c r="X116" s="788"/>
      <c r="Y116" s="792"/>
      <c r="Z116" s="791"/>
      <c r="AA116" s="791"/>
      <c r="AB116" s="788"/>
      <c r="AC116" s="792"/>
      <c r="AD116" s="791"/>
      <c r="AE116" s="791"/>
      <c r="AF116" s="788"/>
      <c r="AG116" s="792"/>
      <c r="AH116" s="784"/>
      <c r="AI116" s="784"/>
      <c r="AJ116" s="788"/>
      <c r="AK116" s="786"/>
      <c r="AL116" s="787"/>
      <c r="AM116" s="787"/>
      <c r="AN116" s="793"/>
      <c r="AO116" s="794"/>
      <c r="AP116" s="795"/>
      <c r="AQ116" s="795"/>
      <c r="AR116" s="796"/>
      <c r="AS116" s="794"/>
      <c r="AT116" s="795"/>
      <c r="AU116" s="795"/>
      <c r="AV116" s="796"/>
      <c r="AW116" s="794"/>
      <c r="AX116" s="795"/>
      <c r="AY116" s="795"/>
      <c r="AZ116" s="796"/>
      <c r="BA116" s="794"/>
      <c r="BB116" s="795"/>
      <c r="BC116" s="795"/>
      <c r="BD116" s="796"/>
      <c r="BE116" s="794"/>
      <c r="BF116" s="795"/>
      <c r="BG116" s="795"/>
      <c r="BH116" s="796"/>
      <c r="BI116" s="794"/>
      <c r="BJ116" s="795"/>
      <c r="BK116" s="795"/>
      <c r="BL116" s="797"/>
      <c r="BM116" s="794"/>
      <c r="BN116" s="795"/>
      <c r="BO116" s="795"/>
      <c r="BP116" s="797"/>
      <c r="BQ116" s="798"/>
      <c r="BR116" s="799"/>
      <c r="BS116" s="799"/>
      <c r="BT116" s="800"/>
      <c r="BU116" s="801"/>
      <c r="BV116" s="802"/>
      <c r="BW116" s="803"/>
      <c r="BX116" s="804"/>
      <c r="BY116" s="798"/>
      <c r="BZ116" s="799"/>
      <c r="CA116" s="799"/>
      <c r="CB116" s="800"/>
      <c r="CC116" s="247"/>
      <c r="CD116" s="351"/>
      <c r="CE116" s="351"/>
      <c r="CF116" s="245"/>
      <c r="CG116" s="356"/>
      <c r="CH116" s="351"/>
      <c r="CI116" s="356"/>
      <c r="CJ116" s="246"/>
      <c r="CK116" s="805"/>
      <c r="CL116" s="806"/>
      <c r="CM116" s="805"/>
      <c r="CN116" s="805"/>
      <c r="CO116" s="805"/>
      <c r="CP116" s="805"/>
      <c r="CQ116" s="805"/>
      <c r="CR116" s="805"/>
      <c r="CS116" s="805"/>
      <c r="CT116" s="805"/>
      <c r="CU116" s="805"/>
      <c r="CV116" s="805"/>
      <c r="CW116" s="805"/>
      <c r="CX116" s="805"/>
      <c r="CY116" s="805"/>
      <c r="CZ116" s="805"/>
      <c r="DA116" s="805"/>
      <c r="DB116" s="805"/>
      <c r="DC116" s="805"/>
      <c r="DD116" s="805"/>
      <c r="DE116" s="1033"/>
      <c r="DF116" s="1103"/>
      <c r="DG116" s="807"/>
      <c r="DH116" s="807"/>
      <c r="DI116" s="807"/>
      <c r="DJ116" s="807"/>
      <c r="DK116" s="153"/>
      <c r="DL116" s="862"/>
      <c r="DM116" s="1104"/>
      <c r="DN116" s="178"/>
      <c r="DO116" s="694">
        <f t="shared" si="14"/>
        <v>0</v>
      </c>
      <c r="DP116" s="694">
        <f>DO116-Detailed[[#This Row],[Column66]]</f>
        <v>0</v>
      </c>
      <c r="DQ116" s="179"/>
      <c r="DR116" s="179"/>
      <c r="DS116" s="231"/>
      <c r="DT116" s="179"/>
      <c r="DU116" s="179"/>
      <c r="DV116" s="179"/>
      <c r="DW116" s="179"/>
      <c r="DX116" s="179"/>
      <c r="DY116" s="179"/>
      <c r="DZ116" s="179"/>
      <c r="EA116" s="179"/>
      <c r="EB116" s="179"/>
      <c r="EC116" s="179"/>
      <c r="ED116" s="179"/>
      <c r="EE116" s="179"/>
      <c r="EF116" s="179"/>
      <c r="EG116" s="179"/>
      <c r="EH116" s="179"/>
      <c r="EI116" s="179"/>
      <c r="EJ116" s="179"/>
      <c r="EK116" s="179"/>
      <c r="EL116" s="179"/>
      <c r="EM116" s="179"/>
      <c r="EN116" s="179"/>
      <c r="EO116" s="179"/>
      <c r="EP116" s="179"/>
      <c r="EQ116" s="179"/>
      <c r="ER116" s="179"/>
      <c r="ES116" s="179"/>
      <c r="ET116" s="179"/>
      <c r="EU116" s="179"/>
      <c r="EV116" s="179"/>
      <c r="EW116" s="179"/>
      <c r="EX116" s="179"/>
      <c r="EY116" s="179"/>
      <c r="EZ116" s="179"/>
      <c r="FA116" s="179"/>
      <c r="FB116" s="179"/>
      <c r="FC116" s="179"/>
      <c r="FD116" s="179"/>
      <c r="FE116" s="179"/>
      <c r="FF116" s="179"/>
      <c r="FG116" s="179"/>
      <c r="FH116" s="179"/>
      <c r="FI116" s="179"/>
      <c r="FJ116" s="179"/>
      <c r="FK116" s="179"/>
      <c r="FL116" s="179"/>
      <c r="FM116" s="179"/>
      <c r="FN116" s="179"/>
      <c r="FO116" s="179"/>
      <c r="FP116" s="179"/>
      <c r="FQ116" s="179"/>
      <c r="FR116" s="179"/>
      <c r="FS116" s="179"/>
      <c r="FT116" s="179"/>
      <c r="FU116" s="179"/>
      <c r="FV116" s="179"/>
      <c r="FW116" s="179"/>
      <c r="FX116" s="179"/>
      <c r="FY116" s="179"/>
      <c r="FZ116" s="179"/>
      <c r="GA116" s="179"/>
      <c r="GB116" s="179"/>
      <c r="GC116" s="179"/>
      <c r="GD116" s="179"/>
      <c r="GE116" s="179"/>
      <c r="GF116" s="179"/>
      <c r="GG116" s="179"/>
      <c r="GH116" s="179"/>
      <c r="GI116" s="179"/>
      <c r="GJ116" s="179"/>
      <c r="GK116" s="179"/>
      <c r="GL116" s="179"/>
      <c r="GM116" s="179"/>
      <c r="GN116" s="179"/>
      <c r="GO116" s="179"/>
      <c r="GP116" s="179"/>
      <c r="GQ116" s="179"/>
      <c r="GR116" s="179"/>
      <c r="GS116" s="179"/>
      <c r="GT116" s="179"/>
      <c r="GU116" s="179"/>
      <c r="GV116" s="179"/>
      <c r="GW116" s="179"/>
      <c r="GX116" s="179"/>
      <c r="GY116" s="179"/>
      <c r="GZ116" s="179"/>
      <c r="HA116" s="179"/>
      <c r="HB116" s="179"/>
      <c r="HC116" s="179"/>
      <c r="HD116" s="179"/>
      <c r="HE116" s="179"/>
      <c r="HF116" s="179"/>
      <c r="HG116" s="179"/>
      <c r="HH116" s="179"/>
      <c r="HI116" s="179"/>
      <c r="HJ116" s="179"/>
      <c r="HK116" s="179"/>
      <c r="HL116" s="179"/>
      <c r="HM116" s="179"/>
      <c r="HN116" s="179"/>
      <c r="HO116" s="179"/>
      <c r="HP116" s="179"/>
      <c r="HQ116" s="179"/>
      <c r="HR116" s="179"/>
      <c r="HS116" s="179"/>
      <c r="HT116" s="179"/>
      <c r="HU116" s="179"/>
      <c r="HV116" s="179"/>
      <c r="HW116" s="179"/>
      <c r="HX116" s="179"/>
      <c r="HY116" s="179"/>
      <c r="HZ116" s="179"/>
      <c r="IA116" s="179"/>
      <c r="IB116" s="179"/>
      <c r="IC116" s="179"/>
      <c r="ID116" s="179"/>
      <c r="IE116" s="179"/>
      <c r="IF116" s="179"/>
      <c r="IG116" s="179"/>
      <c r="IH116" s="179"/>
      <c r="II116" s="179"/>
      <c r="IJ116" s="179"/>
      <c r="IK116" s="179"/>
      <c r="IL116" s="179"/>
      <c r="IM116" s="179"/>
      <c r="IN116" s="179"/>
      <c r="IO116" s="179"/>
      <c r="IP116" s="179"/>
      <c r="IQ116" s="179"/>
      <c r="IR116" s="179"/>
      <c r="IS116" s="179"/>
      <c r="IT116" s="179"/>
      <c r="IU116" s="179"/>
      <c r="IV116" s="179"/>
      <c r="IW116" s="179"/>
      <c r="IX116" s="179"/>
      <c r="IY116" s="179"/>
      <c r="IZ116" s="179"/>
      <c r="JA116" s="179"/>
      <c r="JB116" s="179"/>
      <c r="JC116" s="179"/>
      <c r="JD116" s="179"/>
      <c r="JE116" s="179"/>
      <c r="JF116" s="179"/>
      <c r="JG116" s="179"/>
      <c r="JH116" s="179"/>
      <c r="JI116" s="179"/>
    </row>
    <row r="117" spans="1:269" ht="16.2" thickBot="1">
      <c r="A117" s="809"/>
      <c r="B117" s="810"/>
      <c r="C117" s="811"/>
      <c r="D117" s="812"/>
      <c r="E117" s="812"/>
      <c r="F117" s="813"/>
      <c r="G117" s="865"/>
      <c r="H117" s="831"/>
      <c r="I117" s="832"/>
      <c r="J117" s="345">
        <f>SUM(J112:J116)</f>
        <v>8710489</v>
      </c>
      <c r="K117" s="833"/>
      <c r="L117" s="345">
        <f>SUM(L112:L116)</f>
        <v>10017062.35</v>
      </c>
      <c r="M117" s="834"/>
      <c r="N117" s="345">
        <f>N113</f>
        <v>622572</v>
      </c>
      <c r="O117" s="835"/>
      <c r="P117" s="345">
        <f>SUM(P112:P116)</f>
        <v>715957.8</v>
      </c>
      <c r="Q117" s="837"/>
      <c r="R117" s="838"/>
      <c r="S117" s="838"/>
      <c r="T117" s="839"/>
      <c r="U117" s="840"/>
      <c r="V117" s="839"/>
      <c r="W117" s="839"/>
      <c r="X117" s="836"/>
      <c r="Y117" s="840"/>
      <c r="Z117" s="839"/>
      <c r="AA117" s="839"/>
      <c r="AB117" s="836"/>
      <c r="AC117" s="840"/>
      <c r="AD117" s="839"/>
      <c r="AE117" s="839"/>
      <c r="AF117" s="836"/>
      <c r="AG117" s="840"/>
      <c r="AH117" s="833"/>
      <c r="AI117" s="833"/>
      <c r="AJ117" s="836"/>
      <c r="AK117" s="834"/>
      <c r="AL117" s="835"/>
      <c r="AM117" s="835"/>
      <c r="AN117" s="841"/>
      <c r="AO117" s="842"/>
      <c r="AP117" s="843"/>
      <c r="AQ117" s="843"/>
      <c r="AR117" s="844"/>
      <c r="AS117" s="842"/>
      <c r="AT117" s="843"/>
      <c r="AU117" s="843"/>
      <c r="AV117" s="844"/>
      <c r="AW117" s="842"/>
      <c r="AX117" s="843"/>
      <c r="AY117" s="843"/>
      <c r="AZ117" s="844"/>
      <c r="BA117" s="842"/>
      <c r="BB117" s="843"/>
      <c r="BC117" s="843"/>
      <c r="BD117" s="844"/>
      <c r="BE117" s="842"/>
      <c r="BF117" s="843"/>
      <c r="BG117" s="843"/>
      <c r="BH117" s="844"/>
      <c r="BI117" s="842"/>
      <c r="BJ117" s="843"/>
      <c r="BK117" s="843"/>
      <c r="BL117" s="845"/>
      <c r="BM117" s="842"/>
      <c r="BN117" s="843"/>
      <c r="BO117" s="843"/>
      <c r="BP117" s="845"/>
      <c r="BQ117" s="846"/>
      <c r="BR117" s="847"/>
      <c r="BS117" s="847"/>
      <c r="BT117" s="848"/>
      <c r="BU117" s="849"/>
      <c r="BV117" s="850"/>
      <c r="BW117" s="851"/>
      <c r="BX117" s="852"/>
      <c r="BY117" s="846"/>
      <c r="BZ117" s="847"/>
      <c r="CA117" s="847"/>
      <c r="CB117" s="848"/>
      <c r="CC117" s="853"/>
      <c r="CD117" s="854"/>
      <c r="CE117" s="854"/>
      <c r="CF117" s="855"/>
      <c r="CG117" s="856"/>
      <c r="CH117" s="854"/>
      <c r="CI117" s="856"/>
      <c r="CJ117" s="857"/>
      <c r="CK117" s="858"/>
      <c r="CL117" s="859"/>
      <c r="CM117" s="858"/>
      <c r="CN117" s="858"/>
      <c r="CO117" s="858"/>
      <c r="CP117" s="858"/>
      <c r="CQ117" s="858"/>
      <c r="CR117" s="858"/>
      <c r="CS117" s="858"/>
      <c r="CT117" s="858"/>
      <c r="CU117" s="858"/>
      <c r="CV117" s="858"/>
      <c r="CW117" s="858"/>
      <c r="CX117" s="858"/>
      <c r="CY117" s="858"/>
      <c r="CZ117" s="858"/>
      <c r="DA117" s="858"/>
      <c r="DB117" s="858"/>
      <c r="DC117" s="858"/>
      <c r="DD117" s="858"/>
      <c r="DE117" s="1036"/>
      <c r="DF117" s="1074">
        <f>SUM(DF112:DF115)</f>
        <v>26992134</v>
      </c>
      <c r="DG117" s="393">
        <f>SUM(DG112:DG115)</f>
        <v>4048820.0999999996</v>
      </c>
      <c r="DH117" s="393">
        <f>SUM(DH112:DH115)</f>
        <v>31040954.100000001</v>
      </c>
      <c r="DI117" s="393">
        <f>SUM(DI112:DI115)</f>
        <v>9333061</v>
      </c>
      <c r="DJ117" s="393">
        <f>SUM(DJ112:DJ115)</f>
        <v>10733020.15</v>
      </c>
      <c r="DK117" s="861"/>
      <c r="DL117" s="393">
        <f>SUM(DL112:DL115)</f>
        <v>10680388.609999999</v>
      </c>
      <c r="DM117" s="1075">
        <f>SUM(DM112:DM115)</f>
        <v>1347327.6099999999</v>
      </c>
      <c r="DN117" s="178"/>
      <c r="DO117" s="694">
        <f t="shared" si="14"/>
        <v>9333061</v>
      </c>
      <c r="DP117" s="694">
        <f>DO117-Detailed[[#This Row],[Column66]]</f>
        <v>0</v>
      </c>
      <c r="DQ117" s="179"/>
      <c r="DR117" s="179"/>
      <c r="DS117" s="231"/>
      <c r="DT117" s="179"/>
      <c r="DU117" s="179"/>
      <c r="DV117" s="179"/>
      <c r="DW117" s="179"/>
      <c r="DX117" s="179"/>
      <c r="DY117" s="179"/>
      <c r="DZ117" s="179"/>
      <c r="EA117" s="179"/>
      <c r="EB117" s="179"/>
      <c r="EC117" s="179"/>
      <c r="ED117" s="179"/>
      <c r="EE117" s="179"/>
      <c r="EF117" s="179"/>
      <c r="EG117" s="179"/>
      <c r="EH117" s="179"/>
      <c r="EI117" s="179"/>
      <c r="EJ117" s="179"/>
      <c r="EK117" s="179"/>
      <c r="EL117" s="179"/>
      <c r="EM117" s="179"/>
      <c r="EN117" s="179"/>
      <c r="EO117" s="179"/>
      <c r="EP117" s="179"/>
      <c r="EQ117" s="179"/>
      <c r="ER117" s="179"/>
      <c r="ES117" s="179"/>
      <c r="ET117" s="179"/>
      <c r="EU117" s="179"/>
      <c r="EV117" s="179"/>
      <c r="EW117" s="179"/>
      <c r="EX117" s="179"/>
      <c r="EY117" s="179"/>
      <c r="EZ117" s="179"/>
      <c r="FA117" s="179"/>
      <c r="FB117" s="179"/>
      <c r="FC117" s="179"/>
      <c r="FD117" s="179"/>
      <c r="FE117" s="179"/>
      <c r="FF117" s="179"/>
      <c r="FG117" s="179"/>
      <c r="FH117" s="179"/>
      <c r="FI117" s="179"/>
      <c r="FJ117" s="179"/>
      <c r="FK117" s="179"/>
      <c r="FL117" s="179"/>
      <c r="FM117" s="179"/>
      <c r="FN117" s="179"/>
      <c r="FO117" s="179"/>
      <c r="FP117" s="179"/>
      <c r="FQ117" s="179"/>
      <c r="FR117" s="179"/>
      <c r="FS117" s="179"/>
      <c r="FT117" s="179"/>
      <c r="FU117" s="179"/>
      <c r="FV117" s="179"/>
      <c r="FW117" s="179"/>
      <c r="FX117" s="179"/>
      <c r="FY117" s="179"/>
      <c r="FZ117" s="179"/>
      <c r="GA117" s="179"/>
      <c r="GB117" s="179"/>
      <c r="GC117" s="179"/>
      <c r="GD117" s="179"/>
      <c r="GE117" s="179"/>
      <c r="GF117" s="179"/>
      <c r="GG117" s="179"/>
      <c r="GH117" s="179"/>
      <c r="GI117" s="179"/>
      <c r="GJ117" s="179"/>
      <c r="GK117" s="179"/>
      <c r="GL117" s="179"/>
      <c r="GM117" s="179"/>
      <c r="GN117" s="179"/>
      <c r="GO117" s="179"/>
      <c r="GP117" s="179"/>
      <c r="GQ117" s="179"/>
      <c r="GR117" s="179"/>
      <c r="GS117" s="179"/>
      <c r="GT117" s="179"/>
      <c r="GU117" s="179"/>
      <c r="GV117" s="179"/>
      <c r="GW117" s="179"/>
      <c r="GX117" s="179"/>
      <c r="GY117" s="179"/>
      <c r="GZ117" s="179"/>
      <c r="HA117" s="179"/>
      <c r="HB117" s="179"/>
      <c r="HC117" s="179"/>
      <c r="HD117" s="179"/>
      <c r="HE117" s="179"/>
      <c r="HF117" s="179"/>
      <c r="HG117" s="179"/>
      <c r="HH117" s="179"/>
      <c r="HI117" s="179"/>
      <c r="HJ117" s="179"/>
      <c r="HK117" s="179"/>
      <c r="HL117" s="179"/>
      <c r="HM117" s="179"/>
      <c r="HN117" s="179"/>
      <c r="HO117" s="179"/>
      <c r="HP117" s="179"/>
      <c r="HQ117" s="179"/>
      <c r="HR117" s="179"/>
      <c r="HS117" s="179"/>
      <c r="HT117" s="179"/>
      <c r="HU117" s="179"/>
      <c r="HV117" s="179"/>
      <c r="HW117" s="179"/>
      <c r="HX117" s="179"/>
      <c r="HY117" s="179"/>
      <c r="HZ117" s="179"/>
      <c r="IA117" s="179"/>
      <c r="IB117" s="179"/>
      <c r="IC117" s="179"/>
      <c r="ID117" s="179"/>
      <c r="IE117" s="179"/>
      <c r="IF117" s="179"/>
      <c r="IG117" s="179"/>
      <c r="IH117" s="179"/>
      <c r="II117" s="179"/>
      <c r="IJ117" s="179"/>
      <c r="IK117" s="179"/>
      <c r="IL117" s="179"/>
      <c r="IM117" s="179"/>
      <c r="IN117" s="179"/>
      <c r="IO117" s="179"/>
      <c r="IP117" s="179"/>
      <c r="IQ117" s="179"/>
      <c r="IR117" s="179"/>
      <c r="IS117" s="179"/>
      <c r="IT117" s="179"/>
      <c r="IU117" s="179"/>
      <c r="IV117" s="179"/>
      <c r="IW117" s="179"/>
      <c r="IX117" s="179"/>
      <c r="IY117" s="179"/>
      <c r="IZ117" s="179"/>
      <c r="JA117" s="179"/>
      <c r="JB117" s="179"/>
      <c r="JC117" s="179"/>
      <c r="JD117" s="179"/>
      <c r="JE117" s="179"/>
      <c r="JF117" s="179"/>
      <c r="JG117" s="179"/>
      <c r="JH117" s="179"/>
      <c r="JI117" s="179"/>
    </row>
    <row r="118" spans="1:269" ht="16.8" thickTop="1" thickBot="1">
      <c r="A118" s="941" t="s">
        <v>366</v>
      </c>
      <c r="B118" s="130"/>
      <c r="C118" s="181"/>
      <c r="D118" s="180"/>
      <c r="E118" s="180"/>
      <c r="F118" s="497"/>
      <c r="G118" s="463" t="s">
        <v>373</v>
      </c>
      <c r="H118" s="98">
        <f>F17</f>
        <v>11637180</v>
      </c>
      <c r="I118" s="815"/>
      <c r="J118" s="816"/>
      <c r="K118" s="816"/>
      <c r="L118" s="817"/>
      <c r="M118" s="818"/>
      <c r="N118" s="819"/>
      <c r="O118" s="819"/>
      <c r="P118" s="820"/>
      <c r="Q118" s="821"/>
      <c r="R118" s="822"/>
      <c r="S118" s="822"/>
      <c r="T118" s="823"/>
      <c r="U118" s="824"/>
      <c r="V118" s="823"/>
      <c r="W118" s="823"/>
      <c r="X118" s="820"/>
      <c r="Y118" s="824"/>
      <c r="Z118" s="823"/>
      <c r="AA118" s="823"/>
      <c r="AB118" s="820"/>
      <c r="AC118" s="824"/>
      <c r="AD118" s="823"/>
      <c r="AE118" s="823"/>
      <c r="AF118" s="820"/>
      <c r="AG118" s="824"/>
      <c r="AH118" s="816"/>
      <c r="AI118" s="816"/>
      <c r="AJ118" s="820"/>
      <c r="AK118" s="818"/>
      <c r="AL118" s="819"/>
      <c r="AM118" s="819"/>
      <c r="AN118" s="825"/>
      <c r="AO118" s="826"/>
      <c r="AP118" s="827"/>
      <c r="AQ118" s="827"/>
      <c r="AR118" s="828"/>
      <c r="AS118" s="826"/>
      <c r="AT118" s="827"/>
      <c r="AU118" s="827"/>
      <c r="AV118" s="828"/>
      <c r="AW118" s="826"/>
      <c r="AX118" s="827"/>
      <c r="AY118" s="827"/>
      <c r="AZ118" s="828"/>
      <c r="BA118" s="826"/>
      <c r="BB118" s="827"/>
      <c r="BC118" s="827"/>
      <c r="BD118" s="828"/>
      <c r="BE118" s="826"/>
      <c r="BF118" s="827"/>
      <c r="BG118" s="827"/>
      <c r="BH118" s="828"/>
      <c r="BI118" s="826"/>
      <c r="BJ118" s="827"/>
      <c r="BK118" s="827"/>
      <c r="BL118" s="829"/>
      <c r="BM118" s="826"/>
      <c r="BN118" s="827"/>
      <c r="BO118" s="827"/>
      <c r="BP118" s="829"/>
      <c r="BQ118" s="798"/>
      <c r="BR118" s="799"/>
      <c r="BS118" s="799"/>
      <c r="BT118" s="800"/>
      <c r="BU118" s="801"/>
      <c r="BV118" s="802"/>
      <c r="BW118" s="803"/>
      <c r="BX118" s="830"/>
      <c r="BY118" s="798"/>
      <c r="BZ118" s="799"/>
      <c r="CA118" s="799"/>
      <c r="CB118" s="800"/>
      <c r="CC118" s="247"/>
      <c r="CD118" s="351"/>
      <c r="CE118" s="351"/>
      <c r="CF118" s="245"/>
      <c r="CG118" s="356"/>
      <c r="CH118" s="351"/>
      <c r="CI118" s="356"/>
      <c r="CJ118" s="246"/>
      <c r="CK118" s="805"/>
      <c r="CL118" s="806"/>
      <c r="CM118" s="805"/>
      <c r="CN118" s="805"/>
      <c r="CO118" s="805"/>
      <c r="CP118" s="805"/>
      <c r="CQ118" s="805"/>
      <c r="CR118" s="805"/>
      <c r="CS118" s="805"/>
      <c r="CT118" s="805"/>
      <c r="CU118" s="805"/>
      <c r="CV118" s="805"/>
      <c r="CW118" s="805"/>
      <c r="CX118" s="805"/>
      <c r="CY118" s="805"/>
      <c r="CZ118" s="805"/>
      <c r="DA118" s="805"/>
      <c r="DB118" s="805"/>
      <c r="DC118" s="805"/>
      <c r="DD118" s="805"/>
      <c r="DE118" s="1033"/>
      <c r="DF118" s="1103"/>
      <c r="DG118" s="807"/>
      <c r="DH118" s="807"/>
      <c r="DI118" s="807"/>
      <c r="DJ118" s="807"/>
      <c r="DK118" s="183"/>
      <c r="DL118" s="863"/>
      <c r="DM118" s="1104"/>
      <c r="DN118" s="178"/>
      <c r="DO118" s="694">
        <f t="shared" si="14"/>
        <v>0</v>
      </c>
      <c r="DP118" s="694">
        <f>DO118-Detailed[[#This Row],[Column66]]</f>
        <v>0</v>
      </c>
      <c r="DQ118" s="179"/>
      <c r="DR118" s="179"/>
      <c r="DS118" s="231"/>
      <c r="DT118" s="179"/>
      <c r="DU118" s="179"/>
      <c r="DV118" s="179"/>
      <c r="DW118" s="179"/>
      <c r="DX118" s="179"/>
      <c r="DY118" s="179"/>
      <c r="DZ118" s="179"/>
      <c r="EA118" s="179"/>
      <c r="EB118" s="179"/>
      <c r="EC118" s="179"/>
      <c r="ED118" s="179"/>
      <c r="EE118" s="179"/>
      <c r="EF118" s="179"/>
      <c r="EG118" s="179"/>
      <c r="EH118" s="179"/>
      <c r="EI118" s="179"/>
      <c r="EJ118" s="179"/>
      <c r="EK118" s="179"/>
      <c r="EL118" s="179"/>
      <c r="EM118" s="179"/>
      <c r="EN118" s="179"/>
      <c r="EO118" s="179"/>
      <c r="EP118" s="179"/>
      <c r="EQ118" s="179"/>
      <c r="ER118" s="179"/>
      <c r="ES118" s="179"/>
      <c r="ET118" s="179"/>
      <c r="EU118" s="179"/>
      <c r="EV118" s="179"/>
      <c r="EW118" s="179"/>
      <c r="EX118" s="179"/>
      <c r="EY118" s="179"/>
      <c r="EZ118" s="179"/>
      <c r="FA118" s="179"/>
      <c r="FB118" s="179"/>
      <c r="FC118" s="179"/>
      <c r="FD118" s="179"/>
      <c r="FE118" s="179"/>
      <c r="FF118" s="179"/>
      <c r="FG118" s="179"/>
      <c r="FH118" s="179"/>
      <c r="FI118" s="179"/>
      <c r="FJ118" s="179"/>
      <c r="FK118" s="179"/>
      <c r="FL118" s="179"/>
      <c r="FM118" s="179"/>
      <c r="FN118" s="179"/>
      <c r="FO118" s="179"/>
      <c r="FP118" s="179"/>
      <c r="FQ118" s="179"/>
      <c r="FR118" s="179"/>
      <c r="FS118" s="179"/>
      <c r="FT118" s="179"/>
      <c r="FU118" s="179"/>
      <c r="FV118" s="179"/>
      <c r="FW118" s="179"/>
      <c r="FX118" s="179"/>
      <c r="FY118" s="179"/>
      <c r="FZ118" s="179"/>
      <c r="GA118" s="179"/>
      <c r="GB118" s="179"/>
      <c r="GC118" s="179"/>
      <c r="GD118" s="179"/>
      <c r="GE118" s="179"/>
      <c r="GF118" s="179"/>
      <c r="GG118" s="179"/>
      <c r="GH118" s="179"/>
      <c r="GI118" s="179"/>
      <c r="GJ118" s="179"/>
      <c r="GK118" s="179"/>
      <c r="GL118" s="179"/>
      <c r="GM118" s="179"/>
      <c r="GN118" s="179"/>
      <c r="GO118" s="179"/>
      <c r="GP118" s="179"/>
      <c r="GQ118" s="179"/>
      <c r="GR118" s="179"/>
      <c r="GS118" s="179"/>
      <c r="GT118" s="179"/>
      <c r="GU118" s="179"/>
      <c r="GV118" s="179"/>
      <c r="GW118" s="179"/>
      <c r="GX118" s="179"/>
      <c r="GY118" s="179"/>
      <c r="GZ118" s="179"/>
      <c r="HA118" s="179"/>
      <c r="HB118" s="179"/>
      <c r="HC118" s="179"/>
      <c r="HD118" s="179"/>
      <c r="HE118" s="179"/>
      <c r="HF118" s="179"/>
      <c r="HG118" s="179"/>
      <c r="HH118" s="179"/>
      <c r="HI118" s="179"/>
      <c r="HJ118" s="179"/>
      <c r="HK118" s="179"/>
      <c r="HL118" s="179"/>
      <c r="HM118" s="179"/>
      <c r="HN118" s="179"/>
      <c r="HO118" s="179"/>
      <c r="HP118" s="179"/>
      <c r="HQ118" s="179"/>
      <c r="HR118" s="179"/>
      <c r="HS118" s="179"/>
      <c r="HT118" s="179"/>
      <c r="HU118" s="179"/>
      <c r="HV118" s="179"/>
      <c r="HW118" s="179"/>
      <c r="HX118" s="179"/>
      <c r="HY118" s="179"/>
      <c r="HZ118" s="179"/>
      <c r="IA118" s="179"/>
      <c r="IB118" s="179"/>
      <c r="IC118" s="179"/>
      <c r="ID118" s="179"/>
      <c r="IE118" s="179"/>
      <c r="IF118" s="179"/>
      <c r="IG118" s="179"/>
      <c r="IH118" s="179"/>
      <c r="II118" s="179"/>
      <c r="IJ118" s="179"/>
      <c r="IK118" s="179"/>
      <c r="IL118" s="179"/>
      <c r="IM118" s="179"/>
      <c r="IN118" s="179"/>
      <c r="IO118" s="179"/>
      <c r="IP118" s="179"/>
      <c r="IQ118" s="179"/>
      <c r="IR118" s="179"/>
      <c r="IS118" s="179"/>
      <c r="IT118" s="179"/>
      <c r="IU118" s="179"/>
      <c r="IV118" s="179"/>
      <c r="IW118" s="179"/>
      <c r="IX118" s="179"/>
      <c r="IY118" s="179"/>
      <c r="IZ118" s="179"/>
      <c r="JA118" s="179"/>
      <c r="JB118" s="179"/>
      <c r="JC118" s="179"/>
      <c r="JD118" s="179"/>
      <c r="JE118" s="179"/>
      <c r="JF118" s="179"/>
      <c r="JG118" s="179"/>
      <c r="JH118" s="179"/>
      <c r="JI118" s="179"/>
    </row>
    <row r="119" spans="1:269" ht="16.8" thickTop="1" thickBot="1">
      <c r="A119" s="808" t="s">
        <v>366</v>
      </c>
      <c r="B119" s="777">
        <v>1</v>
      </c>
      <c r="C119" s="139" t="s">
        <v>386</v>
      </c>
      <c r="D119" s="779"/>
      <c r="E119" s="779"/>
      <c r="F119" s="780"/>
      <c r="G119" s="781" t="s">
        <v>387</v>
      </c>
      <c r="H119" s="782">
        <v>7146100</v>
      </c>
      <c r="I119" s="783">
        <v>45960</v>
      </c>
      <c r="J119" s="784">
        <f>'AlDar International '!M18</f>
        <v>659049.98</v>
      </c>
      <c r="K119" s="55">
        <f>Detailed[[#This Row],[Column10]]*15%</f>
        <v>98857.496999999988</v>
      </c>
      <c r="L119" s="785">
        <f>Detailed[[#This Row],[Column10]]+Detailed[[#This Row],[Column11]]</f>
        <v>757907.47699999996</v>
      </c>
      <c r="M119" s="786">
        <v>45981</v>
      </c>
      <c r="N119" s="55">
        <f>'AlDar International '!O18</f>
        <v>726176.52320000005</v>
      </c>
      <c r="O119" s="55">
        <f>Detailed[[#This Row],[Column14]]*15%</f>
        <v>108926.47848000001</v>
      </c>
      <c r="P119" s="788">
        <f>Detailed[[#This Row],[Column15]]+Detailed[[#This Row],[Column14]]</f>
        <v>835103.0016800001</v>
      </c>
      <c r="Q119" s="789"/>
      <c r="R119" s="790"/>
      <c r="S119" s="790"/>
      <c r="T119" s="791"/>
      <c r="U119" s="792"/>
      <c r="V119" s="791"/>
      <c r="W119" s="791"/>
      <c r="X119" s="788"/>
      <c r="Y119" s="792"/>
      <c r="Z119" s="791"/>
      <c r="AA119" s="791"/>
      <c r="AB119" s="788"/>
      <c r="AC119" s="792"/>
      <c r="AD119" s="791"/>
      <c r="AE119" s="791"/>
      <c r="AF119" s="788"/>
      <c r="AG119" s="792"/>
      <c r="AH119" s="784"/>
      <c r="AI119" s="784"/>
      <c r="AJ119" s="788"/>
      <c r="AK119" s="786"/>
      <c r="AL119" s="787"/>
      <c r="AM119" s="787"/>
      <c r="AN119" s="793"/>
      <c r="AO119" s="794"/>
      <c r="AP119" s="795"/>
      <c r="AQ119" s="795"/>
      <c r="AR119" s="796"/>
      <c r="AS119" s="794"/>
      <c r="AT119" s="795"/>
      <c r="AU119" s="795"/>
      <c r="AV119" s="796"/>
      <c r="AW119" s="794"/>
      <c r="AX119" s="795"/>
      <c r="AY119" s="795"/>
      <c r="AZ119" s="796"/>
      <c r="BA119" s="794"/>
      <c r="BB119" s="795"/>
      <c r="BC119" s="795"/>
      <c r="BD119" s="796"/>
      <c r="BE119" s="794"/>
      <c r="BF119" s="795"/>
      <c r="BG119" s="795"/>
      <c r="BH119" s="796"/>
      <c r="BI119" s="794"/>
      <c r="BJ119" s="795"/>
      <c r="BK119" s="795"/>
      <c r="BL119" s="797"/>
      <c r="BM119" s="794"/>
      <c r="BN119" s="795"/>
      <c r="BO119" s="795"/>
      <c r="BP119" s="797"/>
      <c r="BQ119" s="798"/>
      <c r="BR119" s="799"/>
      <c r="BS119" s="799"/>
      <c r="BT119" s="800"/>
      <c r="BU119" s="801"/>
      <c r="BV119" s="802"/>
      <c r="BW119" s="803"/>
      <c r="BX119" s="804"/>
      <c r="BY119" s="798"/>
      <c r="BZ119" s="799"/>
      <c r="CA119" s="799"/>
      <c r="CB119" s="800"/>
      <c r="CC119" s="247"/>
      <c r="CD119" s="351"/>
      <c r="CE119" s="351"/>
      <c r="CF119" s="245"/>
      <c r="CG119" s="356"/>
      <c r="CH119" s="351"/>
      <c r="CI119" s="356"/>
      <c r="CJ119" s="246"/>
      <c r="CK119" s="805"/>
      <c r="CL119" s="806"/>
      <c r="CM119" s="805"/>
      <c r="CN119" s="805"/>
      <c r="CO119" s="805"/>
      <c r="CP119" s="805"/>
      <c r="CQ119" s="805"/>
      <c r="CR119" s="805"/>
      <c r="CS119" s="805"/>
      <c r="CT119" s="805"/>
      <c r="CU119" s="805"/>
      <c r="CV119" s="805"/>
      <c r="CW119" s="805"/>
      <c r="CX119" s="805"/>
      <c r="CY119" s="805"/>
      <c r="CZ119" s="805"/>
      <c r="DA119" s="805"/>
      <c r="DB119" s="805"/>
      <c r="DC119" s="805"/>
      <c r="DD119" s="805"/>
      <c r="DE119" s="1033"/>
      <c r="DF119" s="1082">
        <f>H119</f>
        <v>7146100</v>
      </c>
      <c r="DG119" s="126">
        <f>DF119*15%</f>
        <v>1071915</v>
      </c>
      <c r="DH119" s="126">
        <f>DF119+DG119</f>
        <v>8218015</v>
      </c>
      <c r="DI119" s="1059">
        <f>SUMPRODUCT((MOD(COLUMN(I119:DD119)-COLUMN(I119),4)=1)*I119:DD119)</f>
        <v>1385226.5032000002</v>
      </c>
      <c r="DJ119" s="1059">
        <f>SUMPRODUCT((MOD(COLUMN(I119:DD119)-COLUMN(J119),4)=2)*I119:DD119)</f>
        <v>1593010.4786800002</v>
      </c>
      <c r="DK119" s="153">
        <v>0.31209999999999999</v>
      </c>
      <c r="DL119" s="154">
        <f>DK119*DF119</f>
        <v>2230297.81</v>
      </c>
      <c r="DM119" s="1083">
        <f>DL119-DI119</f>
        <v>845071.3067999999</v>
      </c>
      <c r="DN119" s="178"/>
      <c r="DO119" s="694">
        <f t="shared" si="14"/>
        <v>1385226.5032000002</v>
      </c>
      <c r="DP119" s="694">
        <f>DO119-Detailed[[#This Row],[Column66]]</f>
        <v>0</v>
      </c>
      <c r="DQ119" s="179"/>
      <c r="DR119" s="179"/>
      <c r="DS119" s="231"/>
      <c r="DT119" s="179"/>
      <c r="DU119" s="179"/>
      <c r="DV119" s="179"/>
      <c r="DW119" s="179"/>
      <c r="DX119" s="179"/>
      <c r="DY119" s="179"/>
      <c r="DZ119" s="179"/>
      <c r="EA119" s="179"/>
      <c r="EB119" s="179"/>
      <c r="EC119" s="179"/>
      <c r="ED119" s="179"/>
      <c r="EE119" s="179"/>
      <c r="EF119" s="179"/>
      <c r="EG119" s="179"/>
      <c r="EH119" s="179"/>
      <c r="EI119" s="179"/>
      <c r="EJ119" s="179"/>
      <c r="EK119" s="179"/>
      <c r="EL119" s="179"/>
      <c r="EM119" s="179"/>
      <c r="EN119" s="179"/>
      <c r="EO119" s="179"/>
      <c r="EP119" s="179"/>
      <c r="EQ119" s="179"/>
      <c r="ER119" s="179"/>
      <c r="ES119" s="179"/>
      <c r="ET119" s="179"/>
      <c r="EU119" s="179"/>
      <c r="EV119" s="179"/>
      <c r="EW119" s="179"/>
      <c r="EX119" s="179"/>
      <c r="EY119" s="179"/>
      <c r="EZ119" s="179"/>
      <c r="FA119" s="179"/>
      <c r="FB119" s="179"/>
      <c r="FC119" s="179"/>
      <c r="FD119" s="179"/>
      <c r="FE119" s="179"/>
      <c r="FF119" s="179"/>
      <c r="FG119" s="179"/>
      <c r="FH119" s="179"/>
      <c r="FI119" s="179"/>
      <c r="FJ119" s="179"/>
      <c r="FK119" s="179"/>
      <c r="FL119" s="179"/>
      <c r="FM119" s="179"/>
      <c r="FN119" s="179"/>
      <c r="FO119" s="179"/>
      <c r="FP119" s="179"/>
      <c r="FQ119" s="179"/>
      <c r="FR119" s="179"/>
      <c r="FS119" s="179"/>
      <c r="FT119" s="179"/>
      <c r="FU119" s="179"/>
      <c r="FV119" s="179"/>
      <c r="FW119" s="179"/>
      <c r="FX119" s="179"/>
      <c r="FY119" s="179"/>
      <c r="FZ119" s="179"/>
      <c r="GA119" s="179"/>
      <c r="GB119" s="179"/>
      <c r="GC119" s="179"/>
      <c r="GD119" s="179"/>
      <c r="GE119" s="179"/>
      <c r="GF119" s="179"/>
      <c r="GG119" s="179"/>
      <c r="GH119" s="179"/>
      <c r="GI119" s="179"/>
      <c r="GJ119" s="179"/>
      <c r="GK119" s="179"/>
      <c r="GL119" s="179"/>
      <c r="GM119" s="179"/>
      <c r="GN119" s="179"/>
      <c r="GO119" s="179"/>
      <c r="GP119" s="179"/>
      <c r="GQ119" s="179"/>
      <c r="GR119" s="179"/>
      <c r="GS119" s="179"/>
      <c r="GT119" s="179"/>
      <c r="GU119" s="179"/>
      <c r="GV119" s="179"/>
      <c r="GW119" s="179"/>
      <c r="GX119" s="179"/>
      <c r="GY119" s="179"/>
      <c r="GZ119" s="179"/>
      <c r="HA119" s="179"/>
      <c r="HB119" s="179"/>
      <c r="HC119" s="179"/>
      <c r="HD119" s="179"/>
      <c r="HE119" s="179"/>
      <c r="HF119" s="179"/>
      <c r="HG119" s="179"/>
      <c r="HH119" s="179"/>
      <c r="HI119" s="179"/>
      <c r="HJ119" s="179"/>
      <c r="HK119" s="179"/>
      <c r="HL119" s="179"/>
      <c r="HM119" s="179"/>
      <c r="HN119" s="179"/>
      <c r="HO119" s="179"/>
      <c r="HP119" s="179"/>
      <c r="HQ119" s="179"/>
      <c r="HR119" s="179"/>
      <c r="HS119" s="179"/>
      <c r="HT119" s="179"/>
      <c r="HU119" s="179"/>
      <c r="HV119" s="179"/>
      <c r="HW119" s="179"/>
      <c r="HX119" s="179"/>
      <c r="HY119" s="179"/>
      <c r="HZ119" s="179"/>
      <c r="IA119" s="179"/>
      <c r="IB119" s="179"/>
      <c r="IC119" s="179"/>
      <c r="ID119" s="179"/>
      <c r="IE119" s="179"/>
      <c r="IF119" s="179"/>
      <c r="IG119" s="179"/>
      <c r="IH119" s="179"/>
      <c r="II119" s="179"/>
      <c r="IJ119" s="179"/>
      <c r="IK119" s="179"/>
      <c r="IL119" s="179"/>
      <c r="IM119" s="179"/>
      <c r="IN119" s="179"/>
      <c r="IO119" s="179"/>
      <c r="IP119" s="179"/>
      <c r="IQ119" s="179"/>
      <c r="IR119" s="179"/>
      <c r="IS119" s="179"/>
      <c r="IT119" s="179"/>
      <c r="IU119" s="179"/>
      <c r="IV119" s="179"/>
      <c r="IW119" s="179"/>
      <c r="IX119" s="179"/>
      <c r="IY119" s="179"/>
      <c r="IZ119" s="179"/>
      <c r="JA119" s="179"/>
      <c r="JB119" s="179"/>
      <c r="JC119" s="179"/>
      <c r="JD119" s="179"/>
      <c r="JE119" s="179"/>
      <c r="JF119" s="179"/>
      <c r="JG119" s="179"/>
      <c r="JH119" s="179"/>
      <c r="JI119" s="179"/>
    </row>
    <row r="120" spans="1:269" ht="16.8" thickTop="1" thickBot="1">
      <c r="A120" s="808" t="s">
        <v>366</v>
      </c>
      <c r="B120" s="777"/>
      <c r="C120" s="139"/>
      <c r="D120" s="779"/>
      <c r="E120" s="779"/>
      <c r="F120" s="780"/>
      <c r="G120" s="781"/>
      <c r="H120" s="782"/>
      <c r="I120" s="783"/>
      <c r="J120" s="784"/>
      <c r="K120" s="784"/>
      <c r="L120" s="785"/>
      <c r="M120" s="786"/>
      <c r="N120" s="787"/>
      <c r="O120" s="787"/>
      <c r="P120" s="788"/>
      <c r="Q120" s="789"/>
      <c r="R120" s="790"/>
      <c r="S120" s="790"/>
      <c r="T120" s="791"/>
      <c r="U120" s="792"/>
      <c r="V120" s="791"/>
      <c r="W120" s="791"/>
      <c r="X120" s="788"/>
      <c r="Y120" s="792"/>
      <c r="Z120" s="791"/>
      <c r="AA120" s="791"/>
      <c r="AB120" s="788"/>
      <c r="AC120" s="792"/>
      <c r="AD120" s="791"/>
      <c r="AE120" s="791"/>
      <c r="AF120" s="788"/>
      <c r="AG120" s="792"/>
      <c r="AH120" s="784"/>
      <c r="AI120" s="784"/>
      <c r="AJ120" s="788"/>
      <c r="AK120" s="786"/>
      <c r="AL120" s="787"/>
      <c r="AM120" s="787"/>
      <c r="AN120" s="793"/>
      <c r="AO120" s="794"/>
      <c r="AP120" s="795"/>
      <c r="AQ120" s="795"/>
      <c r="AR120" s="796"/>
      <c r="AS120" s="794"/>
      <c r="AT120" s="795"/>
      <c r="AU120" s="795"/>
      <c r="AV120" s="796"/>
      <c r="AW120" s="794"/>
      <c r="AX120" s="795"/>
      <c r="AY120" s="795"/>
      <c r="AZ120" s="796"/>
      <c r="BA120" s="794"/>
      <c r="BB120" s="795"/>
      <c r="BC120" s="795"/>
      <c r="BD120" s="796"/>
      <c r="BE120" s="794"/>
      <c r="BF120" s="795"/>
      <c r="BG120" s="795"/>
      <c r="BH120" s="796"/>
      <c r="BI120" s="794"/>
      <c r="BJ120" s="795"/>
      <c r="BK120" s="795"/>
      <c r="BL120" s="797"/>
      <c r="BM120" s="794"/>
      <c r="BN120" s="795"/>
      <c r="BO120" s="795"/>
      <c r="BP120" s="797"/>
      <c r="BQ120" s="798"/>
      <c r="BR120" s="799"/>
      <c r="BS120" s="799"/>
      <c r="BT120" s="800"/>
      <c r="BU120" s="801"/>
      <c r="BV120" s="802"/>
      <c r="BW120" s="803"/>
      <c r="BX120" s="804"/>
      <c r="BY120" s="798"/>
      <c r="BZ120" s="799"/>
      <c r="CA120" s="799"/>
      <c r="CB120" s="800"/>
      <c r="CC120" s="247"/>
      <c r="CD120" s="351"/>
      <c r="CE120" s="351"/>
      <c r="CF120" s="245"/>
      <c r="CG120" s="356"/>
      <c r="CH120" s="351"/>
      <c r="CI120" s="356"/>
      <c r="CJ120" s="246"/>
      <c r="CK120" s="805"/>
      <c r="CL120" s="806"/>
      <c r="CM120" s="805"/>
      <c r="CN120" s="805"/>
      <c r="CO120" s="805"/>
      <c r="CP120" s="805"/>
      <c r="CQ120" s="805"/>
      <c r="CR120" s="805"/>
      <c r="CS120" s="805"/>
      <c r="CT120" s="805"/>
      <c r="CU120" s="805"/>
      <c r="CV120" s="805"/>
      <c r="CW120" s="805"/>
      <c r="CX120" s="805"/>
      <c r="CY120" s="805"/>
      <c r="CZ120" s="805"/>
      <c r="DA120" s="805"/>
      <c r="DB120" s="805"/>
      <c r="DC120" s="805"/>
      <c r="DD120" s="805"/>
      <c r="DE120" s="1033"/>
      <c r="DF120" s="1103"/>
      <c r="DG120" s="807"/>
      <c r="DH120" s="807"/>
      <c r="DI120" s="1059">
        <f>SUMPRODUCT((MOD(COLUMN(I120:DD120)-COLUMN(I120),4)=1)*I120:DD120)</f>
        <v>0</v>
      </c>
      <c r="DJ120" s="807"/>
      <c r="DK120" s="153"/>
      <c r="DL120" s="862"/>
      <c r="DM120" s="1104"/>
      <c r="DN120" s="178">
        <f>DN119*100</f>
        <v>0</v>
      </c>
      <c r="DO120" s="694">
        <f t="shared" si="14"/>
        <v>0</v>
      </c>
      <c r="DP120" s="694">
        <f>DO120-Detailed[[#This Row],[Column66]]</f>
        <v>0</v>
      </c>
      <c r="DQ120" s="179"/>
      <c r="DR120" s="179"/>
      <c r="DS120" s="231"/>
      <c r="DT120" s="179"/>
      <c r="DU120" s="179"/>
      <c r="DV120" s="179"/>
      <c r="DW120" s="179"/>
      <c r="DX120" s="179"/>
      <c r="DY120" s="179"/>
      <c r="DZ120" s="179"/>
      <c r="EA120" s="179"/>
      <c r="EB120" s="179"/>
      <c r="EC120" s="179"/>
      <c r="ED120" s="179"/>
      <c r="EE120" s="179"/>
      <c r="EF120" s="179"/>
      <c r="EG120" s="179"/>
      <c r="EH120" s="179"/>
      <c r="EI120" s="179"/>
      <c r="EJ120" s="179"/>
      <c r="EK120" s="179"/>
      <c r="EL120" s="179"/>
      <c r="EM120" s="179"/>
      <c r="EN120" s="179"/>
      <c r="EO120" s="179"/>
      <c r="EP120" s="179"/>
      <c r="EQ120" s="179"/>
      <c r="ER120" s="179"/>
      <c r="ES120" s="179"/>
      <c r="ET120" s="179"/>
      <c r="EU120" s="179"/>
      <c r="EV120" s="179"/>
      <c r="EW120" s="179"/>
      <c r="EX120" s="179"/>
      <c r="EY120" s="179"/>
      <c r="EZ120" s="179"/>
      <c r="FA120" s="179"/>
      <c r="FB120" s="179"/>
      <c r="FC120" s="179"/>
      <c r="FD120" s="179"/>
      <c r="FE120" s="179"/>
      <c r="FF120" s="179"/>
      <c r="FG120" s="179"/>
      <c r="FH120" s="179"/>
      <c r="FI120" s="179"/>
      <c r="FJ120" s="179"/>
      <c r="FK120" s="179"/>
      <c r="FL120" s="179"/>
      <c r="FM120" s="179"/>
      <c r="FN120" s="179"/>
      <c r="FO120" s="179"/>
      <c r="FP120" s="179"/>
      <c r="FQ120" s="179"/>
      <c r="FR120" s="179"/>
      <c r="FS120" s="179"/>
      <c r="FT120" s="179"/>
      <c r="FU120" s="179"/>
      <c r="FV120" s="179"/>
      <c r="FW120" s="179"/>
      <c r="FX120" s="179"/>
      <c r="FY120" s="179"/>
      <c r="FZ120" s="179"/>
      <c r="GA120" s="179"/>
      <c r="GB120" s="179"/>
      <c r="GC120" s="179"/>
      <c r="GD120" s="179"/>
      <c r="GE120" s="179"/>
      <c r="GF120" s="179"/>
      <c r="GG120" s="179"/>
      <c r="GH120" s="179"/>
      <c r="GI120" s="179"/>
      <c r="GJ120" s="179"/>
      <c r="GK120" s="179"/>
      <c r="GL120" s="179"/>
      <c r="GM120" s="179"/>
      <c r="GN120" s="179"/>
      <c r="GO120" s="179"/>
      <c r="GP120" s="179"/>
      <c r="GQ120" s="179"/>
      <c r="GR120" s="179"/>
      <c r="GS120" s="179"/>
      <c r="GT120" s="179"/>
      <c r="GU120" s="179"/>
      <c r="GV120" s="179"/>
      <c r="GW120" s="179"/>
      <c r="GX120" s="179"/>
      <c r="GY120" s="179"/>
      <c r="GZ120" s="179"/>
      <c r="HA120" s="179"/>
      <c r="HB120" s="179"/>
      <c r="HC120" s="179"/>
      <c r="HD120" s="179"/>
      <c r="HE120" s="179"/>
      <c r="HF120" s="179"/>
      <c r="HG120" s="179"/>
      <c r="HH120" s="179"/>
      <c r="HI120" s="179"/>
      <c r="HJ120" s="179"/>
      <c r="HK120" s="179"/>
      <c r="HL120" s="179"/>
      <c r="HM120" s="179"/>
      <c r="HN120" s="179"/>
      <c r="HO120" s="179"/>
      <c r="HP120" s="179"/>
      <c r="HQ120" s="179"/>
      <c r="HR120" s="179"/>
      <c r="HS120" s="179"/>
      <c r="HT120" s="179"/>
      <c r="HU120" s="179"/>
      <c r="HV120" s="179"/>
      <c r="HW120" s="179"/>
      <c r="HX120" s="179"/>
      <c r="HY120" s="179"/>
      <c r="HZ120" s="179"/>
      <c r="IA120" s="179"/>
      <c r="IB120" s="179"/>
      <c r="IC120" s="179"/>
      <c r="ID120" s="179"/>
      <c r="IE120" s="179"/>
      <c r="IF120" s="179"/>
      <c r="IG120" s="179"/>
      <c r="IH120" s="179"/>
      <c r="II120" s="179"/>
      <c r="IJ120" s="179"/>
      <c r="IK120" s="179"/>
      <c r="IL120" s="179"/>
      <c r="IM120" s="179"/>
      <c r="IN120" s="179"/>
      <c r="IO120" s="179"/>
      <c r="IP120" s="179"/>
      <c r="IQ120" s="179"/>
      <c r="IR120" s="179"/>
      <c r="IS120" s="179"/>
      <c r="IT120" s="179"/>
      <c r="IU120" s="179"/>
      <c r="IV120" s="179"/>
      <c r="IW120" s="179"/>
      <c r="IX120" s="179"/>
      <c r="IY120" s="179"/>
      <c r="IZ120" s="179"/>
      <c r="JA120" s="179"/>
      <c r="JB120" s="179"/>
      <c r="JC120" s="179"/>
      <c r="JD120" s="179"/>
      <c r="JE120" s="179"/>
      <c r="JF120" s="179"/>
      <c r="JG120" s="179"/>
      <c r="JH120" s="179"/>
      <c r="JI120" s="179"/>
    </row>
    <row r="121" spans="1:269" ht="16.2" thickTop="1">
      <c r="A121" s="808" t="s">
        <v>366</v>
      </c>
      <c r="B121" s="777"/>
      <c r="C121" s="778"/>
      <c r="D121" s="779"/>
      <c r="E121" s="779"/>
      <c r="F121" s="789"/>
      <c r="G121" s="781"/>
      <c r="H121" s="782"/>
      <c r="I121" s="783"/>
      <c r="J121" s="784"/>
      <c r="K121" s="784"/>
      <c r="L121" s="785"/>
      <c r="M121" s="786"/>
      <c r="N121" s="787"/>
      <c r="O121" s="787"/>
      <c r="P121" s="788"/>
      <c r="Q121" s="789"/>
      <c r="R121" s="790"/>
      <c r="S121" s="790"/>
      <c r="T121" s="789"/>
      <c r="U121" s="792"/>
      <c r="V121" s="791"/>
      <c r="W121" s="791"/>
      <c r="X121" s="788"/>
      <c r="Y121" s="792"/>
      <c r="Z121" s="791"/>
      <c r="AA121" s="791"/>
      <c r="AB121" s="788"/>
      <c r="AC121" s="792"/>
      <c r="AD121" s="791"/>
      <c r="AE121" s="791"/>
      <c r="AF121" s="788"/>
      <c r="AG121" s="792"/>
      <c r="AH121" s="784"/>
      <c r="AI121" s="784"/>
      <c r="AJ121" s="788"/>
      <c r="AK121" s="786"/>
      <c r="AL121" s="787"/>
      <c r="AM121" s="787"/>
      <c r="AN121" s="793"/>
      <c r="AO121" s="794"/>
      <c r="AP121" s="795"/>
      <c r="AQ121" s="795"/>
      <c r="AR121" s="796"/>
      <c r="AS121" s="794"/>
      <c r="AT121" s="795"/>
      <c r="AU121" s="795"/>
      <c r="AV121" s="796"/>
      <c r="AW121" s="794"/>
      <c r="AX121" s="795"/>
      <c r="AY121" s="795"/>
      <c r="AZ121" s="796"/>
      <c r="BA121" s="794"/>
      <c r="BB121" s="795"/>
      <c r="BC121" s="795"/>
      <c r="BD121" s="796"/>
      <c r="BE121" s="794"/>
      <c r="BF121" s="795"/>
      <c r="BG121" s="795"/>
      <c r="BH121" s="796"/>
      <c r="BI121" s="794"/>
      <c r="BJ121" s="795"/>
      <c r="BK121" s="795"/>
      <c r="BL121" s="797"/>
      <c r="BM121" s="794"/>
      <c r="BN121" s="795"/>
      <c r="BO121" s="795"/>
      <c r="BP121" s="797"/>
      <c r="BQ121" s="798"/>
      <c r="BR121" s="799"/>
      <c r="BS121" s="799"/>
      <c r="BT121" s="800"/>
      <c r="BU121" s="801"/>
      <c r="BV121" s="802"/>
      <c r="BW121" s="803"/>
      <c r="BX121" s="804"/>
      <c r="BY121" s="798"/>
      <c r="BZ121" s="799"/>
      <c r="CA121" s="799"/>
      <c r="CB121" s="800"/>
      <c r="CC121" s="247"/>
      <c r="CD121" s="351"/>
      <c r="CE121" s="351"/>
      <c r="CF121" s="245"/>
      <c r="CG121" s="356"/>
      <c r="CH121" s="351"/>
      <c r="CI121" s="356"/>
      <c r="CJ121" s="246"/>
      <c r="CK121" s="805"/>
      <c r="CL121" s="806"/>
      <c r="CM121" s="805"/>
      <c r="CN121" s="805"/>
      <c r="CO121" s="805"/>
      <c r="CP121" s="805"/>
      <c r="CQ121" s="805"/>
      <c r="CR121" s="805"/>
      <c r="CS121" s="805"/>
      <c r="CT121" s="805"/>
      <c r="CU121" s="805"/>
      <c r="CV121" s="805"/>
      <c r="CW121" s="805"/>
      <c r="CX121" s="805"/>
      <c r="CY121" s="805"/>
      <c r="CZ121" s="805"/>
      <c r="DA121" s="805"/>
      <c r="DB121" s="805"/>
      <c r="DC121" s="805"/>
      <c r="DD121" s="805"/>
      <c r="DE121" s="1033"/>
      <c r="DF121" s="1103"/>
      <c r="DG121" s="807"/>
      <c r="DH121" s="807"/>
      <c r="DI121" s="1059">
        <f>SUMPRODUCT((MOD(COLUMN(I121:DD121)-COLUMN(I121),4)=1)*I121:DD121)</f>
        <v>0</v>
      </c>
      <c r="DJ121" s="807"/>
      <c r="DK121" s="153"/>
      <c r="DL121" s="862"/>
      <c r="DM121" s="1104"/>
      <c r="DN121" s="178"/>
      <c r="DO121" s="694">
        <f t="shared" si="14"/>
        <v>0</v>
      </c>
      <c r="DP121" s="694">
        <f>DO121-Detailed[[#This Row],[Column66]]</f>
        <v>0</v>
      </c>
      <c r="DQ121" s="179"/>
      <c r="DR121" s="179"/>
      <c r="DS121" s="231"/>
      <c r="DT121" s="179"/>
      <c r="DU121" s="179"/>
      <c r="DV121" s="179"/>
      <c r="DW121" s="179"/>
      <c r="DX121" s="179"/>
      <c r="DY121" s="179"/>
      <c r="DZ121" s="179"/>
      <c r="EA121" s="179"/>
      <c r="EB121" s="179"/>
      <c r="EC121" s="179"/>
      <c r="ED121" s="179"/>
      <c r="EE121" s="179"/>
      <c r="EF121" s="179"/>
      <c r="EG121" s="179"/>
      <c r="EH121" s="179"/>
      <c r="EI121" s="179"/>
      <c r="EJ121" s="179"/>
      <c r="EK121" s="179"/>
      <c r="EL121" s="179"/>
      <c r="EM121" s="179"/>
      <c r="EN121" s="179"/>
      <c r="EO121" s="179"/>
      <c r="EP121" s="179"/>
      <c r="EQ121" s="179"/>
      <c r="ER121" s="179"/>
      <c r="ES121" s="179"/>
      <c r="ET121" s="179"/>
      <c r="EU121" s="179"/>
      <c r="EV121" s="179"/>
      <c r="EW121" s="179"/>
      <c r="EX121" s="179"/>
      <c r="EY121" s="179"/>
      <c r="EZ121" s="179"/>
      <c r="FA121" s="179"/>
      <c r="FB121" s="179"/>
      <c r="FC121" s="179"/>
      <c r="FD121" s="179"/>
      <c r="FE121" s="179"/>
      <c r="FF121" s="179"/>
      <c r="FG121" s="179"/>
      <c r="FH121" s="179"/>
      <c r="FI121" s="179"/>
      <c r="FJ121" s="179"/>
      <c r="FK121" s="179"/>
      <c r="FL121" s="179"/>
      <c r="FM121" s="179"/>
      <c r="FN121" s="179"/>
      <c r="FO121" s="179"/>
      <c r="FP121" s="179"/>
      <c r="FQ121" s="179"/>
      <c r="FR121" s="179"/>
      <c r="FS121" s="179"/>
      <c r="FT121" s="179"/>
      <c r="FU121" s="179"/>
      <c r="FV121" s="179"/>
      <c r="FW121" s="179"/>
      <c r="FX121" s="179"/>
      <c r="FY121" s="179"/>
      <c r="FZ121" s="179"/>
      <c r="GA121" s="179"/>
      <c r="GB121" s="179"/>
      <c r="GC121" s="179"/>
      <c r="GD121" s="179"/>
      <c r="GE121" s="179"/>
      <c r="GF121" s="179"/>
      <c r="GG121" s="179"/>
      <c r="GH121" s="179"/>
      <c r="GI121" s="179"/>
      <c r="GJ121" s="179"/>
      <c r="GK121" s="179"/>
      <c r="GL121" s="179"/>
      <c r="GM121" s="179"/>
      <c r="GN121" s="179"/>
      <c r="GO121" s="179"/>
      <c r="GP121" s="179"/>
      <c r="GQ121" s="179"/>
      <c r="GR121" s="179"/>
      <c r="GS121" s="179"/>
      <c r="GT121" s="179"/>
      <c r="GU121" s="179"/>
      <c r="GV121" s="179"/>
      <c r="GW121" s="179"/>
      <c r="GX121" s="179"/>
      <c r="GY121" s="179"/>
      <c r="GZ121" s="179"/>
      <c r="HA121" s="179"/>
      <c r="HB121" s="179"/>
      <c r="HC121" s="179"/>
      <c r="HD121" s="179"/>
      <c r="HE121" s="179"/>
      <c r="HF121" s="179"/>
      <c r="HG121" s="179"/>
      <c r="HH121" s="179"/>
      <c r="HI121" s="179"/>
      <c r="HJ121" s="179"/>
      <c r="HK121" s="179"/>
      <c r="HL121" s="179"/>
      <c r="HM121" s="179"/>
      <c r="HN121" s="179"/>
      <c r="HO121" s="179"/>
      <c r="HP121" s="179"/>
      <c r="HQ121" s="179"/>
      <c r="HR121" s="179"/>
      <c r="HS121" s="179"/>
      <c r="HT121" s="179"/>
      <c r="HU121" s="179"/>
      <c r="HV121" s="179"/>
      <c r="HW121" s="179"/>
      <c r="HX121" s="179"/>
      <c r="HY121" s="179"/>
      <c r="HZ121" s="179"/>
      <c r="IA121" s="179"/>
      <c r="IB121" s="179"/>
      <c r="IC121" s="179"/>
      <c r="ID121" s="179"/>
      <c r="IE121" s="179"/>
      <c r="IF121" s="179"/>
      <c r="IG121" s="179"/>
      <c r="IH121" s="179"/>
      <c r="II121" s="179"/>
      <c r="IJ121" s="179"/>
      <c r="IK121" s="179"/>
      <c r="IL121" s="179"/>
      <c r="IM121" s="179"/>
      <c r="IN121" s="179"/>
      <c r="IO121" s="179"/>
      <c r="IP121" s="179"/>
      <c r="IQ121" s="179"/>
      <c r="IR121" s="179"/>
      <c r="IS121" s="179"/>
      <c r="IT121" s="179"/>
      <c r="IU121" s="179"/>
      <c r="IV121" s="179"/>
      <c r="IW121" s="179"/>
      <c r="IX121" s="179"/>
      <c r="IY121" s="179"/>
      <c r="IZ121" s="179"/>
      <c r="JA121" s="179"/>
      <c r="JB121" s="179"/>
      <c r="JC121" s="179"/>
      <c r="JD121" s="179"/>
      <c r="JE121" s="179"/>
      <c r="JF121" s="179"/>
      <c r="JG121" s="179"/>
      <c r="JH121" s="179"/>
      <c r="JI121" s="179"/>
    </row>
    <row r="122" spans="1:269" ht="16.2" thickBot="1">
      <c r="A122" s="776"/>
      <c r="B122" s="777"/>
      <c r="C122" s="778"/>
      <c r="D122" s="779"/>
      <c r="E122" s="779"/>
      <c r="F122" s="780"/>
      <c r="G122" s="781"/>
      <c r="H122" s="782"/>
      <c r="I122" s="783"/>
      <c r="J122" s="784"/>
      <c r="K122" s="784"/>
      <c r="L122" s="785"/>
      <c r="M122" s="786"/>
      <c r="N122" s="787"/>
      <c r="O122" s="787"/>
      <c r="P122" s="788"/>
      <c r="Q122" s="789"/>
      <c r="R122" s="790"/>
      <c r="S122" s="790"/>
      <c r="T122" s="791"/>
      <c r="U122" s="792"/>
      <c r="V122" s="791"/>
      <c r="W122" s="791"/>
      <c r="X122" s="788"/>
      <c r="Y122" s="792"/>
      <c r="Z122" s="791"/>
      <c r="AA122" s="791"/>
      <c r="AB122" s="788"/>
      <c r="AC122" s="792"/>
      <c r="AD122" s="791"/>
      <c r="AE122" s="791"/>
      <c r="AF122" s="788"/>
      <c r="AG122" s="792"/>
      <c r="AH122" s="784"/>
      <c r="AI122" s="784"/>
      <c r="AJ122" s="788"/>
      <c r="AK122" s="786"/>
      <c r="AL122" s="787"/>
      <c r="AM122" s="787"/>
      <c r="AN122" s="793"/>
      <c r="AO122" s="794"/>
      <c r="AP122" s="795"/>
      <c r="AQ122" s="795"/>
      <c r="AR122" s="796"/>
      <c r="AS122" s="794"/>
      <c r="AT122" s="795"/>
      <c r="AU122" s="795"/>
      <c r="AV122" s="796"/>
      <c r="AW122" s="794"/>
      <c r="AX122" s="795"/>
      <c r="AY122" s="795"/>
      <c r="AZ122" s="796"/>
      <c r="BA122" s="794"/>
      <c r="BB122" s="795"/>
      <c r="BC122" s="795"/>
      <c r="BD122" s="796"/>
      <c r="BE122" s="794"/>
      <c r="BF122" s="795"/>
      <c r="BG122" s="795"/>
      <c r="BH122" s="796"/>
      <c r="BI122" s="794"/>
      <c r="BJ122" s="795"/>
      <c r="BK122" s="795"/>
      <c r="BL122" s="797"/>
      <c r="BM122" s="794"/>
      <c r="BN122" s="795"/>
      <c r="BO122" s="795"/>
      <c r="BP122" s="797"/>
      <c r="BQ122" s="798"/>
      <c r="BR122" s="799"/>
      <c r="BS122" s="799"/>
      <c r="BT122" s="800"/>
      <c r="BU122" s="801"/>
      <c r="BV122" s="802"/>
      <c r="BW122" s="803"/>
      <c r="BX122" s="804"/>
      <c r="BY122" s="798"/>
      <c r="BZ122" s="799"/>
      <c r="CA122" s="799"/>
      <c r="CB122" s="800"/>
      <c r="CC122" s="247"/>
      <c r="CD122" s="351"/>
      <c r="CE122" s="351"/>
      <c r="CF122" s="245"/>
      <c r="CG122" s="356"/>
      <c r="CH122" s="351"/>
      <c r="CI122" s="356"/>
      <c r="CJ122" s="246"/>
      <c r="CK122" s="805"/>
      <c r="CL122" s="806"/>
      <c r="CM122" s="805"/>
      <c r="CN122" s="805"/>
      <c r="CO122" s="805"/>
      <c r="CP122" s="805"/>
      <c r="CQ122" s="805"/>
      <c r="CR122" s="805"/>
      <c r="CS122" s="805"/>
      <c r="CT122" s="805"/>
      <c r="CU122" s="805"/>
      <c r="CV122" s="805"/>
      <c r="CW122" s="805"/>
      <c r="CX122" s="805"/>
      <c r="CY122" s="805"/>
      <c r="CZ122" s="805"/>
      <c r="DA122" s="805"/>
      <c r="DB122" s="805"/>
      <c r="DC122" s="805"/>
      <c r="DD122" s="805"/>
      <c r="DE122" s="1033"/>
      <c r="DF122" s="1103"/>
      <c r="DG122" s="807"/>
      <c r="DH122" s="807"/>
      <c r="DI122" s="807"/>
      <c r="DJ122" s="807"/>
      <c r="DK122" s="153"/>
      <c r="DL122" s="862"/>
      <c r="DM122" s="1104"/>
      <c r="DN122" s="178"/>
      <c r="DO122" s="694">
        <f t="shared" si="14"/>
        <v>0</v>
      </c>
      <c r="DP122" s="694">
        <f>DO122-Detailed[[#This Row],[Column66]]</f>
        <v>0</v>
      </c>
      <c r="DQ122" s="179"/>
      <c r="DR122" s="179"/>
      <c r="DS122" s="231"/>
      <c r="DT122" s="179"/>
      <c r="DU122" s="179"/>
      <c r="DV122" s="179"/>
      <c r="DW122" s="179"/>
      <c r="DX122" s="179"/>
      <c r="DY122" s="179"/>
      <c r="DZ122" s="179"/>
      <c r="EA122" s="179"/>
      <c r="EB122" s="179"/>
      <c r="EC122" s="179"/>
      <c r="ED122" s="179"/>
      <c r="EE122" s="179"/>
      <c r="EF122" s="179"/>
      <c r="EG122" s="179"/>
      <c r="EH122" s="179"/>
      <c r="EI122" s="179"/>
      <c r="EJ122" s="179"/>
      <c r="EK122" s="179"/>
      <c r="EL122" s="179"/>
      <c r="EM122" s="179"/>
      <c r="EN122" s="179"/>
      <c r="EO122" s="179"/>
      <c r="EP122" s="179"/>
      <c r="EQ122" s="179"/>
      <c r="ER122" s="179"/>
      <c r="ES122" s="179"/>
      <c r="ET122" s="179"/>
      <c r="EU122" s="179"/>
      <c r="EV122" s="179"/>
      <c r="EW122" s="179"/>
      <c r="EX122" s="179"/>
      <c r="EY122" s="179"/>
      <c r="EZ122" s="179"/>
      <c r="FA122" s="179"/>
      <c r="FB122" s="179"/>
      <c r="FC122" s="179"/>
      <c r="FD122" s="179"/>
      <c r="FE122" s="179"/>
      <c r="FF122" s="179"/>
      <c r="FG122" s="179"/>
      <c r="FH122" s="179"/>
      <c r="FI122" s="179"/>
      <c r="FJ122" s="179"/>
      <c r="FK122" s="179"/>
      <c r="FL122" s="179"/>
      <c r="FM122" s="179"/>
      <c r="FN122" s="179"/>
      <c r="FO122" s="179"/>
      <c r="FP122" s="179"/>
      <c r="FQ122" s="179"/>
      <c r="FR122" s="179"/>
      <c r="FS122" s="179"/>
      <c r="FT122" s="179"/>
      <c r="FU122" s="179"/>
      <c r="FV122" s="179"/>
      <c r="FW122" s="179"/>
      <c r="FX122" s="179"/>
      <c r="FY122" s="179"/>
      <c r="FZ122" s="179"/>
      <c r="GA122" s="179"/>
      <c r="GB122" s="179"/>
      <c r="GC122" s="179"/>
      <c r="GD122" s="179"/>
      <c r="GE122" s="179"/>
      <c r="GF122" s="179"/>
      <c r="GG122" s="179"/>
      <c r="GH122" s="179"/>
      <c r="GI122" s="179"/>
      <c r="GJ122" s="179"/>
      <c r="GK122" s="179"/>
      <c r="GL122" s="179"/>
      <c r="GM122" s="179"/>
      <c r="GN122" s="179"/>
      <c r="GO122" s="179"/>
      <c r="GP122" s="179"/>
      <c r="GQ122" s="179"/>
      <c r="GR122" s="179"/>
      <c r="GS122" s="179"/>
      <c r="GT122" s="179"/>
      <c r="GU122" s="179"/>
      <c r="GV122" s="179"/>
      <c r="GW122" s="179"/>
      <c r="GX122" s="179"/>
      <c r="GY122" s="179"/>
      <c r="GZ122" s="179"/>
      <c r="HA122" s="179"/>
      <c r="HB122" s="179"/>
      <c r="HC122" s="179"/>
      <c r="HD122" s="179"/>
      <c r="HE122" s="179"/>
      <c r="HF122" s="179"/>
      <c r="HG122" s="179"/>
      <c r="HH122" s="179"/>
      <c r="HI122" s="179"/>
      <c r="HJ122" s="179"/>
      <c r="HK122" s="179"/>
      <c r="HL122" s="179"/>
      <c r="HM122" s="179"/>
      <c r="HN122" s="179"/>
      <c r="HO122" s="179"/>
      <c r="HP122" s="179"/>
      <c r="HQ122" s="179"/>
      <c r="HR122" s="179"/>
      <c r="HS122" s="179"/>
      <c r="HT122" s="179"/>
      <c r="HU122" s="179"/>
      <c r="HV122" s="179"/>
      <c r="HW122" s="179"/>
      <c r="HX122" s="179"/>
      <c r="HY122" s="179"/>
      <c r="HZ122" s="179"/>
      <c r="IA122" s="179"/>
      <c r="IB122" s="179"/>
      <c r="IC122" s="179"/>
      <c r="ID122" s="179"/>
      <c r="IE122" s="179"/>
      <c r="IF122" s="179"/>
      <c r="IG122" s="179"/>
      <c r="IH122" s="179"/>
      <c r="II122" s="179"/>
      <c r="IJ122" s="179"/>
      <c r="IK122" s="179"/>
      <c r="IL122" s="179"/>
      <c r="IM122" s="179"/>
      <c r="IN122" s="179"/>
      <c r="IO122" s="179"/>
      <c r="IP122" s="179"/>
      <c r="IQ122" s="179"/>
      <c r="IR122" s="179"/>
      <c r="IS122" s="179"/>
      <c r="IT122" s="179"/>
      <c r="IU122" s="179"/>
      <c r="IV122" s="179"/>
      <c r="IW122" s="179"/>
      <c r="IX122" s="179"/>
      <c r="IY122" s="179"/>
      <c r="IZ122" s="179"/>
      <c r="JA122" s="179"/>
      <c r="JB122" s="179"/>
      <c r="JC122" s="179"/>
      <c r="JD122" s="179"/>
      <c r="JE122" s="179"/>
      <c r="JF122" s="179"/>
      <c r="JG122" s="179"/>
      <c r="JH122" s="179"/>
      <c r="JI122" s="179"/>
    </row>
    <row r="123" spans="1:269" ht="16.2" thickBot="1">
      <c r="A123" s="809"/>
      <c r="B123" s="810"/>
      <c r="C123" s="811"/>
      <c r="D123" s="812"/>
      <c r="E123" s="812"/>
      <c r="F123" s="813"/>
      <c r="G123" s="814"/>
      <c r="H123" s="831"/>
      <c r="I123" s="832"/>
      <c r="J123" s="345">
        <f>SUM(J118:J122)</f>
        <v>659049.98</v>
      </c>
      <c r="K123" s="833"/>
      <c r="L123" s="345">
        <f>SUM(L118:L122)</f>
        <v>757907.47699999996</v>
      </c>
      <c r="M123" s="834"/>
      <c r="N123" s="345">
        <f>N119</f>
        <v>726176.52320000005</v>
      </c>
      <c r="O123" s="835"/>
      <c r="P123" s="345">
        <f>SUM(P118:P122)</f>
        <v>835103.0016800001</v>
      </c>
      <c r="Q123" s="837"/>
      <c r="R123" s="838"/>
      <c r="S123" s="838"/>
      <c r="T123" s="839"/>
      <c r="U123" s="840"/>
      <c r="V123" s="839"/>
      <c r="W123" s="839"/>
      <c r="X123" s="836"/>
      <c r="Y123" s="840"/>
      <c r="Z123" s="839"/>
      <c r="AA123" s="839"/>
      <c r="AB123" s="836"/>
      <c r="AC123" s="840"/>
      <c r="AD123" s="839"/>
      <c r="AE123" s="839"/>
      <c r="AF123" s="836"/>
      <c r="AG123" s="840"/>
      <c r="AH123" s="833"/>
      <c r="AI123" s="833"/>
      <c r="AJ123" s="836"/>
      <c r="AK123" s="834"/>
      <c r="AL123" s="835"/>
      <c r="AM123" s="835"/>
      <c r="AN123" s="841"/>
      <c r="AO123" s="842"/>
      <c r="AP123" s="843"/>
      <c r="AQ123" s="843"/>
      <c r="AR123" s="844"/>
      <c r="AS123" s="842"/>
      <c r="AT123" s="843"/>
      <c r="AU123" s="843"/>
      <c r="AV123" s="844"/>
      <c r="AW123" s="842"/>
      <c r="AX123" s="843"/>
      <c r="AY123" s="843"/>
      <c r="AZ123" s="844"/>
      <c r="BA123" s="842"/>
      <c r="BB123" s="843"/>
      <c r="BC123" s="843"/>
      <c r="BD123" s="844"/>
      <c r="BE123" s="842"/>
      <c r="BF123" s="843"/>
      <c r="BG123" s="843"/>
      <c r="BH123" s="844"/>
      <c r="BI123" s="842"/>
      <c r="BJ123" s="843"/>
      <c r="BK123" s="843"/>
      <c r="BL123" s="845"/>
      <c r="BM123" s="842"/>
      <c r="BN123" s="843"/>
      <c r="BO123" s="843"/>
      <c r="BP123" s="845"/>
      <c r="BQ123" s="846"/>
      <c r="BR123" s="847"/>
      <c r="BS123" s="847"/>
      <c r="BT123" s="848"/>
      <c r="BU123" s="849"/>
      <c r="BV123" s="850"/>
      <c r="BW123" s="851"/>
      <c r="BX123" s="852"/>
      <c r="BY123" s="846"/>
      <c r="BZ123" s="847"/>
      <c r="CA123" s="847"/>
      <c r="CB123" s="848"/>
      <c r="CC123" s="853"/>
      <c r="CD123" s="854"/>
      <c r="CE123" s="854"/>
      <c r="CF123" s="855"/>
      <c r="CG123" s="856"/>
      <c r="CH123" s="854"/>
      <c r="CI123" s="856"/>
      <c r="CJ123" s="857"/>
      <c r="CK123" s="858"/>
      <c r="CL123" s="859"/>
      <c r="CM123" s="858"/>
      <c r="CN123" s="858"/>
      <c r="CO123" s="858"/>
      <c r="CP123" s="858"/>
      <c r="CQ123" s="858"/>
      <c r="CR123" s="858"/>
      <c r="CS123" s="858"/>
      <c r="CT123" s="858"/>
      <c r="CU123" s="858"/>
      <c r="CV123" s="858"/>
      <c r="CW123" s="858"/>
      <c r="CX123" s="858"/>
      <c r="CY123" s="858"/>
      <c r="CZ123" s="858"/>
      <c r="DA123" s="858"/>
      <c r="DB123" s="858"/>
      <c r="DC123" s="858"/>
      <c r="DD123" s="858"/>
      <c r="DE123" s="1036"/>
      <c r="DF123" s="1074">
        <f>SUM(DF119:DF121)</f>
        <v>7146100</v>
      </c>
      <c r="DG123" s="393">
        <f>SUM(DG119:DG121)</f>
        <v>1071915</v>
      </c>
      <c r="DH123" s="393">
        <f>SUM(DH119:DH121)</f>
        <v>8218015</v>
      </c>
      <c r="DI123" s="393">
        <f>SUM(DI119:DI121)</f>
        <v>1385226.5032000002</v>
      </c>
      <c r="DJ123" s="393">
        <f>SUM(DJ119:DJ121)</f>
        <v>1593010.4786800002</v>
      </c>
      <c r="DK123" s="861"/>
      <c r="DL123" s="393">
        <f>SUM(DL119:DL121)</f>
        <v>2230297.81</v>
      </c>
      <c r="DM123" s="1075">
        <f>SUM(DM119:DM121)</f>
        <v>845071.3067999999</v>
      </c>
      <c r="DN123" s="178"/>
      <c r="DO123" s="694">
        <f t="shared" si="14"/>
        <v>1385226.5032000002</v>
      </c>
      <c r="DP123" s="694">
        <f>DO123-Detailed[[#This Row],[Column66]]</f>
        <v>0</v>
      </c>
      <c r="DQ123" s="179"/>
      <c r="DR123" s="179"/>
      <c r="DS123" s="231"/>
      <c r="DT123" s="179"/>
      <c r="DU123" s="179"/>
      <c r="DV123" s="179"/>
      <c r="DW123" s="179"/>
      <c r="DX123" s="179"/>
      <c r="DY123" s="179"/>
      <c r="DZ123" s="179"/>
      <c r="EA123" s="179"/>
      <c r="EB123" s="179"/>
      <c r="EC123" s="179"/>
      <c r="ED123" s="179"/>
      <c r="EE123" s="179"/>
      <c r="EF123" s="179"/>
      <c r="EG123" s="179"/>
      <c r="EH123" s="179"/>
      <c r="EI123" s="179"/>
      <c r="EJ123" s="179"/>
      <c r="EK123" s="179"/>
      <c r="EL123" s="179"/>
      <c r="EM123" s="179"/>
      <c r="EN123" s="179"/>
      <c r="EO123" s="179"/>
      <c r="EP123" s="179"/>
      <c r="EQ123" s="179"/>
      <c r="ER123" s="179"/>
      <c r="ES123" s="179"/>
      <c r="ET123" s="179"/>
      <c r="EU123" s="179"/>
      <c r="EV123" s="179"/>
      <c r="EW123" s="179"/>
      <c r="EX123" s="179"/>
      <c r="EY123" s="179"/>
      <c r="EZ123" s="179"/>
      <c r="FA123" s="179"/>
      <c r="FB123" s="179"/>
      <c r="FC123" s="179"/>
      <c r="FD123" s="179"/>
      <c r="FE123" s="179"/>
      <c r="FF123" s="179"/>
      <c r="FG123" s="179"/>
      <c r="FH123" s="179"/>
      <c r="FI123" s="179"/>
      <c r="FJ123" s="179"/>
      <c r="FK123" s="179"/>
      <c r="FL123" s="179"/>
      <c r="FM123" s="179"/>
      <c r="FN123" s="179"/>
      <c r="FO123" s="179"/>
      <c r="FP123" s="179"/>
      <c r="FQ123" s="179"/>
      <c r="FR123" s="179"/>
      <c r="FS123" s="179"/>
      <c r="FT123" s="179"/>
      <c r="FU123" s="179"/>
      <c r="FV123" s="179"/>
      <c r="FW123" s="179"/>
      <c r="FX123" s="179"/>
      <c r="FY123" s="179"/>
      <c r="FZ123" s="179"/>
      <c r="GA123" s="179"/>
      <c r="GB123" s="179"/>
      <c r="GC123" s="179"/>
      <c r="GD123" s="179"/>
      <c r="GE123" s="179"/>
      <c r="GF123" s="179"/>
      <c r="GG123" s="179"/>
      <c r="GH123" s="179"/>
      <c r="GI123" s="179"/>
      <c r="GJ123" s="179"/>
      <c r="GK123" s="179"/>
      <c r="GL123" s="179"/>
      <c r="GM123" s="179"/>
      <c r="GN123" s="179"/>
      <c r="GO123" s="179"/>
      <c r="GP123" s="179"/>
      <c r="GQ123" s="179"/>
      <c r="GR123" s="179"/>
      <c r="GS123" s="179"/>
      <c r="GT123" s="179"/>
      <c r="GU123" s="179"/>
      <c r="GV123" s="179"/>
      <c r="GW123" s="179"/>
      <c r="GX123" s="179"/>
      <c r="GY123" s="179"/>
      <c r="GZ123" s="179"/>
      <c r="HA123" s="179"/>
      <c r="HB123" s="179"/>
      <c r="HC123" s="179"/>
      <c r="HD123" s="179"/>
      <c r="HE123" s="179"/>
      <c r="HF123" s="179"/>
      <c r="HG123" s="179"/>
      <c r="HH123" s="179"/>
      <c r="HI123" s="179"/>
      <c r="HJ123" s="179"/>
      <c r="HK123" s="179"/>
      <c r="HL123" s="179"/>
      <c r="HM123" s="179"/>
      <c r="HN123" s="179"/>
      <c r="HO123" s="179"/>
      <c r="HP123" s="179"/>
      <c r="HQ123" s="179"/>
      <c r="HR123" s="179"/>
      <c r="HS123" s="179"/>
      <c r="HT123" s="179"/>
      <c r="HU123" s="179"/>
      <c r="HV123" s="179"/>
      <c r="HW123" s="179"/>
      <c r="HX123" s="179"/>
      <c r="HY123" s="179"/>
      <c r="HZ123" s="179"/>
      <c r="IA123" s="179"/>
      <c r="IB123" s="179"/>
      <c r="IC123" s="179"/>
      <c r="ID123" s="179"/>
      <c r="IE123" s="179"/>
      <c r="IF123" s="179"/>
      <c r="IG123" s="179"/>
      <c r="IH123" s="179"/>
      <c r="II123" s="179"/>
      <c r="IJ123" s="179"/>
      <c r="IK123" s="179"/>
      <c r="IL123" s="179"/>
      <c r="IM123" s="179"/>
      <c r="IN123" s="179"/>
      <c r="IO123" s="179"/>
      <c r="IP123" s="179"/>
      <c r="IQ123" s="179"/>
      <c r="IR123" s="179"/>
      <c r="IS123" s="179"/>
      <c r="IT123" s="179"/>
      <c r="IU123" s="179"/>
      <c r="IV123" s="179"/>
      <c r="IW123" s="179"/>
      <c r="IX123" s="179"/>
      <c r="IY123" s="179"/>
      <c r="IZ123" s="179"/>
      <c r="JA123" s="179"/>
      <c r="JB123" s="179"/>
      <c r="JC123" s="179"/>
      <c r="JD123" s="179"/>
      <c r="JE123" s="179"/>
      <c r="JF123" s="179"/>
      <c r="JG123" s="179"/>
      <c r="JH123" s="179"/>
      <c r="JI123" s="179"/>
    </row>
    <row r="124" spans="1:269" ht="16.8" thickTop="1" thickBot="1">
      <c r="A124" s="808" t="s">
        <v>368</v>
      </c>
      <c r="B124" s="130"/>
      <c r="C124" s="181"/>
      <c r="D124" s="180"/>
      <c r="E124" s="180"/>
      <c r="F124" s="497"/>
      <c r="G124" s="463" t="s">
        <v>371</v>
      </c>
      <c r="H124" s="98">
        <f xml:space="preserve"> F18</f>
        <v>27800000</v>
      </c>
      <c r="I124" s="815"/>
      <c r="J124" s="816"/>
      <c r="K124" s="816"/>
      <c r="L124" s="817"/>
      <c r="M124" s="818"/>
      <c r="N124" s="819"/>
      <c r="O124" s="819"/>
      <c r="P124" s="820"/>
      <c r="Q124" s="821"/>
      <c r="R124" s="822"/>
      <c r="S124" s="822"/>
      <c r="T124" s="823"/>
      <c r="U124" s="824"/>
      <c r="V124" s="823"/>
      <c r="W124" s="823"/>
      <c r="X124" s="820"/>
      <c r="Y124" s="824"/>
      <c r="Z124" s="823"/>
      <c r="AA124" s="823"/>
      <c r="AB124" s="820"/>
      <c r="AC124" s="824"/>
      <c r="AD124" s="823"/>
      <c r="AE124" s="823"/>
      <c r="AF124" s="820"/>
      <c r="AG124" s="824"/>
      <c r="AH124" s="816"/>
      <c r="AI124" s="816"/>
      <c r="AJ124" s="820"/>
      <c r="AK124" s="818"/>
      <c r="AL124" s="819"/>
      <c r="AM124" s="819"/>
      <c r="AN124" s="825"/>
      <c r="AO124" s="826"/>
      <c r="AP124" s="827"/>
      <c r="AQ124" s="827"/>
      <c r="AR124" s="828"/>
      <c r="AS124" s="826"/>
      <c r="AT124" s="827"/>
      <c r="AU124" s="827"/>
      <c r="AV124" s="828"/>
      <c r="AW124" s="826"/>
      <c r="AX124" s="827"/>
      <c r="AY124" s="827"/>
      <c r="AZ124" s="828"/>
      <c r="BA124" s="826"/>
      <c r="BB124" s="827"/>
      <c r="BC124" s="827"/>
      <c r="BD124" s="828"/>
      <c r="BE124" s="826"/>
      <c r="BF124" s="827"/>
      <c r="BG124" s="827"/>
      <c r="BH124" s="828"/>
      <c r="BI124" s="826"/>
      <c r="BJ124" s="827"/>
      <c r="BK124" s="827"/>
      <c r="BL124" s="829"/>
      <c r="BM124" s="826"/>
      <c r="BN124" s="827"/>
      <c r="BO124" s="827"/>
      <c r="BP124" s="829"/>
      <c r="BQ124" s="798"/>
      <c r="BR124" s="799"/>
      <c r="BS124" s="799"/>
      <c r="BT124" s="800"/>
      <c r="BU124" s="801"/>
      <c r="BV124" s="802"/>
      <c r="BW124" s="803"/>
      <c r="BX124" s="830"/>
      <c r="BY124" s="798"/>
      <c r="BZ124" s="799"/>
      <c r="CA124" s="799"/>
      <c r="CB124" s="800"/>
      <c r="CC124" s="247"/>
      <c r="CD124" s="351"/>
      <c r="CE124" s="351"/>
      <c r="CF124" s="245"/>
      <c r="CG124" s="356"/>
      <c r="CH124" s="351"/>
      <c r="CI124" s="356"/>
      <c r="CJ124" s="246"/>
      <c r="CK124" s="805"/>
      <c r="CL124" s="806"/>
      <c r="CM124" s="805"/>
      <c r="CN124" s="805"/>
      <c r="CO124" s="805"/>
      <c r="CP124" s="805"/>
      <c r="CQ124" s="805"/>
      <c r="CR124" s="805"/>
      <c r="CS124" s="805"/>
      <c r="CT124" s="805"/>
      <c r="CU124" s="805"/>
      <c r="CV124" s="805"/>
      <c r="CW124" s="805"/>
      <c r="CX124" s="805"/>
      <c r="CY124" s="805"/>
      <c r="CZ124" s="805"/>
      <c r="DA124" s="805"/>
      <c r="DB124" s="805"/>
      <c r="DC124" s="805"/>
      <c r="DD124" s="805"/>
      <c r="DE124" s="1033"/>
      <c r="DF124" s="1103"/>
      <c r="DG124" s="807"/>
      <c r="DH124" s="807"/>
      <c r="DI124" s="807"/>
      <c r="DJ124" s="807"/>
      <c r="DK124" s="183"/>
      <c r="DL124" s="863"/>
      <c r="DM124" s="1104"/>
      <c r="DN124" s="178"/>
      <c r="DO124" s="694">
        <f t="shared" si="14"/>
        <v>0</v>
      </c>
      <c r="DP124" s="694">
        <f>DO124-Detailed[[#This Row],[Column66]]</f>
        <v>0</v>
      </c>
      <c r="DQ124" s="179"/>
      <c r="DR124" s="179"/>
      <c r="DS124" s="231"/>
      <c r="DT124" s="179"/>
      <c r="DU124" s="179"/>
      <c r="DV124" s="179"/>
      <c r="DW124" s="179"/>
      <c r="DX124" s="179"/>
      <c r="DY124" s="179"/>
      <c r="DZ124" s="179"/>
      <c r="EA124" s="179"/>
      <c r="EB124" s="179"/>
      <c r="EC124" s="179"/>
      <c r="ED124" s="179"/>
      <c r="EE124" s="179"/>
      <c r="EF124" s="179"/>
      <c r="EG124" s="179"/>
      <c r="EH124" s="179"/>
      <c r="EI124" s="179"/>
      <c r="EJ124" s="179"/>
      <c r="EK124" s="179"/>
      <c r="EL124" s="179"/>
      <c r="EM124" s="179"/>
      <c r="EN124" s="179"/>
      <c r="EO124" s="179"/>
      <c r="EP124" s="179"/>
      <c r="EQ124" s="179"/>
      <c r="ER124" s="179"/>
      <c r="ES124" s="179"/>
      <c r="ET124" s="179"/>
      <c r="EU124" s="179"/>
      <c r="EV124" s="179"/>
      <c r="EW124" s="179"/>
      <c r="EX124" s="179"/>
      <c r="EY124" s="179"/>
      <c r="EZ124" s="179"/>
      <c r="FA124" s="179"/>
      <c r="FB124" s="179"/>
      <c r="FC124" s="179"/>
      <c r="FD124" s="179"/>
      <c r="FE124" s="179"/>
      <c r="FF124" s="179"/>
      <c r="FG124" s="179"/>
      <c r="FH124" s="179"/>
      <c r="FI124" s="179"/>
      <c r="FJ124" s="179"/>
      <c r="FK124" s="179"/>
      <c r="FL124" s="179"/>
      <c r="FM124" s="179"/>
      <c r="FN124" s="179"/>
      <c r="FO124" s="179"/>
      <c r="FP124" s="179"/>
      <c r="FQ124" s="179"/>
      <c r="FR124" s="179"/>
      <c r="FS124" s="179"/>
      <c r="FT124" s="179"/>
      <c r="FU124" s="179"/>
      <c r="FV124" s="179"/>
      <c r="FW124" s="179"/>
      <c r="FX124" s="179"/>
      <c r="FY124" s="179"/>
      <c r="FZ124" s="179"/>
      <c r="GA124" s="179"/>
      <c r="GB124" s="179"/>
      <c r="GC124" s="179"/>
      <c r="GD124" s="179"/>
      <c r="GE124" s="179"/>
      <c r="GF124" s="179"/>
      <c r="GG124" s="179"/>
      <c r="GH124" s="179"/>
      <c r="GI124" s="179"/>
      <c r="GJ124" s="179"/>
      <c r="GK124" s="179"/>
      <c r="GL124" s="179"/>
      <c r="GM124" s="179"/>
      <c r="GN124" s="179"/>
      <c r="GO124" s="179"/>
      <c r="GP124" s="179"/>
      <c r="GQ124" s="179"/>
      <c r="GR124" s="179"/>
      <c r="GS124" s="179"/>
      <c r="GT124" s="179"/>
      <c r="GU124" s="179"/>
      <c r="GV124" s="179"/>
      <c r="GW124" s="179"/>
      <c r="GX124" s="179"/>
      <c r="GY124" s="179"/>
      <c r="GZ124" s="179"/>
      <c r="HA124" s="179"/>
      <c r="HB124" s="179"/>
      <c r="HC124" s="179"/>
      <c r="HD124" s="179"/>
      <c r="HE124" s="179"/>
      <c r="HF124" s="179"/>
      <c r="HG124" s="179"/>
      <c r="HH124" s="179"/>
      <c r="HI124" s="179"/>
      <c r="HJ124" s="179"/>
      <c r="HK124" s="179"/>
      <c r="HL124" s="179"/>
      <c r="HM124" s="179"/>
      <c r="HN124" s="179"/>
      <c r="HO124" s="179"/>
      <c r="HP124" s="179"/>
      <c r="HQ124" s="179"/>
      <c r="HR124" s="179"/>
      <c r="HS124" s="179"/>
      <c r="HT124" s="179"/>
      <c r="HU124" s="179"/>
      <c r="HV124" s="179"/>
      <c r="HW124" s="179"/>
      <c r="HX124" s="179"/>
      <c r="HY124" s="179"/>
      <c r="HZ124" s="179"/>
      <c r="IA124" s="179"/>
      <c r="IB124" s="179"/>
      <c r="IC124" s="179"/>
      <c r="ID124" s="179"/>
      <c r="IE124" s="179"/>
      <c r="IF124" s="179"/>
      <c r="IG124" s="179"/>
      <c r="IH124" s="179"/>
      <c r="II124" s="179"/>
      <c r="IJ124" s="179"/>
      <c r="IK124" s="179"/>
      <c r="IL124" s="179"/>
      <c r="IM124" s="179"/>
      <c r="IN124" s="179"/>
      <c r="IO124" s="179"/>
      <c r="IP124" s="179"/>
      <c r="IQ124" s="179"/>
      <c r="IR124" s="179"/>
      <c r="IS124" s="179"/>
      <c r="IT124" s="179"/>
      <c r="IU124" s="179"/>
      <c r="IV124" s="179"/>
      <c r="IW124" s="179"/>
      <c r="IX124" s="179"/>
      <c r="IY124" s="179"/>
      <c r="IZ124" s="179"/>
      <c r="JA124" s="179"/>
      <c r="JB124" s="179"/>
      <c r="JC124" s="179"/>
      <c r="JD124" s="179"/>
      <c r="JE124" s="179"/>
      <c r="JF124" s="179"/>
      <c r="JG124" s="179"/>
      <c r="JH124" s="179"/>
      <c r="JI124" s="179"/>
    </row>
    <row r="125" spans="1:269" ht="16.8" thickTop="1" thickBot="1">
      <c r="A125" s="808" t="s">
        <v>368</v>
      </c>
      <c r="B125" s="777">
        <v>1</v>
      </c>
      <c r="C125" s="139" t="s">
        <v>383</v>
      </c>
      <c r="D125" s="779"/>
      <c r="E125" s="779"/>
      <c r="F125" s="780"/>
      <c r="G125" s="781" t="s">
        <v>384</v>
      </c>
      <c r="H125" s="782">
        <v>19206662</v>
      </c>
      <c r="I125" s="783">
        <v>45929</v>
      </c>
      <c r="J125" s="784">
        <f>Logistic!M13</f>
        <v>960349</v>
      </c>
      <c r="K125" s="784">
        <f>Detailed[[#This Row],[Column10]]*15%</f>
        <v>144052.35</v>
      </c>
      <c r="L125" s="785">
        <f>Detailed[[#This Row],[Column10]]+Detailed[[#This Row],[Column11]]</f>
        <v>1104401.3500000001</v>
      </c>
      <c r="M125" s="786">
        <v>45938</v>
      </c>
      <c r="N125" s="784">
        <f>Logistic!O13</f>
        <v>960349</v>
      </c>
      <c r="O125" s="784">
        <f>Detailed[[#This Row],[Column10]]*15%</f>
        <v>144052.35</v>
      </c>
      <c r="P125" s="785">
        <f>Detailed[[#This Row],[Column10]]+Detailed[[#This Row],[Column11]]</f>
        <v>1104401.3500000001</v>
      </c>
      <c r="Q125" s="789">
        <v>45959</v>
      </c>
      <c r="R125" s="55">
        <f>Logistic!Q13</f>
        <v>288080.84999999998</v>
      </c>
      <c r="S125" s="55">
        <f>Detailed[[#This Row],[Column18]]*15%</f>
        <v>43212.127499999995</v>
      </c>
      <c r="T125" s="63">
        <f>Detailed[[#This Row],[Column18]]+Detailed[[#This Row],[Column19]]</f>
        <v>331292.97749999998</v>
      </c>
      <c r="U125" s="789">
        <v>45992</v>
      </c>
      <c r="V125" s="791">
        <f>Logistic!S13</f>
        <v>2784853.1</v>
      </c>
      <c r="W125" s="791">
        <f>Detailed[[#This Row],[Column22]]*15%</f>
        <v>417727.96500000003</v>
      </c>
      <c r="X125" s="788">
        <f>Detailed[[#This Row],[Column23]]+Detailed[[#This Row],[Column22]]</f>
        <v>3202581.0649999999</v>
      </c>
      <c r="Y125" s="792"/>
      <c r="Z125" s="791"/>
      <c r="AA125" s="791"/>
      <c r="AB125" s="788"/>
      <c r="AC125" s="792"/>
      <c r="AD125" s="791"/>
      <c r="AE125" s="791"/>
      <c r="AF125" s="788"/>
      <c r="AG125" s="792"/>
      <c r="AH125" s="784"/>
      <c r="AI125" s="784"/>
      <c r="AJ125" s="788"/>
      <c r="AK125" s="786"/>
      <c r="AL125" s="787"/>
      <c r="AM125" s="787"/>
      <c r="AN125" s="793"/>
      <c r="AO125" s="794"/>
      <c r="AP125" s="795"/>
      <c r="AQ125" s="795"/>
      <c r="AR125" s="796"/>
      <c r="AS125" s="794"/>
      <c r="AT125" s="795"/>
      <c r="AU125" s="795"/>
      <c r="AV125" s="796"/>
      <c r="AW125" s="794"/>
      <c r="AX125" s="795"/>
      <c r="AY125" s="795"/>
      <c r="AZ125" s="796"/>
      <c r="BA125" s="794"/>
      <c r="BB125" s="795"/>
      <c r="BC125" s="795"/>
      <c r="BD125" s="796"/>
      <c r="BE125" s="794"/>
      <c r="BF125" s="795"/>
      <c r="BG125" s="795"/>
      <c r="BH125" s="796"/>
      <c r="BI125" s="794"/>
      <c r="BJ125" s="795"/>
      <c r="BK125" s="795"/>
      <c r="BL125" s="797"/>
      <c r="BM125" s="794"/>
      <c r="BN125" s="795"/>
      <c r="BO125" s="795"/>
      <c r="BP125" s="797"/>
      <c r="BQ125" s="798"/>
      <c r="BR125" s="799"/>
      <c r="BS125" s="799"/>
      <c r="BT125" s="800"/>
      <c r="BU125" s="801"/>
      <c r="BV125" s="802"/>
      <c r="BW125" s="803"/>
      <c r="BX125" s="804"/>
      <c r="BY125" s="798"/>
      <c r="BZ125" s="799"/>
      <c r="CA125" s="799"/>
      <c r="CB125" s="800"/>
      <c r="CC125" s="247"/>
      <c r="CD125" s="351"/>
      <c r="CE125" s="351"/>
      <c r="CF125" s="245"/>
      <c r="CG125" s="356"/>
      <c r="CH125" s="351"/>
      <c r="CI125" s="356"/>
      <c r="CJ125" s="246"/>
      <c r="CK125" s="805"/>
      <c r="CL125" s="806"/>
      <c r="CM125" s="805"/>
      <c r="CN125" s="805"/>
      <c r="CO125" s="805"/>
      <c r="CP125" s="805"/>
      <c r="CQ125" s="805"/>
      <c r="CR125" s="805"/>
      <c r="CS125" s="805"/>
      <c r="CT125" s="805"/>
      <c r="CU125" s="805"/>
      <c r="CV125" s="805"/>
      <c r="CW125" s="805"/>
      <c r="CX125" s="805"/>
      <c r="CY125" s="805"/>
      <c r="CZ125" s="805"/>
      <c r="DA125" s="805"/>
      <c r="DB125" s="805"/>
      <c r="DC125" s="805"/>
      <c r="DD125" s="805"/>
      <c r="DE125" s="1033"/>
      <c r="DF125" s="1082">
        <f>H125</f>
        <v>19206662</v>
      </c>
      <c r="DG125" s="126">
        <f>DF125*15%</f>
        <v>2880999.3</v>
      </c>
      <c r="DH125" s="126">
        <f>DF125+DG125</f>
        <v>22087661.300000001</v>
      </c>
      <c r="DI125" s="1059">
        <f>SUMPRODUCT((MOD(COLUMN(I125:DD125)-COLUMN(I125),4)=1)*I125:DD125)</f>
        <v>4993631.95</v>
      </c>
      <c r="DJ125" s="1059">
        <f>SUMPRODUCT((MOD(COLUMN(I125:DD125)-COLUMN(J125),4)=2)*I125:DD125)</f>
        <v>5742676.7424999997</v>
      </c>
      <c r="DK125" s="153">
        <v>0.29199999999999998</v>
      </c>
      <c r="DL125" s="154">
        <f>DK125*DF125</f>
        <v>5608345.3039999995</v>
      </c>
      <c r="DM125" s="1083">
        <f>DL125-DI125</f>
        <v>614713.35399999935</v>
      </c>
      <c r="DN125" s="178"/>
      <c r="DO125" s="694">
        <f t="shared" si="14"/>
        <v>4993631.95</v>
      </c>
      <c r="DP125" s="694">
        <f>DO125-Detailed[[#This Row],[Column66]]</f>
        <v>0</v>
      </c>
      <c r="DQ125" s="179"/>
      <c r="DR125" s="179"/>
      <c r="DS125" s="231"/>
      <c r="DT125" s="179"/>
      <c r="DU125" s="179"/>
      <c r="DV125" s="179"/>
      <c r="DW125" s="179"/>
      <c r="DX125" s="179"/>
      <c r="DY125" s="179"/>
      <c r="DZ125" s="179"/>
      <c r="EA125" s="179"/>
      <c r="EB125" s="179"/>
      <c r="EC125" s="179"/>
      <c r="ED125" s="179"/>
      <c r="EE125" s="179"/>
      <c r="EF125" s="179"/>
      <c r="EG125" s="179"/>
      <c r="EH125" s="179"/>
      <c r="EI125" s="179"/>
      <c r="EJ125" s="179"/>
      <c r="EK125" s="179"/>
      <c r="EL125" s="179"/>
      <c r="EM125" s="179"/>
      <c r="EN125" s="179"/>
      <c r="EO125" s="179"/>
      <c r="EP125" s="179"/>
      <c r="EQ125" s="179"/>
      <c r="ER125" s="179"/>
      <c r="ES125" s="179"/>
      <c r="ET125" s="179"/>
      <c r="EU125" s="179"/>
      <c r="EV125" s="179"/>
      <c r="EW125" s="179"/>
      <c r="EX125" s="179"/>
      <c r="EY125" s="179"/>
      <c r="EZ125" s="179"/>
      <c r="FA125" s="179"/>
      <c r="FB125" s="179"/>
      <c r="FC125" s="179"/>
      <c r="FD125" s="179"/>
      <c r="FE125" s="179"/>
      <c r="FF125" s="179"/>
      <c r="FG125" s="179"/>
      <c r="FH125" s="179"/>
      <c r="FI125" s="179"/>
      <c r="FJ125" s="179"/>
      <c r="FK125" s="179"/>
      <c r="FL125" s="179"/>
      <c r="FM125" s="179"/>
      <c r="FN125" s="179"/>
      <c r="FO125" s="179"/>
      <c r="FP125" s="179"/>
      <c r="FQ125" s="179"/>
      <c r="FR125" s="179"/>
      <c r="FS125" s="179"/>
      <c r="FT125" s="179"/>
      <c r="FU125" s="179"/>
      <c r="FV125" s="179"/>
      <c r="FW125" s="179"/>
      <c r="FX125" s="179"/>
      <c r="FY125" s="179"/>
      <c r="FZ125" s="179"/>
      <c r="GA125" s="179"/>
      <c r="GB125" s="179"/>
      <c r="GC125" s="179"/>
      <c r="GD125" s="179"/>
      <c r="GE125" s="179"/>
      <c r="GF125" s="179"/>
      <c r="GG125" s="179"/>
      <c r="GH125" s="179"/>
      <c r="GI125" s="179"/>
      <c r="GJ125" s="179"/>
      <c r="GK125" s="179"/>
      <c r="GL125" s="179"/>
      <c r="GM125" s="179"/>
      <c r="GN125" s="179"/>
      <c r="GO125" s="179"/>
      <c r="GP125" s="179"/>
      <c r="GQ125" s="179"/>
      <c r="GR125" s="179"/>
      <c r="GS125" s="179"/>
      <c r="GT125" s="179"/>
      <c r="GU125" s="179"/>
      <c r="GV125" s="179"/>
      <c r="GW125" s="179"/>
      <c r="GX125" s="179"/>
      <c r="GY125" s="179"/>
      <c r="GZ125" s="179"/>
      <c r="HA125" s="179"/>
      <c r="HB125" s="179"/>
      <c r="HC125" s="179"/>
      <c r="HD125" s="179"/>
      <c r="HE125" s="179"/>
      <c r="HF125" s="179"/>
      <c r="HG125" s="179"/>
      <c r="HH125" s="179"/>
      <c r="HI125" s="179"/>
      <c r="HJ125" s="179"/>
      <c r="HK125" s="179"/>
      <c r="HL125" s="179"/>
      <c r="HM125" s="179"/>
      <c r="HN125" s="179"/>
      <c r="HO125" s="179"/>
      <c r="HP125" s="179"/>
      <c r="HQ125" s="179"/>
      <c r="HR125" s="179"/>
      <c r="HS125" s="179"/>
      <c r="HT125" s="179"/>
      <c r="HU125" s="179"/>
      <c r="HV125" s="179"/>
      <c r="HW125" s="179"/>
      <c r="HX125" s="179"/>
      <c r="HY125" s="179"/>
      <c r="HZ125" s="179"/>
      <c r="IA125" s="179"/>
      <c r="IB125" s="179"/>
      <c r="IC125" s="179"/>
      <c r="ID125" s="179"/>
      <c r="IE125" s="179"/>
      <c r="IF125" s="179"/>
      <c r="IG125" s="179"/>
      <c r="IH125" s="179"/>
      <c r="II125" s="179"/>
      <c r="IJ125" s="179"/>
      <c r="IK125" s="179"/>
      <c r="IL125" s="179"/>
      <c r="IM125" s="179"/>
      <c r="IN125" s="179"/>
      <c r="IO125" s="179"/>
      <c r="IP125" s="179"/>
      <c r="IQ125" s="179"/>
      <c r="IR125" s="179"/>
      <c r="IS125" s="179"/>
      <c r="IT125" s="179"/>
      <c r="IU125" s="179"/>
      <c r="IV125" s="179"/>
      <c r="IW125" s="179"/>
      <c r="IX125" s="179"/>
      <c r="IY125" s="179"/>
      <c r="IZ125" s="179"/>
      <c r="JA125" s="179"/>
      <c r="JB125" s="179"/>
      <c r="JC125" s="179"/>
      <c r="JD125" s="179"/>
      <c r="JE125" s="179"/>
      <c r="JF125" s="179"/>
      <c r="JG125" s="179"/>
      <c r="JH125" s="179"/>
      <c r="JI125" s="179"/>
    </row>
    <row r="126" spans="1:269" ht="16.8" thickTop="1" thickBot="1">
      <c r="A126" s="808" t="s">
        <v>368</v>
      </c>
      <c r="B126" s="777"/>
      <c r="C126" s="778"/>
      <c r="D126" s="779"/>
      <c r="E126" s="779"/>
      <c r="F126" s="780"/>
      <c r="G126" s="781"/>
      <c r="H126" s="782"/>
      <c r="I126" s="783"/>
      <c r="J126" s="784"/>
      <c r="K126" s="784"/>
      <c r="L126" s="785"/>
      <c r="M126" s="786"/>
      <c r="N126" s="787"/>
      <c r="O126" s="787"/>
      <c r="P126" s="788"/>
      <c r="Q126" s="789"/>
      <c r="R126" s="790"/>
      <c r="S126" s="790"/>
      <c r="T126" s="791"/>
      <c r="U126" s="792"/>
      <c r="V126" s="791"/>
      <c r="W126" s="791"/>
      <c r="X126" s="788"/>
      <c r="Y126" s="792"/>
      <c r="Z126" s="791"/>
      <c r="AA126" s="791"/>
      <c r="AB126" s="788"/>
      <c r="AC126" s="792"/>
      <c r="AD126" s="791"/>
      <c r="AE126" s="791"/>
      <c r="AF126" s="788"/>
      <c r="AG126" s="792"/>
      <c r="AH126" s="784"/>
      <c r="AI126" s="784"/>
      <c r="AJ126" s="788"/>
      <c r="AK126" s="786"/>
      <c r="AL126" s="787"/>
      <c r="AM126" s="787"/>
      <c r="AN126" s="793"/>
      <c r="AO126" s="794"/>
      <c r="AP126" s="795"/>
      <c r="AQ126" s="795"/>
      <c r="AR126" s="796"/>
      <c r="AS126" s="794"/>
      <c r="AT126" s="795"/>
      <c r="AU126" s="795"/>
      <c r="AV126" s="796"/>
      <c r="AW126" s="794"/>
      <c r="AX126" s="795"/>
      <c r="AY126" s="795"/>
      <c r="AZ126" s="796"/>
      <c r="BA126" s="794"/>
      <c r="BB126" s="795"/>
      <c r="BC126" s="795"/>
      <c r="BD126" s="796"/>
      <c r="BE126" s="794"/>
      <c r="BF126" s="795"/>
      <c r="BG126" s="795"/>
      <c r="BH126" s="796"/>
      <c r="BI126" s="794"/>
      <c r="BJ126" s="795"/>
      <c r="BK126" s="795"/>
      <c r="BL126" s="797"/>
      <c r="BM126" s="794"/>
      <c r="BN126" s="795"/>
      <c r="BO126" s="795"/>
      <c r="BP126" s="797"/>
      <c r="BQ126" s="798"/>
      <c r="BR126" s="799"/>
      <c r="BS126" s="799"/>
      <c r="BT126" s="800"/>
      <c r="BU126" s="801"/>
      <c r="BV126" s="802"/>
      <c r="BW126" s="803"/>
      <c r="BX126" s="804"/>
      <c r="BY126" s="798"/>
      <c r="BZ126" s="799"/>
      <c r="CA126" s="799"/>
      <c r="CB126" s="800"/>
      <c r="CC126" s="247"/>
      <c r="CD126" s="351"/>
      <c r="CE126" s="351"/>
      <c r="CF126" s="245"/>
      <c r="CG126" s="356"/>
      <c r="CH126" s="351"/>
      <c r="CI126" s="356"/>
      <c r="CJ126" s="246"/>
      <c r="CK126" s="805"/>
      <c r="CL126" s="806"/>
      <c r="CM126" s="805"/>
      <c r="CN126" s="805"/>
      <c r="CO126" s="805"/>
      <c r="CP126" s="805"/>
      <c r="CQ126" s="805"/>
      <c r="CR126" s="805"/>
      <c r="CS126" s="805"/>
      <c r="CT126" s="805"/>
      <c r="CU126" s="805"/>
      <c r="CV126" s="805"/>
      <c r="CW126" s="805"/>
      <c r="CX126" s="805"/>
      <c r="CY126" s="805"/>
      <c r="CZ126" s="805"/>
      <c r="DA126" s="805"/>
      <c r="DB126" s="805"/>
      <c r="DC126" s="805"/>
      <c r="DD126" s="805"/>
      <c r="DE126" s="1033"/>
      <c r="DF126" s="1103"/>
      <c r="DG126" s="807"/>
      <c r="DH126" s="807"/>
      <c r="DI126" s="1059">
        <f>SUMPRODUCT((MOD(COLUMN(I126:DD126)-COLUMN(I126),4)=1)*I126:DD126)</f>
        <v>0</v>
      </c>
      <c r="DJ126" s="807"/>
      <c r="DK126" s="153"/>
      <c r="DL126" s="862"/>
      <c r="DM126" s="1104"/>
      <c r="DN126" s="178"/>
      <c r="DO126" s="694">
        <f t="shared" si="14"/>
        <v>0</v>
      </c>
      <c r="DP126" s="694">
        <f>DO126-Detailed[[#This Row],[Column66]]</f>
        <v>0</v>
      </c>
      <c r="DQ126" s="179"/>
      <c r="DR126" s="179"/>
      <c r="DS126" s="231"/>
      <c r="DT126" s="179"/>
      <c r="DU126" s="179"/>
      <c r="DV126" s="179"/>
      <c r="DW126" s="179"/>
      <c r="DX126" s="179"/>
      <c r="DY126" s="179"/>
      <c r="DZ126" s="179"/>
      <c r="EA126" s="179"/>
      <c r="EB126" s="179"/>
      <c r="EC126" s="179"/>
      <c r="ED126" s="179"/>
      <c r="EE126" s="179"/>
      <c r="EF126" s="179"/>
      <c r="EG126" s="179"/>
      <c r="EH126" s="179"/>
      <c r="EI126" s="179"/>
      <c r="EJ126" s="179"/>
      <c r="EK126" s="179"/>
      <c r="EL126" s="179"/>
      <c r="EM126" s="179"/>
      <c r="EN126" s="179"/>
      <c r="EO126" s="179"/>
      <c r="EP126" s="179"/>
      <c r="EQ126" s="179"/>
      <c r="ER126" s="179"/>
      <c r="ES126" s="179"/>
      <c r="ET126" s="179"/>
      <c r="EU126" s="179"/>
      <c r="EV126" s="179"/>
      <c r="EW126" s="179"/>
      <c r="EX126" s="179"/>
      <c r="EY126" s="179"/>
      <c r="EZ126" s="179"/>
      <c r="FA126" s="179"/>
      <c r="FB126" s="179"/>
      <c r="FC126" s="179"/>
      <c r="FD126" s="179"/>
      <c r="FE126" s="179"/>
      <c r="FF126" s="179"/>
      <c r="FG126" s="179"/>
      <c r="FH126" s="179"/>
      <c r="FI126" s="179"/>
      <c r="FJ126" s="179"/>
      <c r="FK126" s="179"/>
      <c r="FL126" s="179"/>
      <c r="FM126" s="179"/>
      <c r="FN126" s="179"/>
      <c r="FO126" s="179"/>
      <c r="FP126" s="179"/>
      <c r="FQ126" s="179"/>
      <c r="FR126" s="179"/>
      <c r="FS126" s="179"/>
      <c r="FT126" s="179"/>
      <c r="FU126" s="179"/>
      <c r="FV126" s="179"/>
      <c r="FW126" s="179"/>
      <c r="FX126" s="179"/>
      <c r="FY126" s="179"/>
      <c r="FZ126" s="179"/>
      <c r="GA126" s="179"/>
      <c r="GB126" s="179"/>
      <c r="GC126" s="179"/>
      <c r="GD126" s="179"/>
      <c r="GE126" s="179"/>
      <c r="GF126" s="179"/>
      <c r="GG126" s="179"/>
      <c r="GH126" s="179"/>
      <c r="GI126" s="179"/>
      <c r="GJ126" s="179"/>
      <c r="GK126" s="179"/>
      <c r="GL126" s="179"/>
      <c r="GM126" s="179"/>
      <c r="GN126" s="179"/>
      <c r="GO126" s="179"/>
      <c r="GP126" s="179"/>
      <c r="GQ126" s="179"/>
      <c r="GR126" s="179"/>
      <c r="GS126" s="179"/>
      <c r="GT126" s="179"/>
      <c r="GU126" s="179"/>
      <c r="GV126" s="179"/>
      <c r="GW126" s="179"/>
      <c r="GX126" s="179"/>
      <c r="GY126" s="179"/>
      <c r="GZ126" s="179"/>
      <c r="HA126" s="179"/>
      <c r="HB126" s="179"/>
      <c r="HC126" s="179"/>
      <c r="HD126" s="179"/>
      <c r="HE126" s="179"/>
      <c r="HF126" s="179"/>
      <c r="HG126" s="179"/>
      <c r="HH126" s="179"/>
      <c r="HI126" s="179"/>
      <c r="HJ126" s="179"/>
      <c r="HK126" s="179"/>
      <c r="HL126" s="179"/>
      <c r="HM126" s="179"/>
      <c r="HN126" s="179"/>
      <c r="HO126" s="179"/>
      <c r="HP126" s="179"/>
      <c r="HQ126" s="179"/>
      <c r="HR126" s="179"/>
      <c r="HS126" s="179"/>
      <c r="HT126" s="179"/>
      <c r="HU126" s="179"/>
      <c r="HV126" s="179"/>
      <c r="HW126" s="179"/>
      <c r="HX126" s="179"/>
      <c r="HY126" s="179"/>
      <c r="HZ126" s="179"/>
      <c r="IA126" s="179"/>
      <c r="IB126" s="179"/>
      <c r="IC126" s="179"/>
      <c r="ID126" s="179"/>
      <c r="IE126" s="179"/>
      <c r="IF126" s="179"/>
      <c r="IG126" s="179"/>
      <c r="IH126" s="179"/>
      <c r="II126" s="179"/>
      <c r="IJ126" s="179"/>
      <c r="IK126" s="179"/>
      <c r="IL126" s="179"/>
      <c r="IM126" s="179"/>
      <c r="IN126" s="179"/>
      <c r="IO126" s="179"/>
      <c r="IP126" s="179"/>
      <c r="IQ126" s="179"/>
      <c r="IR126" s="179"/>
      <c r="IS126" s="179"/>
      <c r="IT126" s="179"/>
      <c r="IU126" s="179"/>
      <c r="IV126" s="179"/>
      <c r="IW126" s="179"/>
      <c r="IX126" s="179"/>
      <c r="IY126" s="179"/>
      <c r="IZ126" s="179"/>
      <c r="JA126" s="179"/>
      <c r="JB126" s="179"/>
      <c r="JC126" s="179"/>
      <c r="JD126" s="179"/>
      <c r="JE126" s="179"/>
      <c r="JF126" s="179"/>
      <c r="JG126" s="179"/>
      <c r="JH126" s="179"/>
      <c r="JI126" s="179"/>
    </row>
    <row r="127" spans="1:269" ht="16.2" thickTop="1">
      <c r="A127" s="808" t="s">
        <v>368</v>
      </c>
      <c r="B127" s="777"/>
      <c r="C127" s="778"/>
      <c r="D127" s="779"/>
      <c r="E127" s="779"/>
      <c r="F127" s="780"/>
      <c r="G127" s="781"/>
      <c r="H127" s="782"/>
      <c r="I127" s="783"/>
      <c r="J127" s="784"/>
      <c r="K127" s="784"/>
      <c r="L127" s="785"/>
      <c r="M127" s="786"/>
      <c r="N127" s="787"/>
      <c r="O127" s="787"/>
      <c r="P127" s="788"/>
      <c r="Q127" s="789"/>
      <c r="R127" s="790"/>
      <c r="S127" s="790"/>
      <c r="T127" s="791"/>
      <c r="U127" s="792"/>
      <c r="V127" s="791"/>
      <c r="W127" s="791"/>
      <c r="X127" s="788"/>
      <c r="Y127" s="792"/>
      <c r="Z127" s="791"/>
      <c r="AA127" s="791"/>
      <c r="AB127" s="788"/>
      <c r="AC127" s="792"/>
      <c r="AD127" s="791"/>
      <c r="AE127" s="791"/>
      <c r="AF127" s="788"/>
      <c r="AG127" s="792"/>
      <c r="AH127" s="784"/>
      <c r="AI127" s="784"/>
      <c r="AJ127" s="788"/>
      <c r="AK127" s="786"/>
      <c r="AL127" s="787"/>
      <c r="AM127" s="787"/>
      <c r="AN127" s="793"/>
      <c r="AO127" s="794"/>
      <c r="AP127" s="795"/>
      <c r="AQ127" s="795"/>
      <c r="AR127" s="796"/>
      <c r="AS127" s="794"/>
      <c r="AT127" s="795"/>
      <c r="AU127" s="795"/>
      <c r="AV127" s="796"/>
      <c r="AW127" s="794"/>
      <c r="AX127" s="795"/>
      <c r="AY127" s="795"/>
      <c r="AZ127" s="796"/>
      <c r="BA127" s="794"/>
      <c r="BB127" s="795"/>
      <c r="BC127" s="795"/>
      <c r="BD127" s="796"/>
      <c r="BE127" s="794"/>
      <c r="BF127" s="795"/>
      <c r="BG127" s="795"/>
      <c r="BH127" s="796"/>
      <c r="BI127" s="794"/>
      <c r="BJ127" s="795"/>
      <c r="BK127" s="795"/>
      <c r="BL127" s="797"/>
      <c r="BM127" s="794"/>
      <c r="BN127" s="795"/>
      <c r="BO127" s="795"/>
      <c r="BP127" s="797"/>
      <c r="BQ127" s="798"/>
      <c r="BR127" s="799"/>
      <c r="BS127" s="799"/>
      <c r="BT127" s="800"/>
      <c r="BU127" s="801"/>
      <c r="BV127" s="802"/>
      <c r="BW127" s="803"/>
      <c r="BX127" s="804"/>
      <c r="BY127" s="798"/>
      <c r="BZ127" s="799"/>
      <c r="CA127" s="799"/>
      <c r="CB127" s="800"/>
      <c r="CC127" s="247"/>
      <c r="CD127" s="351"/>
      <c r="CE127" s="351"/>
      <c r="CF127" s="245"/>
      <c r="CG127" s="356"/>
      <c r="CH127" s="351"/>
      <c r="CI127" s="356"/>
      <c r="CJ127" s="246"/>
      <c r="CK127" s="805"/>
      <c r="CL127" s="806"/>
      <c r="CM127" s="805"/>
      <c r="CN127" s="805"/>
      <c r="CO127" s="805"/>
      <c r="CP127" s="805"/>
      <c r="CQ127" s="805"/>
      <c r="CR127" s="805"/>
      <c r="CS127" s="805"/>
      <c r="CT127" s="805"/>
      <c r="CU127" s="805"/>
      <c r="CV127" s="805"/>
      <c r="CW127" s="805"/>
      <c r="CX127" s="805"/>
      <c r="CY127" s="805"/>
      <c r="CZ127" s="805"/>
      <c r="DA127" s="805"/>
      <c r="DB127" s="805"/>
      <c r="DC127" s="805"/>
      <c r="DD127" s="805"/>
      <c r="DE127" s="1033"/>
      <c r="DF127" s="1103"/>
      <c r="DG127" s="807"/>
      <c r="DH127" s="807"/>
      <c r="DI127" s="1059">
        <f>SUMPRODUCT((MOD(COLUMN(I127:DD127)-COLUMN(I127),4)=1)*I127:DD127)</f>
        <v>0</v>
      </c>
      <c r="DJ127" s="807"/>
      <c r="DK127" s="153"/>
      <c r="DL127" s="862"/>
      <c r="DM127" s="1104"/>
      <c r="DN127" s="178"/>
      <c r="DO127" s="694">
        <f t="shared" si="14"/>
        <v>0</v>
      </c>
      <c r="DP127" s="694">
        <f>DO127-Detailed[[#This Row],[Column66]]</f>
        <v>0</v>
      </c>
      <c r="DQ127" s="179"/>
      <c r="DR127" s="179"/>
      <c r="DS127" s="231"/>
      <c r="DT127" s="179"/>
      <c r="DU127" s="179"/>
      <c r="DV127" s="179"/>
      <c r="DW127" s="179"/>
      <c r="DX127" s="179"/>
      <c r="DY127" s="179"/>
      <c r="DZ127" s="179"/>
      <c r="EA127" s="179"/>
      <c r="EB127" s="179"/>
      <c r="EC127" s="179"/>
      <c r="ED127" s="179"/>
      <c r="EE127" s="179"/>
      <c r="EF127" s="179"/>
      <c r="EG127" s="179"/>
      <c r="EH127" s="179"/>
      <c r="EI127" s="179"/>
      <c r="EJ127" s="179"/>
      <c r="EK127" s="179"/>
      <c r="EL127" s="179"/>
      <c r="EM127" s="179"/>
      <c r="EN127" s="179"/>
      <c r="EO127" s="179"/>
      <c r="EP127" s="179"/>
      <c r="EQ127" s="179"/>
      <c r="ER127" s="179"/>
      <c r="ES127" s="179"/>
      <c r="ET127" s="179"/>
      <c r="EU127" s="179"/>
      <c r="EV127" s="179"/>
      <c r="EW127" s="179"/>
      <c r="EX127" s="179"/>
      <c r="EY127" s="179"/>
      <c r="EZ127" s="179"/>
      <c r="FA127" s="179"/>
      <c r="FB127" s="179"/>
      <c r="FC127" s="179"/>
      <c r="FD127" s="179"/>
      <c r="FE127" s="179"/>
      <c r="FF127" s="179"/>
      <c r="FG127" s="179"/>
      <c r="FH127" s="179"/>
      <c r="FI127" s="179"/>
      <c r="FJ127" s="179"/>
      <c r="FK127" s="179"/>
      <c r="FL127" s="179"/>
      <c r="FM127" s="179"/>
      <c r="FN127" s="179"/>
      <c r="FO127" s="179"/>
      <c r="FP127" s="179"/>
      <c r="FQ127" s="179"/>
      <c r="FR127" s="179"/>
      <c r="FS127" s="179"/>
      <c r="FT127" s="179"/>
      <c r="FU127" s="179"/>
      <c r="FV127" s="179"/>
      <c r="FW127" s="179"/>
      <c r="FX127" s="179"/>
      <c r="FY127" s="179"/>
      <c r="FZ127" s="179"/>
      <c r="GA127" s="179"/>
      <c r="GB127" s="179"/>
      <c r="GC127" s="179"/>
      <c r="GD127" s="179"/>
      <c r="GE127" s="179"/>
      <c r="GF127" s="179"/>
      <c r="GG127" s="179"/>
      <c r="GH127" s="179"/>
      <c r="GI127" s="179"/>
      <c r="GJ127" s="179"/>
      <c r="GK127" s="179"/>
      <c r="GL127" s="179"/>
      <c r="GM127" s="179"/>
      <c r="GN127" s="179"/>
      <c r="GO127" s="179"/>
      <c r="GP127" s="179"/>
      <c r="GQ127" s="179"/>
      <c r="GR127" s="179"/>
      <c r="GS127" s="179"/>
      <c r="GT127" s="179"/>
      <c r="GU127" s="179"/>
      <c r="GV127" s="179"/>
      <c r="GW127" s="179"/>
      <c r="GX127" s="179"/>
      <c r="GY127" s="179"/>
      <c r="GZ127" s="179"/>
      <c r="HA127" s="179"/>
      <c r="HB127" s="179"/>
      <c r="HC127" s="179"/>
      <c r="HD127" s="179"/>
      <c r="HE127" s="179"/>
      <c r="HF127" s="179"/>
      <c r="HG127" s="179"/>
      <c r="HH127" s="179"/>
      <c r="HI127" s="179"/>
      <c r="HJ127" s="179"/>
      <c r="HK127" s="179"/>
      <c r="HL127" s="179"/>
      <c r="HM127" s="179"/>
      <c r="HN127" s="179"/>
      <c r="HO127" s="179"/>
      <c r="HP127" s="179"/>
      <c r="HQ127" s="179"/>
      <c r="HR127" s="179"/>
      <c r="HS127" s="179"/>
      <c r="HT127" s="179"/>
      <c r="HU127" s="179"/>
      <c r="HV127" s="179"/>
      <c r="HW127" s="179"/>
      <c r="HX127" s="179"/>
      <c r="HY127" s="179"/>
      <c r="HZ127" s="179"/>
      <c r="IA127" s="179"/>
      <c r="IB127" s="179"/>
      <c r="IC127" s="179"/>
      <c r="ID127" s="179"/>
      <c r="IE127" s="179"/>
      <c r="IF127" s="179"/>
      <c r="IG127" s="179"/>
      <c r="IH127" s="179"/>
      <c r="II127" s="179"/>
      <c r="IJ127" s="179"/>
      <c r="IK127" s="179"/>
      <c r="IL127" s="179"/>
      <c r="IM127" s="179"/>
      <c r="IN127" s="179"/>
      <c r="IO127" s="179"/>
      <c r="IP127" s="179"/>
      <c r="IQ127" s="179"/>
      <c r="IR127" s="179"/>
      <c r="IS127" s="179"/>
      <c r="IT127" s="179"/>
      <c r="IU127" s="179"/>
      <c r="IV127" s="179"/>
      <c r="IW127" s="179"/>
      <c r="IX127" s="179"/>
      <c r="IY127" s="179"/>
      <c r="IZ127" s="179"/>
      <c r="JA127" s="179"/>
      <c r="JB127" s="179"/>
      <c r="JC127" s="179"/>
      <c r="JD127" s="179"/>
      <c r="JE127" s="179"/>
      <c r="JF127" s="179"/>
      <c r="JG127" s="179"/>
      <c r="JH127" s="179"/>
      <c r="JI127" s="179"/>
    </row>
    <row r="128" spans="1:269" ht="16.2" thickBot="1">
      <c r="A128" s="776"/>
      <c r="B128" s="777"/>
      <c r="C128" s="778"/>
      <c r="D128" s="779"/>
      <c r="E128" s="779"/>
      <c r="F128" s="780"/>
      <c r="G128" s="781"/>
      <c r="H128" s="782"/>
      <c r="I128" s="783"/>
      <c r="J128" s="784"/>
      <c r="K128" s="784"/>
      <c r="L128" s="785"/>
      <c r="M128" s="786"/>
      <c r="N128" s="787"/>
      <c r="O128" s="787"/>
      <c r="P128" s="788"/>
      <c r="Q128" s="789"/>
      <c r="R128" s="790"/>
      <c r="S128" s="790"/>
      <c r="T128" s="791"/>
      <c r="U128" s="792"/>
      <c r="V128" s="791"/>
      <c r="W128" s="791"/>
      <c r="X128" s="788"/>
      <c r="Y128" s="792"/>
      <c r="Z128" s="791"/>
      <c r="AA128" s="791"/>
      <c r="AB128" s="788"/>
      <c r="AC128" s="792"/>
      <c r="AD128" s="791"/>
      <c r="AE128" s="791"/>
      <c r="AF128" s="788"/>
      <c r="AG128" s="792"/>
      <c r="AH128" s="784"/>
      <c r="AI128" s="784"/>
      <c r="AJ128" s="788"/>
      <c r="AK128" s="786"/>
      <c r="AL128" s="787"/>
      <c r="AM128" s="787"/>
      <c r="AN128" s="793"/>
      <c r="AO128" s="794"/>
      <c r="AP128" s="795"/>
      <c r="AQ128" s="795"/>
      <c r="AR128" s="796"/>
      <c r="AS128" s="794"/>
      <c r="AT128" s="795"/>
      <c r="AU128" s="795"/>
      <c r="AV128" s="796"/>
      <c r="AW128" s="794"/>
      <c r="AX128" s="795"/>
      <c r="AY128" s="795"/>
      <c r="AZ128" s="796"/>
      <c r="BA128" s="794"/>
      <c r="BB128" s="795"/>
      <c r="BC128" s="795"/>
      <c r="BD128" s="796"/>
      <c r="BE128" s="794"/>
      <c r="BF128" s="795"/>
      <c r="BG128" s="795"/>
      <c r="BH128" s="796"/>
      <c r="BI128" s="794"/>
      <c r="BJ128" s="795"/>
      <c r="BK128" s="795"/>
      <c r="BL128" s="797"/>
      <c r="BM128" s="794"/>
      <c r="BN128" s="795"/>
      <c r="BO128" s="795"/>
      <c r="BP128" s="797"/>
      <c r="BQ128" s="798"/>
      <c r="BR128" s="799"/>
      <c r="BS128" s="799"/>
      <c r="BT128" s="800"/>
      <c r="BU128" s="801"/>
      <c r="BV128" s="802"/>
      <c r="BW128" s="803"/>
      <c r="BX128" s="804"/>
      <c r="BY128" s="798"/>
      <c r="BZ128" s="799"/>
      <c r="CA128" s="799"/>
      <c r="CB128" s="800"/>
      <c r="CC128" s="247"/>
      <c r="CD128" s="351"/>
      <c r="CE128" s="351"/>
      <c r="CF128" s="245"/>
      <c r="CG128" s="356"/>
      <c r="CH128" s="351"/>
      <c r="CI128" s="356"/>
      <c r="CJ128" s="246"/>
      <c r="CK128" s="805"/>
      <c r="CL128" s="806"/>
      <c r="CM128" s="805"/>
      <c r="CN128" s="805"/>
      <c r="CO128" s="805"/>
      <c r="CP128" s="805"/>
      <c r="CQ128" s="805"/>
      <c r="CR128" s="805"/>
      <c r="CS128" s="805"/>
      <c r="CT128" s="805"/>
      <c r="CU128" s="805"/>
      <c r="CV128" s="805"/>
      <c r="CW128" s="805"/>
      <c r="CX128" s="805"/>
      <c r="CY128" s="805"/>
      <c r="CZ128" s="805"/>
      <c r="DA128" s="805"/>
      <c r="DB128" s="805"/>
      <c r="DC128" s="805"/>
      <c r="DD128" s="805"/>
      <c r="DE128" s="1033"/>
      <c r="DF128" s="1103"/>
      <c r="DG128" s="807"/>
      <c r="DH128" s="807"/>
      <c r="DI128" s="807"/>
      <c r="DJ128" s="807"/>
      <c r="DK128" s="153"/>
      <c r="DL128" s="862"/>
      <c r="DM128" s="1104"/>
      <c r="DN128" s="178"/>
      <c r="DO128" s="694">
        <f t="shared" ref="DO128:DO145" si="22">SUMPRODUCT((MOD(COLUMN(I128:DD128)-COLUMN(I128),4)=1)*I128:DD128)</f>
        <v>0</v>
      </c>
      <c r="DP128" s="694">
        <f>DO128-Detailed[[#This Row],[Column66]]</f>
        <v>0</v>
      </c>
      <c r="DQ128" s="179"/>
      <c r="DR128" s="179"/>
      <c r="DS128" s="231"/>
      <c r="DT128" s="179"/>
      <c r="DU128" s="179"/>
      <c r="DV128" s="179"/>
      <c r="DW128" s="179"/>
      <c r="DX128" s="179"/>
      <c r="DY128" s="179"/>
      <c r="DZ128" s="179"/>
      <c r="EA128" s="179"/>
      <c r="EB128" s="179"/>
      <c r="EC128" s="179"/>
      <c r="ED128" s="179"/>
      <c r="EE128" s="179"/>
      <c r="EF128" s="179"/>
      <c r="EG128" s="179"/>
      <c r="EH128" s="179"/>
      <c r="EI128" s="179"/>
      <c r="EJ128" s="179"/>
      <c r="EK128" s="179"/>
      <c r="EL128" s="179"/>
      <c r="EM128" s="179"/>
      <c r="EN128" s="179"/>
      <c r="EO128" s="179"/>
      <c r="EP128" s="179"/>
      <c r="EQ128" s="179"/>
      <c r="ER128" s="179"/>
      <c r="ES128" s="179"/>
      <c r="ET128" s="179"/>
      <c r="EU128" s="179"/>
      <c r="EV128" s="179"/>
      <c r="EW128" s="179"/>
      <c r="EX128" s="179"/>
      <c r="EY128" s="179"/>
      <c r="EZ128" s="179"/>
      <c r="FA128" s="179"/>
      <c r="FB128" s="179"/>
      <c r="FC128" s="179"/>
      <c r="FD128" s="179"/>
      <c r="FE128" s="179"/>
      <c r="FF128" s="179"/>
      <c r="FG128" s="179"/>
      <c r="FH128" s="179"/>
      <c r="FI128" s="179"/>
      <c r="FJ128" s="179"/>
      <c r="FK128" s="179"/>
      <c r="FL128" s="179"/>
      <c r="FM128" s="179"/>
      <c r="FN128" s="179"/>
      <c r="FO128" s="179"/>
      <c r="FP128" s="179"/>
      <c r="FQ128" s="179"/>
      <c r="FR128" s="179"/>
      <c r="FS128" s="179"/>
      <c r="FT128" s="179"/>
      <c r="FU128" s="179"/>
      <c r="FV128" s="179"/>
      <c r="FW128" s="179"/>
      <c r="FX128" s="179"/>
      <c r="FY128" s="179"/>
      <c r="FZ128" s="179"/>
      <c r="GA128" s="179"/>
      <c r="GB128" s="179"/>
      <c r="GC128" s="179"/>
      <c r="GD128" s="179"/>
      <c r="GE128" s="179"/>
      <c r="GF128" s="179"/>
      <c r="GG128" s="179"/>
      <c r="GH128" s="179"/>
      <c r="GI128" s="179"/>
      <c r="GJ128" s="179"/>
      <c r="GK128" s="179"/>
      <c r="GL128" s="179"/>
      <c r="GM128" s="179"/>
      <c r="GN128" s="179"/>
      <c r="GO128" s="179"/>
      <c r="GP128" s="179"/>
      <c r="GQ128" s="179"/>
      <c r="GR128" s="179"/>
      <c r="GS128" s="179"/>
      <c r="GT128" s="179"/>
      <c r="GU128" s="179"/>
      <c r="GV128" s="179"/>
      <c r="GW128" s="179"/>
      <c r="GX128" s="179"/>
      <c r="GY128" s="179"/>
      <c r="GZ128" s="179"/>
      <c r="HA128" s="179"/>
      <c r="HB128" s="179"/>
      <c r="HC128" s="179"/>
      <c r="HD128" s="179"/>
      <c r="HE128" s="179"/>
      <c r="HF128" s="179"/>
      <c r="HG128" s="179"/>
      <c r="HH128" s="179"/>
      <c r="HI128" s="179"/>
      <c r="HJ128" s="179"/>
      <c r="HK128" s="179"/>
      <c r="HL128" s="179"/>
      <c r="HM128" s="179"/>
      <c r="HN128" s="179"/>
      <c r="HO128" s="179"/>
      <c r="HP128" s="179"/>
      <c r="HQ128" s="179"/>
      <c r="HR128" s="179"/>
      <c r="HS128" s="179"/>
      <c r="HT128" s="179"/>
      <c r="HU128" s="179"/>
      <c r="HV128" s="179"/>
      <c r="HW128" s="179"/>
      <c r="HX128" s="179"/>
      <c r="HY128" s="179"/>
      <c r="HZ128" s="179"/>
      <c r="IA128" s="179"/>
      <c r="IB128" s="179"/>
      <c r="IC128" s="179"/>
      <c r="ID128" s="179"/>
      <c r="IE128" s="179"/>
      <c r="IF128" s="179"/>
      <c r="IG128" s="179"/>
      <c r="IH128" s="179"/>
      <c r="II128" s="179"/>
      <c r="IJ128" s="179"/>
      <c r="IK128" s="179"/>
      <c r="IL128" s="179"/>
      <c r="IM128" s="179"/>
      <c r="IN128" s="179"/>
      <c r="IO128" s="179"/>
      <c r="IP128" s="179"/>
      <c r="IQ128" s="179"/>
      <c r="IR128" s="179"/>
      <c r="IS128" s="179"/>
      <c r="IT128" s="179"/>
      <c r="IU128" s="179"/>
      <c r="IV128" s="179"/>
      <c r="IW128" s="179"/>
      <c r="IX128" s="179"/>
      <c r="IY128" s="179"/>
      <c r="IZ128" s="179"/>
      <c r="JA128" s="179"/>
      <c r="JB128" s="179"/>
      <c r="JC128" s="179"/>
      <c r="JD128" s="179"/>
      <c r="JE128" s="179"/>
      <c r="JF128" s="179"/>
      <c r="JG128" s="179"/>
      <c r="JH128" s="179"/>
      <c r="JI128" s="179"/>
    </row>
    <row r="129" spans="1:269" ht="16.2" thickBot="1">
      <c r="A129" s="809"/>
      <c r="B129" s="810"/>
      <c r="C129" s="811"/>
      <c r="D129" s="812"/>
      <c r="E129" s="812"/>
      <c r="F129" s="813"/>
      <c r="G129" s="814"/>
      <c r="H129" s="831"/>
      <c r="I129" s="832"/>
      <c r="J129" s="345">
        <f>SUM(J124:J128)</f>
        <v>960349</v>
      </c>
      <c r="K129" s="833"/>
      <c r="L129" s="345">
        <f>SUM(L124:L128)</f>
        <v>1104401.3500000001</v>
      </c>
      <c r="M129" s="834"/>
      <c r="N129" s="345">
        <f>SUM(N124:N128)</f>
        <v>960349</v>
      </c>
      <c r="O129" s="835"/>
      <c r="P129" s="345">
        <f>SUM(P124:P128)</f>
        <v>1104401.3500000001</v>
      </c>
      <c r="Q129" s="837"/>
      <c r="R129" s="320">
        <f>SUM(R124:R128)</f>
        <v>288080.84999999998</v>
      </c>
      <c r="S129" s="838"/>
      <c r="T129" s="320">
        <f>SUM(T124:T128)</f>
        <v>331292.97749999998</v>
      </c>
      <c r="U129" s="840"/>
      <c r="V129" s="839">
        <f>V125</f>
        <v>2784853.1</v>
      </c>
      <c r="W129" s="839"/>
      <c r="X129" s="836">
        <f>X125</f>
        <v>3202581.0649999999</v>
      </c>
      <c r="Y129" s="840"/>
      <c r="Z129" s="839"/>
      <c r="AA129" s="839"/>
      <c r="AB129" s="836"/>
      <c r="AC129" s="840"/>
      <c r="AD129" s="839"/>
      <c r="AE129" s="839"/>
      <c r="AF129" s="836"/>
      <c r="AG129" s="840"/>
      <c r="AH129" s="833"/>
      <c r="AI129" s="833"/>
      <c r="AJ129" s="836"/>
      <c r="AK129" s="834"/>
      <c r="AL129" s="835"/>
      <c r="AM129" s="835"/>
      <c r="AN129" s="841"/>
      <c r="AO129" s="842"/>
      <c r="AP129" s="843"/>
      <c r="AQ129" s="843"/>
      <c r="AR129" s="844"/>
      <c r="AS129" s="842"/>
      <c r="AT129" s="843"/>
      <c r="AU129" s="843"/>
      <c r="AV129" s="844"/>
      <c r="AW129" s="842"/>
      <c r="AX129" s="843"/>
      <c r="AY129" s="843"/>
      <c r="AZ129" s="844"/>
      <c r="BA129" s="842"/>
      <c r="BB129" s="843"/>
      <c r="BC129" s="843"/>
      <c r="BD129" s="844"/>
      <c r="BE129" s="842"/>
      <c r="BF129" s="843"/>
      <c r="BG129" s="843"/>
      <c r="BH129" s="844"/>
      <c r="BI129" s="842"/>
      <c r="BJ129" s="843"/>
      <c r="BK129" s="843"/>
      <c r="BL129" s="845"/>
      <c r="BM129" s="842"/>
      <c r="BN129" s="843"/>
      <c r="BO129" s="843"/>
      <c r="BP129" s="845"/>
      <c r="BQ129" s="846"/>
      <c r="BR129" s="847"/>
      <c r="BS129" s="847"/>
      <c r="BT129" s="848"/>
      <c r="BU129" s="849"/>
      <c r="BV129" s="850"/>
      <c r="BW129" s="851"/>
      <c r="BX129" s="852"/>
      <c r="BY129" s="846"/>
      <c r="BZ129" s="847"/>
      <c r="CA129" s="847"/>
      <c r="CB129" s="848"/>
      <c r="CC129" s="853"/>
      <c r="CD129" s="854"/>
      <c r="CE129" s="854"/>
      <c r="CF129" s="855"/>
      <c r="CG129" s="856"/>
      <c r="CH129" s="854"/>
      <c r="CI129" s="856"/>
      <c r="CJ129" s="857"/>
      <c r="CK129" s="858"/>
      <c r="CL129" s="859"/>
      <c r="CM129" s="858"/>
      <c r="CN129" s="858"/>
      <c r="CO129" s="858"/>
      <c r="CP129" s="858"/>
      <c r="CQ129" s="858"/>
      <c r="CR129" s="858"/>
      <c r="CS129" s="858"/>
      <c r="CT129" s="858"/>
      <c r="CU129" s="858"/>
      <c r="CV129" s="858"/>
      <c r="CW129" s="858"/>
      <c r="CX129" s="858"/>
      <c r="CY129" s="858"/>
      <c r="CZ129" s="858"/>
      <c r="DA129" s="858"/>
      <c r="DB129" s="858"/>
      <c r="DC129" s="858"/>
      <c r="DD129" s="858"/>
      <c r="DE129" s="1036"/>
      <c r="DF129" s="1074">
        <f>SUM(DF125:DF127)</f>
        <v>19206662</v>
      </c>
      <c r="DG129" s="393">
        <f>SUM(DG125:DG127)</f>
        <v>2880999.3</v>
      </c>
      <c r="DH129" s="393">
        <f>SUM(DH125:DH127)</f>
        <v>22087661.300000001</v>
      </c>
      <c r="DI129" s="393">
        <f>SUM(DI125:DI127)</f>
        <v>4993631.95</v>
      </c>
      <c r="DJ129" s="393">
        <f>SUM(DJ125:DJ127)</f>
        <v>5742676.7424999997</v>
      </c>
      <c r="DK129" s="861"/>
      <c r="DL129" s="393">
        <f>SUM(DL125:DL127)</f>
        <v>5608345.3039999995</v>
      </c>
      <c r="DM129" s="1075">
        <f>SUM(DM125:DM127)</f>
        <v>614713.35399999935</v>
      </c>
      <c r="DN129" s="178"/>
      <c r="DO129" s="694">
        <f t="shared" si="22"/>
        <v>4993631.95</v>
      </c>
      <c r="DP129" s="694">
        <f>DO129-Detailed[[#This Row],[Column66]]</f>
        <v>0</v>
      </c>
      <c r="DQ129" s="179"/>
      <c r="DR129" s="179"/>
      <c r="DS129" s="231"/>
      <c r="DT129" s="179"/>
      <c r="DU129" s="179"/>
      <c r="DV129" s="179"/>
      <c r="DW129" s="179"/>
      <c r="DX129" s="179"/>
      <c r="DY129" s="179"/>
      <c r="DZ129" s="179"/>
      <c r="EA129" s="179"/>
      <c r="EB129" s="179"/>
      <c r="EC129" s="179"/>
      <c r="ED129" s="179"/>
      <c r="EE129" s="179"/>
      <c r="EF129" s="179"/>
      <c r="EG129" s="179"/>
      <c r="EH129" s="179"/>
      <c r="EI129" s="179"/>
      <c r="EJ129" s="179"/>
      <c r="EK129" s="179"/>
      <c r="EL129" s="179"/>
      <c r="EM129" s="179"/>
      <c r="EN129" s="179"/>
      <c r="EO129" s="179"/>
      <c r="EP129" s="179"/>
      <c r="EQ129" s="179"/>
      <c r="ER129" s="179"/>
      <c r="ES129" s="179"/>
      <c r="ET129" s="179"/>
      <c r="EU129" s="179"/>
      <c r="EV129" s="179"/>
      <c r="EW129" s="179"/>
      <c r="EX129" s="179"/>
      <c r="EY129" s="179"/>
      <c r="EZ129" s="179"/>
      <c r="FA129" s="179"/>
      <c r="FB129" s="179"/>
      <c r="FC129" s="179"/>
      <c r="FD129" s="179"/>
      <c r="FE129" s="179"/>
      <c r="FF129" s="179"/>
      <c r="FG129" s="179"/>
      <c r="FH129" s="179"/>
      <c r="FI129" s="179"/>
      <c r="FJ129" s="179"/>
      <c r="FK129" s="179"/>
      <c r="FL129" s="179"/>
      <c r="FM129" s="179"/>
      <c r="FN129" s="179"/>
      <c r="FO129" s="179"/>
      <c r="FP129" s="179"/>
      <c r="FQ129" s="179"/>
      <c r="FR129" s="179"/>
      <c r="FS129" s="179"/>
      <c r="FT129" s="179"/>
      <c r="FU129" s="179"/>
      <c r="FV129" s="179"/>
      <c r="FW129" s="179"/>
      <c r="FX129" s="179"/>
      <c r="FY129" s="179"/>
      <c r="FZ129" s="179"/>
      <c r="GA129" s="179"/>
      <c r="GB129" s="179"/>
      <c r="GC129" s="179"/>
      <c r="GD129" s="179"/>
      <c r="GE129" s="179"/>
      <c r="GF129" s="179"/>
      <c r="GG129" s="179"/>
      <c r="GH129" s="179"/>
      <c r="GI129" s="179"/>
      <c r="GJ129" s="179"/>
      <c r="GK129" s="179"/>
      <c r="GL129" s="179"/>
      <c r="GM129" s="179"/>
      <c r="GN129" s="179"/>
      <c r="GO129" s="179"/>
      <c r="GP129" s="179"/>
      <c r="GQ129" s="179"/>
      <c r="GR129" s="179"/>
      <c r="GS129" s="179"/>
      <c r="GT129" s="179"/>
      <c r="GU129" s="179"/>
      <c r="GV129" s="179"/>
      <c r="GW129" s="179"/>
      <c r="GX129" s="179"/>
      <c r="GY129" s="179"/>
      <c r="GZ129" s="179"/>
      <c r="HA129" s="179"/>
      <c r="HB129" s="179"/>
      <c r="HC129" s="179"/>
      <c r="HD129" s="179"/>
      <c r="HE129" s="179"/>
      <c r="HF129" s="179"/>
      <c r="HG129" s="179"/>
      <c r="HH129" s="179"/>
      <c r="HI129" s="179"/>
      <c r="HJ129" s="179"/>
      <c r="HK129" s="179"/>
      <c r="HL129" s="179"/>
      <c r="HM129" s="179"/>
      <c r="HN129" s="179"/>
      <c r="HO129" s="179"/>
      <c r="HP129" s="179"/>
      <c r="HQ129" s="179"/>
      <c r="HR129" s="179"/>
      <c r="HS129" s="179"/>
      <c r="HT129" s="179"/>
      <c r="HU129" s="179"/>
      <c r="HV129" s="179"/>
      <c r="HW129" s="179"/>
      <c r="HX129" s="179"/>
      <c r="HY129" s="179"/>
      <c r="HZ129" s="179"/>
      <c r="IA129" s="179"/>
      <c r="IB129" s="179"/>
      <c r="IC129" s="179"/>
      <c r="ID129" s="179"/>
      <c r="IE129" s="179"/>
      <c r="IF129" s="179"/>
      <c r="IG129" s="179"/>
      <c r="IH129" s="179"/>
      <c r="II129" s="179"/>
      <c r="IJ129" s="179"/>
      <c r="IK129" s="179"/>
      <c r="IL129" s="179"/>
      <c r="IM129" s="179"/>
      <c r="IN129" s="179"/>
      <c r="IO129" s="179"/>
      <c r="IP129" s="179"/>
      <c r="IQ129" s="179"/>
      <c r="IR129" s="179"/>
      <c r="IS129" s="179"/>
      <c r="IT129" s="179"/>
      <c r="IU129" s="179"/>
      <c r="IV129" s="179"/>
      <c r="IW129" s="179"/>
      <c r="IX129" s="179"/>
      <c r="IY129" s="179"/>
      <c r="IZ129" s="179"/>
      <c r="JA129" s="179"/>
      <c r="JB129" s="179"/>
      <c r="JC129" s="179"/>
      <c r="JD129" s="179"/>
      <c r="JE129" s="179"/>
      <c r="JF129" s="179"/>
      <c r="JG129" s="179"/>
      <c r="JH129" s="179"/>
      <c r="JI129" s="179"/>
    </row>
    <row r="130" spans="1:269" ht="16.8" thickTop="1" thickBot="1">
      <c r="A130" s="808" t="s">
        <v>369</v>
      </c>
      <c r="B130" s="130"/>
      <c r="C130" s="181"/>
      <c r="D130" s="180"/>
      <c r="E130" s="180"/>
      <c r="F130" s="497"/>
      <c r="G130" s="463" t="s">
        <v>372</v>
      </c>
      <c r="H130" s="98">
        <f>F19</f>
        <v>19955000</v>
      </c>
      <c r="I130" s="815"/>
      <c r="J130" s="816"/>
      <c r="K130" s="816"/>
      <c r="L130" s="817"/>
      <c r="M130" s="818"/>
      <c r="N130" s="819"/>
      <c r="O130" s="819"/>
      <c r="P130" s="820"/>
      <c r="Q130" s="821"/>
      <c r="R130" s="822"/>
      <c r="S130" s="822"/>
      <c r="T130" s="823"/>
      <c r="U130" s="824"/>
      <c r="V130" s="823"/>
      <c r="W130" s="823"/>
      <c r="X130" s="820"/>
      <c r="Y130" s="824"/>
      <c r="Z130" s="823"/>
      <c r="AA130" s="823"/>
      <c r="AB130" s="820"/>
      <c r="AC130" s="824"/>
      <c r="AD130" s="823"/>
      <c r="AE130" s="823"/>
      <c r="AF130" s="820"/>
      <c r="AG130" s="824"/>
      <c r="AH130" s="816"/>
      <c r="AI130" s="816"/>
      <c r="AJ130" s="820"/>
      <c r="AK130" s="818"/>
      <c r="AL130" s="819"/>
      <c r="AM130" s="819"/>
      <c r="AN130" s="825"/>
      <c r="AO130" s="826"/>
      <c r="AP130" s="827"/>
      <c r="AQ130" s="827"/>
      <c r="AR130" s="828"/>
      <c r="AS130" s="826"/>
      <c r="AT130" s="827"/>
      <c r="AU130" s="827"/>
      <c r="AV130" s="828"/>
      <c r="AW130" s="826"/>
      <c r="AX130" s="827"/>
      <c r="AY130" s="827"/>
      <c r="AZ130" s="828"/>
      <c r="BA130" s="826"/>
      <c r="BB130" s="827"/>
      <c r="BC130" s="827"/>
      <c r="BD130" s="828"/>
      <c r="BE130" s="826"/>
      <c r="BF130" s="827"/>
      <c r="BG130" s="827"/>
      <c r="BH130" s="828"/>
      <c r="BI130" s="826"/>
      <c r="BJ130" s="827"/>
      <c r="BK130" s="827"/>
      <c r="BL130" s="829"/>
      <c r="BM130" s="826"/>
      <c r="BN130" s="827"/>
      <c r="BO130" s="827"/>
      <c r="BP130" s="829"/>
      <c r="BQ130" s="798"/>
      <c r="BR130" s="799"/>
      <c r="BS130" s="799"/>
      <c r="BT130" s="800"/>
      <c r="BU130" s="801"/>
      <c r="BV130" s="802"/>
      <c r="BW130" s="803"/>
      <c r="BX130" s="830"/>
      <c r="BY130" s="798"/>
      <c r="BZ130" s="799"/>
      <c r="CA130" s="799"/>
      <c r="CB130" s="800"/>
      <c r="CC130" s="247"/>
      <c r="CD130" s="351"/>
      <c r="CE130" s="351"/>
      <c r="CF130" s="245"/>
      <c r="CG130" s="356"/>
      <c r="CH130" s="351"/>
      <c r="CI130" s="356"/>
      <c r="CJ130" s="246"/>
      <c r="CK130" s="805"/>
      <c r="CL130" s="806"/>
      <c r="CM130" s="805"/>
      <c r="CN130" s="805"/>
      <c r="CO130" s="805"/>
      <c r="CP130" s="805"/>
      <c r="CQ130" s="805"/>
      <c r="CR130" s="805"/>
      <c r="CS130" s="805"/>
      <c r="CT130" s="805"/>
      <c r="CU130" s="805"/>
      <c r="CV130" s="805"/>
      <c r="CW130" s="805"/>
      <c r="CX130" s="805"/>
      <c r="CY130" s="805"/>
      <c r="CZ130" s="805"/>
      <c r="DA130" s="805"/>
      <c r="DB130" s="805"/>
      <c r="DC130" s="805"/>
      <c r="DD130" s="805"/>
      <c r="DE130" s="1033"/>
      <c r="DF130" s="1103"/>
      <c r="DG130" s="807"/>
      <c r="DH130" s="807"/>
      <c r="DI130" s="1059">
        <f>SUMPRODUCT((MOD(COLUMN(I130:DD130)-COLUMN(I130),4)=1)*I130:DD130)</f>
        <v>0</v>
      </c>
      <c r="DJ130" s="807"/>
      <c r="DK130" s="183"/>
      <c r="DL130" s="863"/>
      <c r="DM130" s="1104"/>
      <c r="DN130" s="178"/>
      <c r="DO130" s="694">
        <f t="shared" si="22"/>
        <v>0</v>
      </c>
      <c r="DP130" s="694">
        <f>DO130-Detailed[[#This Row],[Column66]]</f>
        <v>0</v>
      </c>
      <c r="DQ130" s="179"/>
      <c r="DR130" s="179"/>
      <c r="DS130" s="231"/>
      <c r="DT130" s="179"/>
      <c r="DU130" s="179"/>
      <c r="DV130" s="179"/>
      <c r="DW130" s="179"/>
      <c r="DX130" s="179"/>
      <c r="DY130" s="179"/>
      <c r="DZ130" s="179"/>
      <c r="EA130" s="179"/>
      <c r="EB130" s="179"/>
      <c r="EC130" s="179"/>
      <c r="ED130" s="179"/>
      <c r="EE130" s="179"/>
      <c r="EF130" s="179"/>
      <c r="EG130" s="179"/>
      <c r="EH130" s="179"/>
      <c r="EI130" s="179"/>
      <c r="EJ130" s="179"/>
      <c r="EK130" s="179"/>
      <c r="EL130" s="179"/>
      <c r="EM130" s="179"/>
      <c r="EN130" s="179"/>
      <c r="EO130" s="179"/>
      <c r="EP130" s="179"/>
      <c r="EQ130" s="179"/>
      <c r="ER130" s="179"/>
      <c r="ES130" s="179"/>
      <c r="ET130" s="179"/>
      <c r="EU130" s="179"/>
      <c r="EV130" s="179"/>
      <c r="EW130" s="179"/>
      <c r="EX130" s="179"/>
      <c r="EY130" s="179"/>
      <c r="EZ130" s="179"/>
      <c r="FA130" s="179"/>
      <c r="FB130" s="179"/>
      <c r="FC130" s="179"/>
      <c r="FD130" s="179"/>
      <c r="FE130" s="179"/>
      <c r="FF130" s="179"/>
      <c r="FG130" s="179"/>
      <c r="FH130" s="179"/>
      <c r="FI130" s="179"/>
      <c r="FJ130" s="179"/>
      <c r="FK130" s="179"/>
      <c r="FL130" s="179"/>
      <c r="FM130" s="179"/>
      <c r="FN130" s="179"/>
      <c r="FO130" s="179"/>
      <c r="FP130" s="179"/>
      <c r="FQ130" s="179"/>
      <c r="FR130" s="179"/>
      <c r="FS130" s="179"/>
      <c r="FT130" s="179"/>
      <c r="FU130" s="179"/>
      <c r="FV130" s="179"/>
      <c r="FW130" s="179"/>
      <c r="FX130" s="179"/>
      <c r="FY130" s="179"/>
      <c r="FZ130" s="179"/>
      <c r="GA130" s="179"/>
      <c r="GB130" s="179"/>
      <c r="GC130" s="179"/>
      <c r="GD130" s="179"/>
      <c r="GE130" s="179"/>
      <c r="GF130" s="179"/>
      <c r="GG130" s="179"/>
      <c r="GH130" s="179"/>
      <c r="GI130" s="179"/>
      <c r="GJ130" s="179"/>
      <c r="GK130" s="179"/>
      <c r="GL130" s="179"/>
      <c r="GM130" s="179"/>
      <c r="GN130" s="179"/>
      <c r="GO130" s="179"/>
      <c r="GP130" s="179"/>
      <c r="GQ130" s="179"/>
      <c r="GR130" s="179"/>
      <c r="GS130" s="179"/>
      <c r="GT130" s="179"/>
      <c r="GU130" s="179"/>
      <c r="GV130" s="179"/>
      <c r="GW130" s="179"/>
      <c r="GX130" s="179"/>
      <c r="GY130" s="179"/>
      <c r="GZ130" s="179"/>
      <c r="HA130" s="179"/>
      <c r="HB130" s="179"/>
      <c r="HC130" s="179"/>
      <c r="HD130" s="179"/>
      <c r="HE130" s="179"/>
      <c r="HF130" s="179"/>
      <c r="HG130" s="179"/>
      <c r="HH130" s="179"/>
      <c r="HI130" s="179"/>
      <c r="HJ130" s="179"/>
      <c r="HK130" s="179"/>
      <c r="HL130" s="179"/>
      <c r="HM130" s="179"/>
      <c r="HN130" s="179"/>
      <c r="HO130" s="179"/>
      <c r="HP130" s="179"/>
      <c r="HQ130" s="179"/>
      <c r="HR130" s="179"/>
      <c r="HS130" s="179"/>
      <c r="HT130" s="179"/>
      <c r="HU130" s="179"/>
      <c r="HV130" s="179"/>
      <c r="HW130" s="179"/>
      <c r="HX130" s="179"/>
      <c r="HY130" s="179"/>
      <c r="HZ130" s="179"/>
      <c r="IA130" s="179"/>
      <c r="IB130" s="179"/>
      <c r="IC130" s="179"/>
      <c r="ID130" s="179"/>
      <c r="IE130" s="179"/>
      <c r="IF130" s="179"/>
      <c r="IG130" s="179"/>
      <c r="IH130" s="179"/>
      <c r="II130" s="179"/>
      <c r="IJ130" s="179"/>
      <c r="IK130" s="179"/>
      <c r="IL130" s="179"/>
      <c r="IM130" s="179"/>
      <c r="IN130" s="179"/>
      <c r="IO130" s="179"/>
      <c r="IP130" s="179"/>
      <c r="IQ130" s="179"/>
      <c r="IR130" s="179"/>
      <c r="IS130" s="179"/>
      <c r="IT130" s="179"/>
      <c r="IU130" s="179"/>
      <c r="IV130" s="179"/>
      <c r="IW130" s="179"/>
      <c r="IX130" s="179"/>
      <c r="IY130" s="179"/>
      <c r="IZ130" s="179"/>
      <c r="JA130" s="179"/>
      <c r="JB130" s="179"/>
      <c r="JC130" s="179"/>
      <c r="JD130" s="179"/>
      <c r="JE130" s="179"/>
      <c r="JF130" s="179"/>
      <c r="JG130" s="179"/>
      <c r="JH130" s="179"/>
      <c r="JI130" s="179"/>
    </row>
    <row r="131" spans="1:269" ht="16.8" thickTop="1" thickBot="1">
      <c r="A131" s="776" t="s">
        <v>369</v>
      </c>
      <c r="B131" s="777"/>
      <c r="C131" s="778"/>
      <c r="D131" s="779"/>
      <c r="E131" s="779"/>
      <c r="F131" s="780"/>
      <c r="G131" s="781"/>
      <c r="H131" s="782"/>
      <c r="I131" s="783"/>
      <c r="J131" s="784"/>
      <c r="K131" s="784"/>
      <c r="L131" s="785"/>
      <c r="M131" s="786"/>
      <c r="N131" s="787"/>
      <c r="O131" s="787"/>
      <c r="P131" s="788"/>
      <c r="Q131" s="789"/>
      <c r="R131" s="790"/>
      <c r="S131" s="790"/>
      <c r="T131" s="791"/>
      <c r="U131" s="792"/>
      <c r="V131" s="791"/>
      <c r="W131" s="791"/>
      <c r="X131" s="788"/>
      <c r="Y131" s="792"/>
      <c r="Z131" s="791"/>
      <c r="AA131" s="791"/>
      <c r="AB131" s="788"/>
      <c r="AC131" s="792"/>
      <c r="AD131" s="791"/>
      <c r="AE131" s="791"/>
      <c r="AF131" s="788"/>
      <c r="AG131" s="792"/>
      <c r="AH131" s="784"/>
      <c r="AI131" s="784"/>
      <c r="AJ131" s="788"/>
      <c r="AK131" s="786"/>
      <c r="AL131" s="787"/>
      <c r="AM131" s="787"/>
      <c r="AN131" s="793"/>
      <c r="AO131" s="794"/>
      <c r="AP131" s="795"/>
      <c r="AQ131" s="795"/>
      <c r="AR131" s="796"/>
      <c r="AS131" s="794"/>
      <c r="AT131" s="795"/>
      <c r="AU131" s="795"/>
      <c r="AV131" s="796"/>
      <c r="AW131" s="794"/>
      <c r="AX131" s="795"/>
      <c r="AY131" s="795"/>
      <c r="AZ131" s="796"/>
      <c r="BA131" s="794"/>
      <c r="BB131" s="795"/>
      <c r="BC131" s="795"/>
      <c r="BD131" s="796"/>
      <c r="BE131" s="794"/>
      <c r="BF131" s="795"/>
      <c r="BG131" s="795"/>
      <c r="BH131" s="796"/>
      <c r="BI131" s="794"/>
      <c r="BJ131" s="795"/>
      <c r="BK131" s="795"/>
      <c r="BL131" s="797"/>
      <c r="BM131" s="794"/>
      <c r="BN131" s="795"/>
      <c r="BO131" s="795"/>
      <c r="BP131" s="797"/>
      <c r="BQ131" s="798"/>
      <c r="BR131" s="799"/>
      <c r="BS131" s="799"/>
      <c r="BT131" s="800"/>
      <c r="BU131" s="801"/>
      <c r="BV131" s="802"/>
      <c r="BW131" s="803"/>
      <c r="BX131" s="804"/>
      <c r="BY131" s="798"/>
      <c r="BZ131" s="799"/>
      <c r="CA131" s="799"/>
      <c r="CB131" s="800"/>
      <c r="CC131" s="247"/>
      <c r="CD131" s="351"/>
      <c r="CE131" s="351"/>
      <c r="CF131" s="245"/>
      <c r="CG131" s="356"/>
      <c r="CH131" s="351"/>
      <c r="CI131" s="356"/>
      <c r="CJ131" s="246"/>
      <c r="CK131" s="805"/>
      <c r="CL131" s="806"/>
      <c r="CM131" s="805"/>
      <c r="CN131" s="805"/>
      <c r="CO131" s="805"/>
      <c r="CP131" s="805"/>
      <c r="CQ131" s="805"/>
      <c r="CR131" s="805"/>
      <c r="CS131" s="805"/>
      <c r="CT131" s="805"/>
      <c r="CU131" s="805"/>
      <c r="CV131" s="805"/>
      <c r="CW131" s="805"/>
      <c r="CX131" s="805"/>
      <c r="CY131" s="805"/>
      <c r="CZ131" s="805"/>
      <c r="DA131" s="805"/>
      <c r="DB131" s="805"/>
      <c r="DC131" s="805"/>
      <c r="DD131" s="805"/>
      <c r="DE131" s="1033"/>
      <c r="DF131" s="1103"/>
      <c r="DG131" s="807"/>
      <c r="DH131" s="807"/>
      <c r="DI131" s="1059">
        <f>SUMPRODUCT((MOD(COLUMN(I131:DD131)-COLUMN(I131),4)=1)*I131:DD131)</f>
        <v>0</v>
      </c>
      <c r="DJ131" s="807"/>
      <c r="DK131" s="153"/>
      <c r="DL131" s="862"/>
      <c r="DM131" s="1104"/>
      <c r="DN131" s="178"/>
      <c r="DO131" s="694">
        <f t="shared" si="22"/>
        <v>0</v>
      </c>
      <c r="DP131" s="694">
        <f>DO131-Detailed[[#This Row],[Column66]]</f>
        <v>0</v>
      </c>
      <c r="DQ131" s="179"/>
      <c r="DR131" s="179"/>
      <c r="DS131" s="231"/>
      <c r="DT131" s="179"/>
      <c r="DU131" s="179"/>
      <c r="DV131" s="179"/>
      <c r="DW131" s="179"/>
      <c r="DX131" s="179"/>
      <c r="DY131" s="179"/>
      <c r="DZ131" s="179"/>
      <c r="EA131" s="179"/>
      <c r="EB131" s="179"/>
      <c r="EC131" s="179"/>
      <c r="ED131" s="179"/>
      <c r="EE131" s="179"/>
      <c r="EF131" s="179"/>
      <c r="EG131" s="179"/>
      <c r="EH131" s="179"/>
      <c r="EI131" s="179"/>
      <c r="EJ131" s="179"/>
      <c r="EK131" s="179"/>
      <c r="EL131" s="179"/>
      <c r="EM131" s="179"/>
      <c r="EN131" s="179"/>
      <c r="EO131" s="179"/>
      <c r="EP131" s="179"/>
      <c r="EQ131" s="179"/>
      <c r="ER131" s="179"/>
      <c r="ES131" s="179"/>
      <c r="ET131" s="179"/>
      <c r="EU131" s="179"/>
      <c r="EV131" s="179"/>
      <c r="EW131" s="179"/>
      <c r="EX131" s="179"/>
      <c r="EY131" s="179"/>
      <c r="EZ131" s="179"/>
      <c r="FA131" s="179"/>
      <c r="FB131" s="179"/>
      <c r="FC131" s="179"/>
      <c r="FD131" s="179"/>
      <c r="FE131" s="179"/>
      <c r="FF131" s="179"/>
      <c r="FG131" s="179"/>
      <c r="FH131" s="179"/>
      <c r="FI131" s="179"/>
      <c r="FJ131" s="179"/>
      <c r="FK131" s="179"/>
      <c r="FL131" s="179"/>
      <c r="FM131" s="179"/>
      <c r="FN131" s="179"/>
      <c r="FO131" s="179"/>
      <c r="FP131" s="179"/>
      <c r="FQ131" s="179"/>
      <c r="FR131" s="179"/>
      <c r="FS131" s="179"/>
      <c r="FT131" s="179"/>
      <c r="FU131" s="179"/>
      <c r="FV131" s="179"/>
      <c r="FW131" s="179"/>
      <c r="FX131" s="179"/>
      <c r="FY131" s="179"/>
      <c r="FZ131" s="179"/>
      <c r="GA131" s="179"/>
      <c r="GB131" s="179"/>
      <c r="GC131" s="179"/>
      <c r="GD131" s="179"/>
      <c r="GE131" s="179"/>
      <c r="GF131" s="179"/>
      <c r="GG131" s="179"/>
      <c r="GH131" s="179"/>
      <c r="GI131" s="179"/>
      <c r="GJ131" s="179"/>
      <c r="GK131" s="179"/>
      <c r="GL131" s="179"/>
      <c r="GM131" s="179"/>
      <c r="GN131" s="179"/>
      <c r="GO131" s="179"/>
      <c r="GP131" s="179"/>
      <c r="GQ131" s="179"/>
      <c r="GR131" s="179"/>
      <c r="GS131" s="179"/>
      <c r="GT131" s="179"/>
      <c r="GU131" s="179"/>
      <c r="GV131" s="179"/>
      <c r="GW131" s="179"/>
      <c r="GX131" s="179"/>
      <c r="GY131" s="179"/>
      <c r="GZ131" s="179"/>
      <c r="HA131" s="179"/>
      <c r="HB131" s="179"/>
      <c r="HC131" s="179"/>
      <c r="HD131" s="179"/>
      <c r="HE131" s="179"/>
      <c r="HF131" s="179"/>
      <c r="HG131" s="179"/>
      <c r="HH131" s="179"/>
      <c r="HI131" s="179"/>
      <c r="HJ131" s="179"/>
      <c r="HK131" s="179"/>
      <c r="HL131" s="179"/>
      <c r="HM131" s="179"/>
      <c r="HN131" s="179"/>
      <c r="HO131" s="179"/>
      <c r="HP131" s="179"/>
      <c r="HQ131" s="179"/>
      <c r="HR131" s="179"/>
      <c r="HS131" s="179"/>
      <c r="HT131" s="179"/>
      <c r="HU131" s="179"/>
      <c r="HV131" s="179"/>
      <c r="HW131" s="179"/>
      <c r="HX131" s="179"/>
      <c r="HY131" s="179"/>
      <c r="HZ131" s="179"/>
      <c r="IA131" s="179"/>
      <c r="IB131" s="179"/>
      <c r="IC131" s="179"/>
      <c r="ID131" s="179"/>
      <c r="IE131" s="179"/>
      <c r="IF131" s="179"/>
      <c r="IG131" s="179"/>
      <c r="IH131" s="179"/>
      <c r="II131" s="179"/>
      <c r="IJ131" s="179"/>
      <c r="IK131" s="179"/>
      <c r="IL131" s="179"/>
      <c r="IM131" s="179"/>
      <c r="IN131" s="179"/>
      <c r="IO131" s="179"/>
      <c r="IP131" s="179"/>
      <c r="IQ131" s="179"/>
      <c r="IR131" s="179"/>
      <c r="IS131" s="179"/>
      <c r="IT131" s="179"/>
      <c r="IU131" s="179"/>
      <c r="IV131" s="179"/>
      <c r="IW131" s="179"/>
      <c r="IX131" s="179"/>
      <c r="IY131" s="179"/>
      <c r="IZ131" s="179"/>
      <c r="JA131" s="179"/>
      <c r="JB131" s="179"/>
      <c r="JC131" s="179"/>
      <c r="JD131" s="179"/>
      <c r="JE131" s="179"/>
      <c r="JF131" s="179"/>
      <c r="JG131" s="179"/>
      <c r="JH131" s="179"/>
      <c r="JI131" s="179"/>
    </row>
    <row r="132" spans="1:269" ht="16.2" thickTop="1">
      <c r="A132" s="776" t="s">
        <v>369</v>
      </c>
      <c r="B132" s="777"/>
      <c r="C132" s="778"/>
      <c r="D132" s="779"/>
      <c r="E132" s="779"/>
      <c r="F132" s="780"/>
      <c r="G132" s="781"/>
      <c r="H132" s="782"/>
      <c r="I132" s="783"/>
      <c r="J132" s="784"/>
      <c r="K132" s="784"/>
      <c r="L132" s="785"/>
      <c r="M132" s="786"/>
      <c r="N132" s="787"/>
      <c r="O132" s="787"/>
      <c r="P132" s="788"/>
      <c r="Q132" s="789"/>
      <c r="R132" s="790"/>
      <c r="S132" s="790"/>
      <c r="T132" s="791"/>
      <c r="U132" s="792"/>
      <c r="V132" s="791"/>
      <c r="W132" s="791"/>
      <c r="X132" s="788"/>
      <c r="Y132" s="792"/>
      <c r="Z132" s="791"/>
      <c r="AA132" s="791"/>
      <c r="AB132" s="788"/>
      <c r="AC132" s="792"/>
      <c r="AD132" s="791"/>
      <c r="AE132" s="791"/>
      <c r="AF132" s="788"/>
      <c r="AG132" s="792"/>
      <c r="AH132" s="784"/>
      <c r="AI132" s="784"/>
      <c r="AJ132" s="788"/>
      <c r="AK132" s="786"/>
      <c r="AL132" s="787"/>
      <c r="AM132" s="787"/>
      <c r="AN132" s="793"/>
      <c r="AO132" s="794"/>
      <c r="AP132" s="795"/>
      <c r="AQ132" s="795"/>
      <c r="AR132" s="796"/>
      <c r="AS132" s="794"/>
      <c r="AT132" s="795"/>
      <c r="AU132" s="795"/>
      <c r="AV132" s="796"/>
      <c r="AW132" s="794"/>
      <c r="AX132" s="795"/>
      <c r="AY132" s="795"/>
      <c r="AZ132" s="796"/>
      <c r="BA132" s="794"/>
      <c r="BB132" s="795"/>
      <c r="BC132" s="795"/>
      <c r="BD132" s="796"/>
      <c r="BE132" s="794"/>
      <c r="BF132" s="795"/>
      <c r="BG132" s="795"/>
      <c r="BH132" s="796"/>
      <c r="BI132" s="794"/>
      <c r="BJ132" s="795"/>
      <c r="BK132" s="795"/>
      <c r="BL132" s="797"/>
      <c r="BM132" s="794"/>
      <c r="BN132" s="795"/>
      <c r="BO132" s="795"/>
      <c r="BP132" s="797"/>
      <c r="BQ132" s="798"/>
      <c r="BR132" s="799"/>
      <c r="BS132" s="799"/>
      <c r="BT132" s="800"/>
      <c r="BU132" s="801"/>
      <c r="BV132" s="802"/>
      <c r="BW132" s="803"/>
      <c r="BX132" s="804"/>
      <c r="BY132" s="798"/>
      <c r="BZ132" s="799"/>
      <c r="CA132" s="799"/>
      <c r="CB132" s="800"/>
      <c r="CC132" s="247"/>
      <c r="CD132" s="351"/>
      <c r="CE132" s="351"/>
      <c r="CF132" s="245"/>
      <c r="CG132" s="356"/>
      <c r="CH132" s="351"/>
      <c r="CI132" s="356"/>
      <c r="CJ132" s="246"/>
      <c r="CK132" s="805"/>
      <c r="CL132" s="806"/>
      <c r="CM132" s="805"/>
      <c r="CN132" s="805"/>
      <c r="CO132" s="805"/>
      <c r="CP132" s="805"/>
      <c r="CQ132" s="805"/>
      <c r="CR132" s="805"/>
      <c r="CS132" s="805"/>
      <c r="CT132" s="805"/>
      <c r="CU132" s="805"/>
      <c r="CV132" s="805"/>
      <c r="CW132" s="805"/>
      <c r="CX132" s="805"/>
      <c r="CY132" s="805"/>
      <c r="CZ132" s="805"/>
      <c r="DA132" s="805"/>
      <c r="DB132" s="805"/>
      <c r="DC132" s="805"/>
      <c r="DD132" s="805"/>
      <c r="DE132" s="1033"/>
      <c r="DF132" s="1103"/>
      <c r="DG132" s="807"/>
      <c r="DH132" s="807"/>
      <c r="DI132" s="1059">
        <f>SUMPRODUCT((MOD(COLUMN(I132:DD132)-COLUMN(I132),4)=1)*I132:DD132)</f>
        <v>0</v>
      </c>
      <c r="DJ132" s="807"/>
      <c r="DK132" s="153"/>
      <c r="DL132" s="862"/>
      <c r="DM132" s="1104"/>
      <c r="DN132" s="178"/>
      <c r="DO132" s="694">
        <f t="shared" si="22"/>
        <v>0</v>
      </c>
      <c r="DP132" s="694">
        <f>DO132-Detailed[[#This Row],[Column66]]</f>
        <v>0</v>
      </c>
      <c r="DQ132" s="179"/>
      <c r="DR132" s="179"/>
      <c r="DS132" s="231"/>
      <c r="DT132" s="179"/>
      <c r="DU132" s="179"/>
      <c r="DV132" s="179"/>
      <c r="DW132" s="179"/>
      <c r="DX132" s="179"/>
      <c r="DY132" s="179"/>
      <c r="DZ132" s="179"/>
      <c r="EA132" s="179"/>
      <c r="EB132" s="179"/>
      <c r="EC132" s="179"/>
      <c r="ED132" s="179"/>
      <c r="EE132" s="179"/>
      <c r="EF132" s="179"/>
      <c r="EG132" s="179"/>
      <c r="EH132" s="179"/>
      <c r="EI132" s="179"/>
      <c r="EJ132" s="179"/>
      <c r="EK132" s="179"/>
      <c r="EL132" s="179"/>
      <c r="EM132" s="179"/>
      <c r="EN132" s="179"/>
      <c r="EO132" s="179"/>
      <c r="EP132" s="179"/>
      <c r="EQ132" s="179"/>
      <c r="ER132" s="179"/>
      <c r="ES132" s="179"/>
      <c r="ET132" s="179"/>
      <c r="EU132" s="179"/>
      <c r="EV132" s="179"/>
      <c r="EW132" s="179"/>
      <c r="EX132" s="179"/>
      <c r="EY132" s="179"/>
      <c r="EZ132" s="179"/>
      <c r="FA132" s="179"/>
      <c r="FB132" s="179"/>
      <c r="FC132" s="179"/>
      <c r="FD132" s="179"/>
      <c r="FE132" s="179"/>
      <c r="FF132" s="179"/>
      <c r="FG132" s="179"/>
      <c r="FH132" s="179"/>
      <c r="FI132" s="179"/>
      <c r="FJ132" s="179"/>
      <c r="FK132" s="179"/>
      <c r="FL132" s="179"/>
      <c r="FM132" s="179"/>
      <c r="FN132" s="179"/>
      <c r="FO132" s="179"/>
      <c r="FP132" s="179"/>
      <c r="FQ132" s="179"/>
      <c r="FR132" s="179"/>
      <c r="FS132" s="179"/>
      <c r="FT132" s="179"/>
      <c r="FU132" s="179"/>
      <c r="FV132" s="179"/>
      <c r="FW132" s="179"/>
      <c r="FX132" s="179"/>
      <c r="FY132" s="179"/>
      <c r="FZ132" s="179"/>
      <c r="GA132" s="179"/>
      <c r="GB132" s="179"/>
      <c r="GC132" s="179"/>
      <c r="GD132" s="179"/>
      <c r="GE132" s="179"/>
      <c r="GF132" s="179"/>
      <c r="GG132" s="179"/>
      <c r="GH132" s="179"/>
      <c r="GI132" s="179"/>
      <c r="GJ132" s="179"/>
      <c r="GK132" s="179"/>
      <c r="GL132" s="179"/>
      <c r="GM132" s="179"/>
      <c r="GN132" s="179"/>
      <c r="GO132" s="179"/>
      <c r="GP132" s="179"/>
      <c r="GQ132" s="179"/>
      <c r="GR132" s="179"/>
      <c r="GS132" s="179"/>
      <c r="GT132" s="179"/>
      <c r="GU132" s="179"/>
      <c r="GV132" s="179"/>
      <c r="GW132" s="179"/>
      <c r="GX132" s="179"/>
      <c r="GY132" s="179"/>
      <c r="GZ132" s="179"/>
      <c r="HA132" s="179"/>
      <c r="HB132" s="179"/>
      <c r="HC132" s="179"/>
      <c r="HD132" s="179"/>
      <c r="HE132" s="179"/>
      <c r="HF132" s="179"/>
      <c r="HG132" s="179"/>
      <c r="HH132" s="179"/>
      <c r="HI132" s="179"/>
      <c r="HJ132" s="179"/>
      <c r="HK132" s="179"/>
      <c r="HL132" s="179"/>
      <c r="HM132" s="179"/>
      <c r="HN132" s="179"/>
      <c r="HO132" s="179"/>
      <c r="HP132" s="179"/>
      <c r="HQ132" s="179"/>
      <c r="HR132" s="179"/>
      <c r="HS132" s="179"/>
      <c r="HT132" s="179"/>
      <c r="HU132" s="179"/>
      <c r="HV132" s="179"/>
      <c r="HW132" s="179"/>
      <c r="HX132" s="179"/>
      <c r="HY132" s="179"/>
      <c r="HZ132" s="179"/>
      <c r="IA132" s="179"/>
      <c r="IB132" s="179"/>
      <c r="IC132" s="179"/>
      <c r="ID132" s="179"/>
      <c r="IE132" s="179"/>
      <c r="IF132" s="179"/>
      <c r="IG132" s="179"/>
      <c r="IH132" s="179"/>
      <c r="II132" s="179"/>
      <c r="IJ132" s="179"/>
      <c r="IK132" s="179"/>
      <c r="IL132" s="179"/>
      <c r="IM132" s="179"/>
      <c r="IN132" s="179"/>
      <c r="IO132" s="179"/>
      <c r="IP132" s="179"/>
      <c r="IQ132" s="179"/>
      <c r="IR132" s="179"/>
      <c r="IS132" s="179"/>
      <c r="IT132" s="179"/>
      <c r="IU132" s="179"/>
      <c r="IV132" s="179"/>
      <c r="IW132" s="179"/>
      <c r="IX132" s="179"/>
      <c r="IY132" s="179"/>
      <c r="IZ132" s="179"/>
      <c r="JA132" s="179"/>
      <c r="JB132" s="179"/>
      <c r="JC132" s="179"/>
      <c r="JD132" s="179"/>
      <c r="JE132" s="179"/>
      <c r="JF132" s="179"/>
      <c r="JG132" s="179"/>
      <c r="JH132" s="179"/>
      <c r="JI132" s="179"/>
    </row>
    <row r="133" spans="1:269" ht="15.6">
      <c r="A133" s="776" t="s">
        <v>369</v>
      </c>
      <c r="B133" s="1022"/>
      <c r="C133" s="998"/>
      <c r="D133" s="999"/>
      <c r="E133" s="999"/>
      <c r="F133" s="1000"/>
      <c r="G133" s="1001"/>
      <c r="H133" s="1002"/>
      <c r="I133" s="1003"/>
      <c r="J133" s="1004"/>
      <c r="K133" s="1004"/>
      <c r="L133" s="1005"/>
      <c r="M133" s="1006"/>
      <c r="N133" s="1007"/>
      <c r="O133" s="1007"/>
      <c r="P133" s="1008"/>
      <c r="Q133" s="1009"/>
      <c r="R133" s="1010"/>
      <c r="S133" s="1010"/>
      <c r="T133" s="1011"/>
      <c r="U133" s="1012"/>
      <c r="V133" s="1011"/>
      <c r="W133" s="1011"/>
      <c r="X133" s="1008"/>
      <c r="Y133" s="1012"/>
      <c r="Z133" s="1011"/>
      <c r="AA133" s="1011"/>
      <c r="AB133" s="1008"/>
      <c r="AC133" s="1012"/>
      <c r="AD133" s="1011"/>
      <c r="AE133" s="1011"/>
      <c r="AF133" s="1008"/>
      <c r="AG133" s="1012"/>
      <c r="AH133" s="1004"/>
      <c r="AI133" s="1004"/>
      <c r="AJ133" s="1008"/>
      <c r="AK133" s="1006"/>
      <c r="AL133" s="1007"/>
      <c r="AM133" s="1007"/>
      <c r="AN133" s="1013"/>
      <c r="AO133" s="1014"/>
      <c r="AP133" s="1015"/>
      <c r="AQ133" s="1015"/>
      <c r="AR133" s="1016"/>
      <c r="AS133" s="1014"/>
      <c r="AT133" s="1015"/>
      <c r="AU133" s="1015"/>
      <c r="AV133" s="1016"/>
      <c r="AW133" s="1014"/>
      <c r="AX133" s="1015"/>
      <c r="AY133" s="1015"/>
      <c r="AZ133" s="1016"/>
      <c r="BA133" s="1014"/>
      <c r="BB133" s="1015"/>
      <c r="BC133" s="1015"/>
      <c r="BD133" s="1016"/>
      <c r="BE133" s="1014"/>
      <c r="BF133" s="1015"/>
      <c r="BG133" s="1015"/>
      <c r="BH133" s="1016"/>
      <c r="BI133" s="1014"/>
      <c r="BJ133" s="1015"/>
      <c r="BK133" s="1015"/>
      <c r="BL133" s="1017"/>
      <c r="BM133" s="1014"/>
      <c r="BN133" s="1015"/>
      <c r="BO133" s="1015"/>
      <c r="BP133" s="1017"/>
      <c r="BQ133" s="1018"/>
      <c r="BR133" s="1019"/>
      <c r="BS133" s="1019"/>
      <c r="BT133" s="1023"/>
      <c r="BU133" s="1024"/>
      <c r="BV133" s="1025"/>
      <c r="BW133" s="1026"/>
      <c r="BX133" s="1027"/>
      <c r="BY133" s="1018"/>
      <c r="BZ133" s="1019"/>
      <c r="CA133" s="1019"/>
      <c r="CB133" s="1023"/>
      <c r="CC133" s="247"/>
      <c r="CD133" s="351"/>
      <c r="CE133" s="351"/>
      <c r="CF133" s="245"/>
      <c r="CG133" s="356"/>
      <c r="CH133" s="351"/>
      <c r="CI133" s="356"/>
      <c r="CJ133" s="246"/>
      <c r="CK133" s="1028"/>
      <c r="CL133" s="1029"/>
      <c r="CM133" s="1028"/>
      <c r="CN133" s="1028"/>
      <c r="CO133" s="1028"/>
      <c r="CP133" s="1028"/>
      <c r="CQ133" s="1028"/>
      <c r="CR133" s="1028"/>
      <c r="CS133" s="1028"/>
      <c r="CT133" s="1028"/>
      <c r="CU133" s="1028"/>
      <c r="CV133" s="1028"/>
      <c r="CW133" s="1028"/>
      <c r="CX133" s="1028"/>
      <c r="CY133" s="1028"/>
      <c r="CZ133" s="1028"/>
      <c r="DA133" s="1028"/>
      <c r="DB133" s="1028"/>
      <c r="DC133" s="1028"/>
      <c r="DD133" s="1028"/>
      <c r="DE133" s="1033"/>
      <c r="DF133" s="1114"/>
      <c r="DG133" s="1020"/>
      <c r="DH133" s="1020"/>
      <c r="DI133" s="1020"/>
      <c r="DJ133" s="1020"/>
      <c r="DK133" s="153"/>
      <c r="DL133" s="862"/>
      <c r="DM133" s="1115"/>
      <c r="DN133" s="178"/>
      <c r="DO133" s="694">
        <f t="shared" si="22"/>
        <v>0</v>
      </c>
      <c r="DP133" s="694">
        <f>DO133-Detailed[[#This Row],[Column66]]</f>
        <v>0</v>
      </c>
      <c r="DQ133" s="179"/>
      <c r="DR133" s="179"/>
      <c r="DS133" s="231"/>
      <c r="DT133" s="179"/>
      <c r="DU133" s="179"/>
      <c r="DV133" s="179"/>
      <c r="DW133" s="179"/>
      <c r="DX133" s="179"/>
      <c r="DY133" s="179"/>
      <c r="DZ133" s="179"/>
      <c r="EA133" s="179"/>
      <c r="EB133" s="179"/>
      <c r="EC133" s="179"/>
      <c r="ED133" s="179"/>
      <c r="EE133" s="179"/>
      <c r="EF133" s="179"/>
      <c r="EG133" s="179"/>
      <c r="EH133" s="179"/>
      <c r="EI133" s="179"/>
      <c r="EJ133" s="179"/>
      <c r="EK133" s="179"/>
      <c r="EL133" s="179"/>
      <c r="EM133" s="179"/>
      <c r="EN133" s="179"/>
      <c r="EO133" s="179"/>
      <c r="EP133" s="179"/>
      <c r="EQ133" s="179"/>
      <c r="ER133" s="179"/>
      <c r="ES133" s="179"/>
      <c r="ET133" s="179"/>
      <c r="EU133" s="179"/>
      <c r="EV133" s="179"/>
      <c r="EW133" s="179"/>
      <c r="EX133" s="179"/>
      <c r="EY133" s="179"/>
      <c r="EZ133" s="179"/>
      <c r="FA133" s="179"/>
      <c r="FB133" s="179"/>
      <c r="FC133" s="179"/>
      <c r="FD133" s="179"/>
      <c r="FE133" s="179"/>
      <c r="FF133" s="179"/>
      <c r="FG133" s="179"/>
      <c r="FH133" s="179"/>
      <c r="FI133" s="179"/>
      <c r="FJ133" s="179"/>
      <c r="FK133" s="179"/>
      <c r="FL133" s="179"/>
      <c r="FM133" s="179"/>
      <c r="FN133" s="179"/>
      <c r="FO133" s="179"/>
      <c r="FP133" s="179"/>
      <c r="FQ133" s="179"/>
      <c r="FR133" s="179"/>
      <c r="FS133" s="179"/>
      <c r="FT133" s="179"/>
      <c r="FU133" s="179"/>
      <c r="FV133" s="179"/>
      <c r="FW133" s="179"/>
      <c r="FX133" s="179"/>
      <c r="FY133" s="179"/>
      <c r="FZ133" s="179"/>
      <c r="GA133" s="179"/>
      <c r="GB133" s="179"/>
      <c r="GC133" s="179"/>
      <c r="GD133" s="179"/>
      <c r="GE133" s="179"/>
      <c r="GF133" s="179"/>
      <c r="GG133" s="179"/>
      <c r="GH133" s="179"/>
      <c r="GI133" s="179"/>
      <c r="GJ133" s="179"/>
      <c r="GK133" s="179"/>
      <c r="GL133" s="179"/>
      <c r="GM133" s="179"/>
      <c r="GN133" s="179"/>
      <c r="GO133" s="179"/>
      <c r="GP133" s="179"/>
      <c r="GQ133" s="179"/>
      <c r="GR133" s="179"/>
      <c r="GS133" s="179"/>
      <c r="GT133" s="179"/>
      <c r="GU133" s="179"/>
      <c r="GV133" s="179"/>
      <c r="GW133" s="179"/>
      <c r="GX133" s="179"/>
      <c r="GY133" s="179"/>
      <c r="GZ133" s="179"/>
      <c r="HA133" s="179"/>
      <c r="HB133" s="179"/>
      <c r="HC133" s="179"/>
      <c r="HD133" s="179"/>
      <c r="HE133" s="179"/>
      <c r="HF133" s="179"/>
      <c r="HG133" s="179"/>
      <c r="HH133" s="179"/>
      <c r="HI133" s="179"/>
      <c r="HJ133" s="179"/>
      <c r="HK133" s="179"/>
      <c r="HL133" s="179"/>
      <c r="HM133" s="179"/>
      <c r="HN133" s="179"/>
      <c r="HO133" s="179"/>
      <c r="HP133" s="179"/>
      <c r="HQ133" s="179"/>
      <c r="HR133" s="179"/>
      <c r="HS133" s="179"/>
      <c r="HT133" s="179"/>
      <c r="HU133" s="179"/>
      <c r="HV133" s="179"/>
      <c r="HW133" s="179"/>
      <c r="HX133" s="179"/>
      <c r="HY133" s="179"/>
      <c r="HZ133" s="179"/>
      <c r="IA133" s="179"/>
      <c r="IB133" s="179"/>
      <c r="IC133" s="179"/>
      <c r="ID133" s="179"/>
      <c r="IE133" s="179"/>
      <c r="IF133" s="179"/>
      <c r="IG133" s="179"/>
      <c r="IH133" s="179"/>
      <c r="II133" s="179"/>
      <c r="IJ133" s="179"/>
      <c r="IK133" s="179"/>
      <c r="IL133" s="179"/>
      <c r="IM133" s="179"/>
      <c r="IN133" s="179"/>
      <c r="IO133" s="179"/>
      <c r="IP133" s="179"/>
      <c r="IQ133" s="179"/>
      <c r="IR133" s="179"/>
      <c r="IS133" s="179"/>
      <c r="IT133" s="179"/>
      <c r="IU133" s="179"/>
      <c r="IV133" s="179"/>
      <c r="IW133" s="179"/>
      <c r="IX133" s="179"/>
      <c r="IY133" s="179"/>
      <c r="IZ133" s="179"/>
      <c r="JA133" s="179"/>
      <c r="JB133" s="179"/>
      <c r="JC133" s="179"/>
      <c r="JD133" s="179"/>
      <c r="JE133" s="179"/>
      <c r="JF133" s="179"/>
      <c r="JG133" s="179"/>
      <c r="JH133" s="179"/>
      <c r="JI133" s="179"/>
    </row>
    <row r="134" spans="1:269" ht="15.6">
      <c r="A134" s="1021"/>
      <c r="B134" s="1022"/>
      <c r="C134" s="998"/>
      <c r="D134" s="999"/>
      <c r="E134" s="999"/>
      <c r="F134" s="1000"/>
      <c r="G134" s="1001"/>
      <c r="H134" s="1002"/>
      <c r="I134" s="1003"/>
      <c r="J134" s="1004"/>
      <c r="K134" s="1004"/>
      <c r="L134" s="1005"/>
      <c r="M134" s="1006"/>
      <c r="N134" s="1007"/>
      <c r="O134" s="1007"/>
      <c r="P134" s="1008"/>
      <c r="Q134" s="1009"/>
      <c r="R134" s="1010"/>
      <c r="S134" s="1010"/>
      <c r="T134" s="1011"/>
      <c r="U134" s="1012"/>
      <c r="V134" s="1011"/>
      <c r="W134" s="1011"/>
      <c r="X134" s="1008"/>
      <c r="Y134" s="1012"/>
      <c r="Z134" s="1011"/>
      <c r="AA134" s="1011"/>
      <c r="AB134" s="1008"/>
      <c r="AC134" s="1012"/>
      <c r="AD134" s="1011"/>
      <c r="AE134" s="1011"/>
      <c r="AF134" s="1008"/>
      <c r="AG134" s="1012"/>
      <c r="AH134" s="1004"/>
      <c r="AI134" s="1004"/>
      <c r="AJ134" s="1008"/>
      <c r="AK134" s="1006"/>
      <c r="AL134" s="1007"/>
      <c r="AM134" s="1007"/>
      <c r="AN134" s="1013"/>
      <c r="AO134" s="1014"/>
      <c r="AP134" s="1015"/>
      <c r="AQ134" s="1015"/>
      <c r="AR134" s="1016"/>
      <c r="AS134" s="1014"/>
      <c r="AT134" s="1015"/>
      <c r="AU134" s="1015"/>
      <c r="AV134" s="1016"/>
      <c r="AW134" s="1014"/>
      <c r="AX134" s="1015"/>
      <c r="AY134" s="1015"/>
      <c r="AZ134" s="1016"/>
      <c r="BA134" s="1014"/>
      <c r="BB134" s="1015"/>
      <c r="BC134" s="1015"/>
      <c r="BD134" s="1016"/>
      <c r="BE134" s="1014"/>
      <c r="BF134" s="1015"/>
      <c r="BG134" s="1015"/>
      <c r="BH134" s="1016"/>
      <c r="BI134" s="1014"/>
      <c r="BJ134" s="1015"/>
      <c r="BK134" s="1015"/>
      <c r="BL134" s="1017"/>
      <c r="BM134" s="1014"/>
      <c r="BN134" s="1015"/>
      <c r="BO134" s="1015"/>
      <c r="BP134" s="1017"/>
      <c r="BQ134" s="1018"/>
      <c r="BR134" s="1019"/>
      <c r="BS134" s="1019"/>
      <c r="BT134" s="1023"/>
      <c r="BU134" s="1024"/>
      <c r="BV134" s="1025"/>
      <c r="BW134" s="1026"/>
      <c r="BX134" s="1027"/>
      <c r="BY134" s="1018"/>
      <c r="BZ134" s="1019"/>
      <c r="CA134" s="1019"/>
      <c r="CB134" s="1023"/>
      <c r="CC134" s="247"/>
      <c r="CD134" s="351"/>
      <c r="CE134" s="351"/>
      <c r="CF134" s="245"/>
      <c r="CG134" s="356"/>
      <c r="CH134" s="351"/>
      <c r="CI134" s="356"/>
      <c r="CJ134" s="246"/>
      <c r="CK134" s="1028"/>
      <c r="CL134" s="1029"/>
      <c r="CM134" s="1028"/>
      <c r="CN134" s="1028"/>
      <c r="CO134" s="1028"/>
      <c r="CP134" s="1028"/>
      <c r="CQ134" s="1028"/>
      <c r="CR134" s="1028"/>
      <c r="CS134" s="1028"/>
      <c r="CT134" s="1028"/>
      <c r="CU134" s="1028"/>
      <c r="CV134" s="1028"/>
      <c r="CW134" s="1028"/>
      <c r="CX134" s="1028"/>
      <c r="CY134" s="1028"/>
      <c r="CZ134" s="1028"/>
      <c r="DA134" s="1028"/>
      <c r="DB134" s="1028"/>
      <c r="DC134" s="1028"/>
      <c r="DD134" s="1028"/>
      <c r="DE134" s="1033"/>
      <c r="DF134" s="1114"/>
      <c r="DG134" s="1020"/>
      <c r="DH134" s="1020"/>
      <c r="DI134" s="1020"/>
      <c r="DJ134" s="1020"/>
      <c r="DK134" s="153"/>
      <c r="DL134" s="862"/>
      <c r="DM134" s="1115"/>
      <c r="DN134" s="178"/>
      <c r="DO134" s="694">
        <f t="shared" si="22"/>
        <v>0</v>
      </c>
      <c r="DP134" s="694">
        <f>DO134-Detailed[[#This Row],[Column66]]</f>
        <v>0</v>
      </c>
      <c r="DQ134" s="179"/>
      <c r="DR134" s="179"/>
      <c r="DS134" s="231"/>
      <c r="DT134" s="179"/>
      <c r="DU134" s="179"/>
      <c r="DV134" s="179"/>
      <c r="DW134" s="179"/>
      <c r="DX134" s="179"/>
      <c r="DY134" s="179"/>
      <c r="DZ134" s="179"/>
      <c r="EA134" s="179"/>
      <c r="EB134" s="179"/>
      <c r="EC134" s="179"/>
      <c r="ED134" s="179"/>
      <c r="EE134" s="179"/>
      <c r="EF134" s="179"/>
      <c r="EG134" s="179"/>
      <c r="EH134" s="179"/>
      <c r="EI134" s="179"/>
      <c r="EJ134" s="179"/>
      <c r="EK134" s="179"/>
      <c r="EL134" s="179"/>
      <c r="EM134" s="179"/>
      <c r="EN134" s="179"/>
      <c r="EO134" s="179"/>
      <c r="EP134" s="179"/>
      <c r="EQ134" s="179"/>
      <c r="ER134" s="179"/>
      <c r="ES134" s="179"/>
      <c r="ET134" s="179"/>
      <c r="EU134" s="179"/>
      <c r="EV134" s="179"/>
      <c r="EW134" s="179"/>
      <c r="EX134" s="179"/>
      <c r="EY134" s="179"/>
      <c r="EZ134" s="179"/>
      <c r="FA134" s="179"/>
      <c r="FB134" s="179"/>
      <c r="FC134" s="179"/>
      <c r="FD134" s="179"/>
      <c r="FE134" s="179"/>
      <c r="FF134" s="179"/>
      <c r="FG134" s="179"/>
      <c r="FH134" s="179"/>
      <c r="FI134" s="179"/>
      <c r="FJ134" s="179"/>
      <c r="FK134" s="179"/>
      <c r="FL134" s="179"/>
      <c r="FM134" s="179"/>
      <c r="FN134" s="179"/>
      <c r="FO134" s="179"/>
      <c r="FP134" s="179"/>
      <c r="FQ134" s="179"/>
      <c r="FR134" s="179"/>
      <c r="FS134" s="179"/>
      <c r="FT134" s="179"/>
      <c r="FU134" s="179"/>
      <c r="FV134" s="179"/>
      <c r="FW134" s="179"/>
      <c r="FX134" s="179"/>
      <c r="FY134" s="179"/>
      <c r="FZ134" s="179"/>
      <c r="GA134" s="179"/>
      <c r="GB134" s="179"/>
      <c r="GC134" s="179"/>
      <c r="GD134" s="179"/>
      <c r="GE134" s="179"/>
      <c r="GF134" s="179"/>
      <c r="GG134" s="179"/>
      <c r="GH134" s="179"/>
      <c r="GI134" s="179"/>
      <c r="GJ134" s="179"/>
      <c r="GK134" s="179"/>
      <c r="GL134" s="179"/>
      <c r="GM134" s="179"/>
      <c r="GN134" s="179"/>
      <c r="GO134" s="179"/>
      <c r="GP134" s="179"/>
      <c r="GQ134" s="179"/>
      <c r="GR134" s="179"/>
      <c r="GS134" s="179"/>
      <c r="GT134" s="179"/>
      <c r="GU134" s="179"/>
      <c r="GV134" s="179"/>
      <c r="GW134" s="179"/>
      <c r="GX134" s="179"/>
      <c r="GY134" s="179"/>
      <c r="GZ134" s="179"/>
      <c r="HA134" s="179"/>
      <c r="HB134" s="179"/>
      <c r="HC134" s="179"/>
      <c r="HD134" s="179"/>
      <c r="HE134" s="179"/>
      <c r="HF134" s="179"/>
      <c r="HG134" s="179"/>
      <c r="HH134" s="179"/>
      <c r="HI134" s="179"/>
      <c r="HJ134" s="179"/>
      <c r="HK134" s="179"/>
      <c r="HL134" s="179"/>
      <c r="HM134" s="179"/>
      <c r="HN134" s="179"/>
      <c r="HO134" s="179"/>
      <c r="HP134" s="179"/>
      <c r="HQ134" s="179"/>
      <c r="HR134" s="179"/>
      <c r="HS134" s="179"/>
      <c r="HT134" s="179"/>
      <c r="HU134" s="179"/>
      <c r="HV134" s="179"/>
      <c r="HW134" s="179"/>
      <c r="HX134" s="179"/>
      <c r="HY134" s="179"/>
      <c r="HZ134" s="179"/>
      <c r="IA134" s="179"/>
      <c r="IB134" s="179"/>
      <c r="IC134" s="179"/>
      <c r="ID134" s="179"/>
      <c r="IE134" s="179"/>
      <c r="IF134" s="179"/>
      <c r="IG134" s="179"/>
      <c r="IH134" s="179"/>
      <c r="II134" s="179"/>
      <c r="IJ134" s="179"/>
      <c r="IK134" s="179"/>
      <c r="IL134" s="179"/>
      <c r="IM134" s="179"/>
      <c r="IN134" s="179"/>
      <c r="IO134" s="179"/>
      <c r="IP134" s="179"/>
      <c r="IQ134" s="179"/>
      <c r="IR134" s="179"/>
      <c r="IS134" s="179"/>
      <c r="IT134" s="179"/>
      <c r="IU134" s="179"/>
      <c r="IV134" s="179"/>
      <c r="IW134" s="179"/>
      <c r="IX134" s="179"/>
      <c r="IY134" s="179"/>
      <c r="IZ134" s="179"/>
      <c r="JA134" s="179"/>
      <c r="JB134" s="179"/>
      <c r="JC134" s="179"/>
      <c r="JD134" s="179"/>
      <c r="JE134" s="179"/>
      <c r="JF134" s="179"/>
      <c r="JG134" s="179"/>
      <c r="JH134" s="179"/>
      <c r="JI134" s="179"/>
    </row>
    <row r="135" spans="1:269" ht="15.6">
      <c r="A135" s="1021"/>
      <c r="B135" s="1022"/>
      <c r="C135" s="998"/>
      <c r="D135" s="999"/>
      <c r="E135" s="999"/>
      <c r="F135" s="1000"/>
      <c r="G135" s="1001"/>
      <c r="H135" s="1002"/>
      <c r="I135" s="1003"/>
      <c r="J135" s="1004"/>
      <c r="K135" s="1004"/>
      <c r="L135" s="1005"/>
      <c r="M135" s="1006"/>
      <c r="N135" s="1007"/>
      <c r="O135" s="1007"/>
      <c r="P135" s="1008"/>
      <c r="Q135" s="1009"/>
      <c r="R135" s="1010"/>
      <c r="S135" s="1010"/>
      <c r="T135" s="1011"/>
      <c r="U135" s="1012"/>
      <c r="V135" s="1011"/>
      <c r="W135" s="1011"/>
      <c r="X135" s="1008"/>
      <c r="Y135" s="1012"/>
      <c r="Z135" s="1011"/>
      <c r="AA135" s="1011"/>
      <c r="AB135" s="1008"/>
      <c r="AC135" s="1012"/>
      <c r="AD135" s="1011"/>
      <c r="AE135" s="1011"/>
      <c r="AF135" s="1008"/>
      <c r="AG135" s="1012"/>
      <c r="AH135" s="1004"/>
      <c r="AI135" s="1004"/>
      <c r="AJ135" s="1008"/>
      <c r="AK135" s="1006"/>
      <c r="AL135" s="1007"/>
      <c r="AM135" s="1007"/>
      <c r="AN135" s="1013"/>
      <c r="AO135" s="1014"/>
      <c r="AP135" s="1015"/>
      <c r="AQ135" s="1015"/>
      <c r="AR135" s="1016"/>
      <c r="AS135" s="1014"/>
      <c r="AT135" s="1015"/>
      <c r="AU135" s="1015"/>
      <c r="AV135" s="1016"/>
      <c r="AW135" s="1014"/>
      <c r="AX135" s="1015"/>
      <c r="AY135" s="1015"/>
      <c r="AZ135" s="1016"/>
      <c r="BA135" s="1014"/>
      <c r="BB135" s="1015"/>
      <c r="BC135" s="1015"/>
      <c r="BD135" s="1016"/>
      <c r="BE135" s="1014"/>
      <c r="BF135" s="1015"/>
      <c r="BG135" s="1015"/>
      <c r="BH135" s="1016"/>
      <c r="BI135" s="1014"/>
      <c r="BJ135" s="1015"/>
      <c r="BK135" s="1015"/>
      <c r="BL135" s="1017"/>
      <c r="BM135" s="1014"/>
      <c r="BN135" s="1015"/>
      <c r="BO135" s="1015"/>
      <c r="BP135" s="1017"/>
      <c r="BQ135" s="1018"/>
      <c r="BR135" s="1019"/>
      <c r="BS135" s="1019"/>
      <c r="BT135" s="1023"/>
      <c r="BU135" s="1024"/>
      <c r="BV135" s="1025"/>
      <c r="BW135" s="1026"/>
      <c r="BX135" s="1027"/>
      <c r="BY135" s="1018"/>
      <c r="BZ135" s="1019"/>
      <c r="CA135" s="1019"/>
      <c r="CB135" s="1023"/>
      <c r="CC135" s="247"/>
      <c r="CD135" s="351"/>
      <c r="CE135" s="351"/>
      <c r="CF135" s="245"/>
      <c r="CG135" s="356"/>
      <c r="CH135" s="351"/>
      <c r="CI135" s="356"/>
      <c r="CJ135" s="246"/>
      <c r="CK135" s="1028"/>
      <c r="CL135" s="1029"/>
      <c r="CM135" s="1028"/>
      <c r="CN135" s="1028"/>
      <c r="CO135" s="1028"/>
      <c r="CP135" s="1028"/>
      <c r="CQ135" s="1028"/>
      <c r="CR135" s="1028"/>
      <c r="CS135" s="1028"/>
      <c r="CT135" s="1028"/>
      <c r="CU135" s="1028"/>
      <c r="CV135" s="1028"/>
      <c r="CW135" s="1028"/>
      <c r="CX135" s="1028"/>
      <c r="CY135" s="1028"/>
      <c r="CZ135" s="1028"/>
      <c r="DA135" s="1028"/>
      <c r="DB135" s="1028"/>
      <c r="DC135" s="1028"/>
      <c r="DD135" s="1028"/>
      <c r="DE135" s="1033"/>
      <c r="DF135" s="1114"/>
      <c r="DG135" s="1020"/>
      <c r="DH135" s="1020"/>
      <c r="DI135" s="1020"/>
      <c r="DJ135" s="1020"/>
      <c r="DK135" s="153"/>
      <c r="DL135" s="862"/>
      <c r="DM135" s="1115"/>
      <c r="DN135" s="178"/>
      <c r="DO135" s="694">
        <f t="shared" si="22"/>
        <v>0</v>
      </c>
      <c r="DP135" s="694">
        <f>DO135-Detailed[[#This Row],[Column66]]</f>
        <v>0</v>
      </c>
      <c r="DQ135" s="179"/>
      <c r="DR135" s="179"/>
      <c r="DS135" s="231"/>
      <c r="DT135" s="179"/>
      <c r="DU135" s="179"/>
      <c r="DV135" s="179"/>
      <c r="DW135" s="179"/>
      <c r="DX135" s="179"/>
      <c r="DY135" s="179"/>
      <c r="DZ135" s="179"/>
      <c r="EA135" s="179"/>
      <c r="EB135" s="179"/>
      <c r="EC135" s="179"/>
      <c r="ED135" s="179"/>
      <c r="EE135" s="179"/>
      <c r="EF135" s="179"/>
      <c r="EG135" s="179"/>
      <c r="EH135" s="179"/>
      <c r="EI135" s="179"/>
      <c r="EJ135" s="179"/>
      <c r="EK135" s="179"/>
      <c r="EL135" s="179"/>
      <c r="EM135" s="179"/>
      <c r="EN135" s="179"/>
      <c r="EO135" s="179"/>
      <c r="EP135" s="179"/>
      <c r="EQ135" s="179"/>
      <c r="ER135" s="179"/>
      <c r="ES135" s="179"/>
      <c r="ET135" s="179"/>
      <c r="EU135" s="179"/>
      <c r="EV135" s="179"/>
      <c r="EW135" s="179"/>
      <c r="EX135" s="179"/>
      <c r="EY135" s="179"/>
      <c r="EZ135" s="179"/>
      <c r="FA135" s="179"/>
      <c r="FB135" s="179"/>
      <c r="FC135" s="179"/>
      <c r="FD135" s="179"/>
      <c r="FE135" s="179"/>
      <c r="FF135" s="179"/>
      <c r="FG135" s="179"/>
      <c r="FH135" s="179"/>
      <c r="FI135" s="179"/>
      <c r="FJ135" s="179"/>
      <c r="FK135" s="179"/>
      <c r="FL135" s="179"/>
      <c r="FM135" s="179"/>
      <c r="FN135" s="179"/>
      <c r="FO135" s="179"/>
      <c r="FP135" s="179"/>
      <c r="FQ135" s="179"/>
      <c r="FR135" s="179"/>
      <c r="FS135" s="179"/>
      <c r="FT135" s="179"/>
      <c r="FU135" s="179"/>
      <c r="FV135" s="179"/>
      <c r="FW135" s="179"/>
      <c r="FX135" s="179"/>
      <c r="FY135" s="179"/>
      <c r="FZ135" s="179"/>
      <c r="GA135" s="179"/>
      <c r="GB135" s="179"/>
      <c r="GC135" s="179"/>
      <c r="GD135" s="179"/>
      <c r="GE135" s="179"/>
      <c r="GF135" s="179"/>
      <c r="GG135" s="179"/>
      <c r="GH135" s="179"/>
      <c r="GI135" s="179"/>
      <c r="GJ135" s="179"/>
      <c r="GK135" s="179"/>
      <c r="GL135" s="179"/>
      <c r="GM135" s="179"/>
      <c r="GN135" s="179"/>
      <c r="GO135" s="179"/>
      <c r="GP135" s="179"/>
      <c r="GQ135" s="179"/>
      <c r="GR135" s="179"/>
      <c r="GS135" s="179"/>
      <c r="GT135" s="179"/>
      <c r="GU135" s="179"/>
      <c r="GV135" s="179"/>
      <c r="GW135" s="179"/>
      <c r="GX135" s="179"/>
      <c r="GY135" s="179"/>
      <c r="GZ135" s="179"/>
      <c r="HA135" s="179"/>
      <c r="HB135" s="179"/>
      <c r="HC135" s="179"/>
      <c r="HD135" s="179"/>
      <c r="HE135" s="179"/>
      <c r="HF135" s="179"/>
      <c r="HG135" s="179"/>
      <c r="HH135" s="179"/>
      <c r="HI135" s="179"/>
      <c r="HJ135" s="179"/>
      <c r="HK135" s="179"/>
      <c r="HL135" s="179"/>
      <c r="HM135" s="179"/>
      <c r="HN135" s="179"/>
      <c r="HO135" s="179"/>
      <c r="HP135" s="179"/>
      <c r="HQ135" s="179"/>
      <c r="HR135" s="179"/>
      <c r="HS135" s="179"/>
      <c r="HT135" s="179"/>
      <c r="HU135" s="179"/>
      <c r="HV135" s="179"/>
      <c r="HW135" s="179"/>
      <c r="HX135" s="179"/>
      <c r="HY135" s="179"/>
      <c r="HZ135" s="179"/>
      <c r="IA135" s="179"/>
      <c r="IB135" s="179"/>
      <c r="IC135" s="179"/>
      <c r="ID135" s="179"/>
      <c r="IE135" s="179"/>
      <c r="IF135" s="179"/>
      <c r="IG135" s="179"/>
      <c r="IH135" s="179"/>
      <c r="II135" s="179"/>
      <c r="IJ135" s="179"/>
      <c r="IK135" s="179"/>
      <c r="IL135" s="179"/>
      <c r="IM135" s="179"/>
      <c r="IN135" s="179"/>
      <c r="IO135" s="179"/>
      <c r="IP135" s="179"/>
      <c r="IQ135" s="179"/>
      <c r="IR135" s="179"/>
      <c r="IS135" s="179"/>
      <c r="IT135" s="179"/>
      <c r="IU135" s="179"/>
      <c r="IV135" s="179"/>
      <c r="IW135" s="179"/>
      <c r="IX135" s="179"/>
      <c r="IY135" s="179"/>
      <c r="IZ135" s="179"/>
      <c r="JA135" s="179"/>
      <c r="JB135" s="179"/>
      <c r="JC135" s="179"/>
      <c r="JD135" s="179"/>
      <c r="JE135" s="179"/>
      <c r="JF135" s="179"/>
      <c r="JG135" s="179"/>
      <c r="JH135" s="179"/>
      <c r="JI135" s="179"/>
    </row>
    <row r="136" spans="1:269" ht="16.2" thickBot="1">
      <c r="A136" s="1118"/>
      <c r="B136" s="1119"/>
      <c r="C136" s="1120"/>
      <c r="D136" s="1121"/>
      <c r="E136" s="1121"/>
      <c r="F136" s="1122"/>
      <c r="G136" s="1123"/>
      <c r="H136" s="1124"/>
      <c r="I136" s="1125"/>
      <c r="J136" s="1126"/>
      <c r="K136" s="1126"/>
      <c r="L136" s="1127"/>
      <c r="M136" s="1128"/>
      <c r="N136" s="1129"/>
      <c r="O136" s="1129"/>
      <c r="P136" s="1130"/>
      <c r="Q136" s="1131"/>
      <c r="R136" s="1132"/>
      <c r="S136" s="1132"/>
      <c r="T136" s="1133"/>
      <c r="U136" s="1134"/>
      <c r="V136" s="1133"/>
      <c r="W136" s="1133"/>
      <c r="X136" s="1130"/>
      <c r="Y136" s="1134"/>
      <c r="Z136" s="1133"/>
      <c r="AA136" s="1133"/>
      <c r="AB136" s="1130"/>
      <c r="AC136" s="1134"/>
      <c r="AD136" s="1133"/>
      <c r="AE136" s="1133"/>
      <c r="AF136" s="1130"/>
      <c r="AG136" s="1134"/>
      <c r="AH136" s="1126"/>
      <c r="AI136" s="1126"/>
      <c r="AJ136" s="1130"/>
      <c r="AK136" s="1128"/>
      <c r="AL136" s="1129"/>
      <c r="AM136" s="1129"/>
      <c r="AN136" s="1135"/>
      <c r="AO136" s="1136"/>
      <c r="AP136" s="1137"/>
      <c r="AQ136" s="1137"/>
      <c r="AR136" s="1138"/>
      <c r="AS136" s="1136"/>
      <c r="AT136" s="1137"/>
      <c r="AU136" s="1137"/>
      <c r="AV136" s="1138"/>
      <c r="AW136" s="1136"/>
      <c r="AX136" s="1137"/>
      <c r="AY136" s="1137"/>
      <c r="AZ136" s="1138"/>
      <c r="BA136" s="1136"/>
      <c r="BB136" s="1137"/>
      <c r="BC136" s="1137"/>
      <c r="BD136" s="1138"/>
      <c r="BE136" s="1136"/>
      <c r="BF136" s="1137"/>
      <c r="BG136" s="1137"/>
      <c r="BH136" s="1138"/>
      <c r="BI136" s="1136"/>
      <c r="BJ136" s="1137"/>
      <c r="BK136" s="1137"/>
      <c r="BL136" s="1139"/>
      <c r="BM136" s="1136"/>
      <c r="BN136" s="1137"/>
      <c r="BO136" s="1137"/>
      <c r="BP136" s="1139"/>
      <c r="BQ136" s="798"/>
      <c r="BR136" s="799"/>
      <c r="BS136" s="799"/>
      <c r="BT136" s="800"/>
      <c r="BU136" s="801"/>
      <c r="BV136" s="802"/>
      <c r="BW136" s="803"/>
      <c r="BX136" s="804"/>
      <c r="BY136" s="798"/>
      <c r="BZ136" s="799"/>
      <c r="CA136" s="799"/>
      <c r="CB136" s="800"/>
      <c r="CC136" s="247"/>
      <c r="CD136" s="351"/>
      <c r="CE136" s="351"/>
      <c r="CF136" s="245"/>
      <c r="CG136" s="356"/>
      <c r="CH136" s="351"/>
      <c r="CI136" s="356"/>
      <c r="CJ136" s="246"/>
      <c r="CK136" s="805"/>
      <c r="CL136" s="806"/>
      <c r="CM136" s="805"/>
      <c r="CN136" s="805"/>
      <c r="CO136" s="805"/>
      <c r="CP136" s="805"/>
      <c r="CQ136" s="805"/>
      <c r="CR136" s="805"/>
      <c r="CS136" s="805"/>
      <c r="CT136" s="805"/>
      <c r="CU136" s="805"/>
      <c r="CV136" s="805"/>
      <c r="CW136" s="805"/>
      <c r="CX136" s="805"/>
      <c r="CY136" s="805"/>
      <c r="CZ136" s="805"/>
      <c r="DA136" s="805"/>
      <c r="DB136" s="805"/>
      <c r="DC136" s="805"/>
      <c r="DD136" s="805"/>
      <c r="DE136" s="222"/>
      <c r="DF136" s="1140"/>
      <c r="DG136" s="1141"/>
      <c r="DH136" s="1141"/>
      <c r="DI136" s="1141"/>
      <c r="DJ136" s="1141"/>
      <c r="DK136" s="212"/>
      <c r="DL136" s="1142"/>
      <c r="DM136" s="1143"/>
      <c r="DN136" s="178"/>
      <c r="DO136" s="694">
        <f t="shared" si="22"/>
        <v>0</v>
      </c>
      <c r="DP136" s="694">
        <f>DO136-Detailed[[#This Row],[Column66]]</f>
        <v>0</v>
      </c>
      <c r="DQ136" s="179"/>
      <c r="DR136" s="179"/>
      <c r="DS136" s="231"/>
      <c r="DT136" s="179"/>
      <c r="DU136" s="179"/>
      <c r="DV136" s="179"/>
      <c r="DW136" s="179"/>
      <c r="DX136" s="179"/>
      <c r="DY136" s="179"/>
      <c r="DZ136" s="179"/>
      <c r="EA136" s="179"/>
      <c r="EB136" s="179"/>
      <c r="EC136" s="179"/>
      <c r="ED136" s="179"/>
      <c r="EE136" s="179"/>
      <c r="EF136" s="179"/>
      <c r="EG136" s="179"/>
      <c r="EH136" s="179"/>
      <c r="EI136" s="179"/>
      <c r="EJ136" s="179"/>
      <c r="EK136" s="179"/>
      <c r="EL136" s="179"/>
      <c r="EM136" s="179"/>
      <c r="EN136" s="179"/>
      <c r="EO136" s="179"/>
      <c r="EP136" s="179"/>
      <c r="EQ136" s="179"/>
      <c r="ER136" s="179"/>
      <c r="ES136" s="179"/>
      <c r="ET136" s="179"/>
      <c r="EU136" s="179"/>
      <c r="EV136" s="179"/>
      <c r="EW136" s="179"/>
      <c r="EX136" s="179"/>
      <c r="EY136" s="179"/>
      <c r="EZ136" s="179"/>
      <c r="FA136" s="179"/>
      <c r="FB136" s="179"/>
      <c r="FC136" s="179"/>
      <c r="FD136" s="179"/>
      <c r="FE136" s="179"/>
      <c r="FF136" s="179"/>
      <c r="FG136" s="179"/>
      <c r="FH136" s="179"/>
      <c r="FI136" s="179"/>
      <c r="FJ136" s="179"/>
      <c r="FK136" s="179"/>
      <c r="FL136" s="179"/>
      <c r="FM136" s="179"/>
      <c r="FN136" s="179"/>
      <c r="FO136" s="179"/>
      <c r="FP136" s="179"/>
      <c r="FQ136" s="179"/>
      <c r="FR136" s="179"/>
      <c r="FS136" s="179"/>
      <c r="FT136" s="179"/>
      <c r="FU136" s="179"/>
      <c r="FV136" s="179"/>
      <c r="FW136" s="179"/>
      <c r="FX136" s="179"/>
      <c r="FY136" s="179"/>
      <c r="FZ136" s="179"/>
      <c r="GA136" s="179"/>
      <c r="GB136" s="179"/>
      <c r="GC136" s="179"/>
      <c r="GD136" s="179"/>
      <c r="GE136" s="179"/>
      <c r="GF136" s="179"/>
      <c r="GG136" s="179"/>
      <c r="GH136" s="179"/>
      <c r="GI136" s="179"/>
      <c r="GJ136" s="179"/>
      <c r="GK136" s="179"/>
      <c r="GL136" s="179"/>
      <c r="GM136" s="179"/>
      <c r="GN136" s="179"/>
      <c r="GO136" s="179"/>
      <c r="GP136" s="179"/>
      <c r="GQ136" s="179"/>
      <c r="GR136" s="179"/>
      <c r="GS136" s="179"/>
      <c r="GT136" s="179"/>
      <c r="GU136" s="179"/>
      <c r="GV136" s="179"/>
      <c r="GW136" s="179"/>
      <c r="GX136" s="179"/>
      <c r="GY136" s="179"/>
      <c r="GZ136" s="179"/>
      <c r="HA136" s="179"/>
      <c r="HB136" s="179"/>
      <c r="HC136" s="179"/>
      <c r="HD136" s="179"/>
      <c r="HE136" s="179"/>
      <c r="HF136" s="179"/>
      <c r="HG136" s="179"/>
      <c r="HH136" s="179"/>
      <c r="HI136" s="179"/>
      <c r="HJ136" s="179"/>
      <c r="HK136" s="179"/>
      <c r="HL136" s="179"/>
      <c r="HM136" s="179"/>
      <c r="HN136" s="179"/>
      <c r="HO136" s="179"/>
      <c r="HP136" s="179"/>
      <c r="HQ136" s="179"/>
      <c r="HR136" s="179"/>
      <c r="HS136" s="179"/>
      <c r="HT136" s="179"/>
      <c r="HU136" s="179"/>
      <c r="HV136" s="179"/>
      <c r="HW136" s="179"/>
      <c r="HX136" s="179"/>
      <c r="HY136" s="179"/>
      <c r="HZ136" s="179"/>
      <c r="IA136" s="179"/>
      <c r="IB136" s="179"/>
      <c r="IC136" s="179"/>
      <c r="ID136" s="179"/>
      <c r="IE136" s="179"/>
      <c r="IF136" s="179"/>
      <c r="IG136" s="179"/>
      <c r="IH136" s="179"/>
      <c r="II136" s="179"/>
      <c r="IJ136" s="179"/>
      <c r="IK136" s="179"/>
      <c r="IL136" s="179"/>
      <c r="IM136" s="179"/>
      <c r="IN136" s="179"/>
      <c r="IO136" s="179"/>
      <c r="IP136" s="179"/>
      <c r="IQ136" s="179"/>
      <c r="IR136" s="179"/>
      <c r="IS136" s="179"/>
      <c r="IT136" s="179"/>
      <c r="IU136" s="179"/>
      <c r="IV136" s="179"/>
      <c r="IW136" s="179"/>
      <c r="IX136" s="179"/>
      <c r="IY136" s="179"/>
      <c r="IZ136" s="179"/>
      <c r="JA136" s="179"/>
      <c r="JB136" s="179"/>
      <c r="JC136" s="179"/>
      <c r="JD136" s="179"/>
      <c r="JE136" s="179"/>
      <c r="JF136" s="179"/>
      <c r="JG136" s="179"/>
      <c r="JH136" s="179"/>
      <c r="JI136" s="179"/>
    </row>
    <row r="137" spans="1:269" ht="16.8" thickTop="1" thickBot="1">
      <c r="A137" s="1147" t="s">
        <v>536</v>
      </c>
      <c r="B137" s="130"/>
      <c r="C137" s="130"/>
      <c r="D137" s="497"/>
      <c r="E137" s="497"/>
      <c r="F137" s="497"/>
      <c r="G137" s="463" t="s">
        <v>537</v>
      </c>
      <c r="H137" s="98">
        <v>57332139</v>
      </c>
      <c r="I137" s="1148"/>
      <c r="J137" s="1149"/>
      <c r="K137" s="1149"/>
      <c r="L137" s="1150"/>
      <c r="M137" s="1151"/>
      <c r="N137" s="1152"/>
      <c r="O137" s="1152"/>
      <c r="P137" s="1153"/>
      <c r="Q137" s="1154"/>
      <c r="R137" s="1155"/>
      <c r="S137" s="1155"/>
      <c r="T137" s="1156"/>
      <c r="U137" s="1157"/>
      <c r="V137" s="1156"/>
      <c r="W137" s="1156"/>
      <c r="X137" s="1153"/>
      <c r="Y137" s="1157"/>
      <c r="Z137" s="1156"/>
      <c r="AA137" s="1156"/>
      <c r="AB137" s="1153"/>
      <c r="AC137" s="1157"/>
      <c r="AD137" s="1156"/>
      <c r="AE137" s="1156"/>
      <c r="AF137" s="1153"/>
      <c r="AG137" s="1157"/>
      <c r="AH137" s="1149"/>
      <c r="AI137" s="1149"/>
      <c r="AJ137" s="1153"/>
      <c r="AK137" s="1151"/>
      <c r="AL137" s="1152"/>
      <c r="AM137" s="1152"/>
      <c r="AN137" s="1158"/>
      <c r="AO137" s="1159"/>
      <c r="AP137" s="1160"/>
      <c r="AQ137" s="1160"/>
      <c r="AR137" s="1161"/>
      <c r="AS137" s="1159"/>
      <c r="AT137" s="1160"/>
      <c r="AU137" s="1160"/>
      <c r="AV137" s="1161"/>
      <c r="AW137" s="1159"/>
      <c r="AX137" s="1160"/>
      <c r="AY137" s="1160"/>
      <c r="AZ137" s="1161"/>
      <c r="BA137" s="1159"/>
      <c r="BB137" s="1160"/>
      <c r="BC137" s="1160"/>
      <c r="BD137" s="1161"/>
      <c r="BE137" s="1159"/>
      <c r="BF137" s="1160"/>
      <c r="BG137" s="1160"/>
      <c r="BH137" s="1161"/>
      <c r="BI137" s="1159"/>
      <c r="BJ137" s="1160"/>
      <c r="BK137" s="1160"/>
      <c r="BL137" s="1162"/>
      <c r="BM137" s="1159"/>
      <c r="BN137" s="1160"/>
      <c r="BO137" s="1160"/>
      <c r="BP137" s="1162"/>
      <c r="BQ137" s="1163"/>
      <c r="BR137" s="1164"/>
      <c r="BS137" s="1164"/>
      <c r="BT137" s="1165"/>
      <c r="BU137" s="1166"/>
      <c r="BV137" s="1167"/>
      <c r="BW137" s="1168"/>
      <c r="BX137" s="1169"/>
      <c r="BY137" s="1163"/>
      <c r="BZ137" s="1164"/>
      <c r="CA137" s="1164"/>
      <c r="CB137" s="1165"/>
      <c r="CC137" s="508"/>
      <c r="CD137" s="354"/>
      <c r="CE137" s="354"/>
      <c r="CF137" s="509"/>
      <c r="CG137" s="355"/>
      <c r="CH137" s="354"/>
      <c r="CI137" s="355"/>
      <c r="CJ137" s="510"/>
      <c r="CK137" s="1170"/>
      <c r="CL137" s="1171"/>
      <c r="CM137" s="1170"/>
      <c r="CN137" s="1170"/>
      <c r="CO137" s="1170"/>
      <c r="CP137" s="1170"/>
      <c r="CQ137" s="1170"/>
      <c r="CR137" s="1170"/>
      <c r="CS137" s="1170"/>
      <c r="CT137" s="1170"/>
      <c r="CU137" s="1170"/>
      <c r="CV137" s="1170"/>
      <c r="CW137" s="1170"/>
      <c r="CX137" s="1170"/>
      <c r="CY137" s="1170"/>
      <c r="CZ137" s="1170"/>
      <c r="DA137" s="1170"/>
      <c r="DB137" s="1170"/>
      <c r="DC137" s="1170"/>
      <c r="DD137" s="1170"/>
      <c r="DE137" s="1172"/>
      <c r="DF137" s="1173"/>
      <c r="DG137" s="1174"/>
      <c r="DH137" s="1174"/>
      <c r="DI137" s="1174"/>
      <c r="DJ137" s="1174"/>
      <c r="DK137" s="511"/>
      <c r="DL137" s="1175"/>
      <c r="DM137" s="1176"/>
      <c r="DN137" s="178"/>
      <c r="DO137" s="694">
        <f t="shared" si="22"/>
        <v>0</v>
      </c>
      <c r="DP137" s="694">
        <f>DO137-Detailed[[#This Row],[Column66]]</f>
        <v>0</v>
      </c>
      <c r="DQ137" s="179"/>
      <c r="DR137" s="179"/>
      <c r="DS137" s="231"/>
      <c r="DT137" s="179"/>
      <c r="DU137" s="179"/>
      <c r="DV137" s="179"/>
      <c r="DW137" s="179"/>
      <c r="DX137" s="179"/>
      <c r="DY137" s="179"/>
      <c r="DZ137" s="179"/>
      <c r="EA137" s="179"/>
      <c r="EB137" s="179"/>
      <c r="EC137" s="179"/>
      <c r="ED137" s="179"/>
      <c r="EE137" s="179"/>
      <c r="EF137" s="179"/>
      <c r="EG137" s="179"/>
      <c r="EH137" s="179"/>
      <c r="EI137" s="179"/>
      <c r="EJ137" s="179"/>
      <c r="EK137" s="179"/>
      <c r="EL137" s="179"/>
      <c r="EM137" s="179"/>
      <c r="EN137" s="179"/>
      <c r="EO137" s="179"/>
      <c r="EP137" s="179"/>
      <c r="EQ137" s="179"/>
      <c r="ER137" s="179"/>
      <c r="ES137" s="179"/>
      <c r="ET137" s="179"/>
      <c r="EU137" s="179"/>
      <c r="EV137" s="179"/>
      <c r="EW137" s="179"/>
      <c r="EX137" s="179"/>
      <c r="EY137" s="179"/>
      <c r="EZ137" s="179"/>
      <c r="FA137" s="179"/>
      <c r="FB137" s="179"/>
      <c r="FC137" s="179"/>
      <c r="FD137" s="179"/>
      <c r="FE137" s="179"/>
      <c r="FF137" s="179"/>
      <c r="FG137" s="179"/>
      <c r="FH137" s="179"/>
      <c r="FI137" s="179"/>
      <c r="FJ137" s="179"/>
      <c r="FK137" s="179"/>
      <c r="FL137" s="179"/>
      <c r="FM137" s="179"/>
      <c r="FN137" s="179"/>
      <c r="FO137" s="179"/>
      <c r="FP137" s="179"/>
      <c r="FQ137" s="179"/>
      <c r="FR137" s="179"/>
      <c r="FS137" s="179"/>
      <c r="FT137" s="179"/>
      <c r="FU137" s="179"/>
      <c r="FV137" s="179"/>
      <c r="FW137" s="179"/>
      <c r="FX137" s="179"/>
      <c r="FY137" s="179"/>
      <c r="FZ137" s="179"/>
      <c r="GA137" s="179"/>
      <c r="GB137" s="179"/>
      <c r="GC137" s="179"/>
      <c r="GD137" s="179"/>
      <c r="GE137" s="179"/>
      <c r="GF137" s="179"/>
      <c r="GG137" s="179"/>
      <c r="GH137" s="179"/>
      <c r="GI137" s="179"/>
      <c r="GJ137" s="179"/>
      <c r="GK137" s="179"/>
      <c r="GL137" s="179"/>
      <c r="GM137" s="179"/>
      <c r="GN137" s="179"/>
      <c r="GO137" s="179"/>
      <c r="GP137" s="179"/>
      <c r="GQ137" s="179"/>
      <c r="GR137" s="179"/>
      <c r="GS137" s="179"/>
      <c r="GT137" s="179"/>
      <c r="GU137" s="179"/>
      <c r="GV137" s="179"/>
      <c r="GW137" s="179"/>
      <c r="GX137" s="179"/>
      <c r="GY137" s="179"/>
      <c r="GZ137" s="179"/>
      <c r="HA137" s="179"/>
      <c r="HB137" s="179"/>
      <c r="HC137" s="179"/>
      <c r="HD137" s="179"/>
      <c r="HE137" s="179"/>
      <c r="HF137" s="179"/>
      <c r="HG137" s="179"/>
      <c r="HH137" s="179"/>
      <c r="HI137" s="179"/>
      <c r="HJ137" s="179"/>
      <c r="HK137" s="179"/>
      <c r="HL137" s="179"/>
      <c r="HM137" s="179"/>
      <c r="HN137" s="179"/>
      <c r="HO137" s="179"/>
      <c r="HP137" s="179"/>
      <c r="HQ137" s="179"/>
      <c r="HR137" s="179"/>
      <c r="HS137" s="179"/>
      <c r="HT137" s="179"/>
      <c r="HU137" s="179"/>
      <c r="HV137" s="179"/>
      <c r="HW137" s="179"/>
      <c r="HX137" s="179"/>
      <c r="HY137" s="179"/>
      <c r="HZ137" s="179"/>
      <c r="IA137" s="179"/>
      <c r="IB137" s="179"/>
      <c r="IC137" s="179"/>
      <c r="ID137" s="179"/>
      <c r="IE137" s="179"/>
      <c r="IF137" s="179"/>
      <c r="IG137" s="179"/>
      <c r="IH137" s="179"/>
      <c r="II137" s="179"/>
      <c r="IJ137" s="179"/>
      <c r="IK137" s="179"/>
      <c r="IL137" s="179"/>
      <c r="IM137" s="179"/>
      <c r="IN137" s="179"/>
      <c r="IO137" s="179"/>
      <c r="IP137" s="179"/>
      <c r="IQ137" s="179"/>
      <c r="IR137" s="179"/>
      <c r="IS137" s="179"/>
      <c r="IT137" s="179"/>
      <c r="IU137" s="179"/>
      <c r="IV137" s="179"/>
      <c r="IW137" s="179"/>
      <c r="IX137" s="179"/>
      <c r="IY137" s="179"/>
      <c r="IZ137" s="179"/>
      <c r="JA137" s="179"/>
      <c r="JB137" s="179"/>
      <c r="JC137" s="179"/>
      <c r="JD137" s="179"/>
      <c r="JE137" s="179"/>
      <c r="JF137" s="179"/>
      <c r="JG137" s="179"/>
      <c r="JH137" s="179"/>
      <c r="JI137" s="179"/>
    </row>
    <row r="138" spans="1:269" ht="16.8" thickTop="1" thickBot="1">
      <c r="A138" s="1177" t="s">
        <v>535</v>
      </c>
      <c r="B138" s="1022"/>
      <c r="C138" s="998"/>
      <c r="D138" s="999"/>
      <c r="E138" s="999"/>
      <c r="F138" s="1000"/>
      <c r="G138" s="1001" t="s">
        <v>537</v>
      </c>
      <c r="H138" s="1002">
        <v>42715823.600000001</v>
      </c>
      <c r="I138" s="783">
        <v>45991</v>
      </c>
      <c r="J138" s="1004">
        <v>857830</v>
      </c>
      <c r="K138" s="784">
        <f>Detailed[[#This Row],[Column10]]*15%</f>
        <v>128674.5</v>
      </c>
      <c r="L138" s="785">
        <f>Detailed[[#This Row],[Column10]]+Detailed[[#This Row],[Column11]]</f>
        <v>986504.5</v>
      </c>
      <c r="M138" s="1006"/>
      <c r="N138" s="1007"/>
      <c r="O138" s="1007"/>
      <c r="P138" s="1008"/>
      <c r="Q138" s="1009"/>
      <c r="R138" s="1010"/>
      <c r="S138" s="1010"/>
      <c r="T138" s="1011"/>
      <c r="U138" s="1012"/>
      <c r="V138" s="1011"/>
      <c r="W138" s="1011"/>
      <c r="X138" s="1008"/>
      <c r="Y138" s="1012"/>
      <c r="Z138" s="1011"/>
      <c r="AA138" s="1011"/>
      <c r="AB138" s="1008"/>
      <c r="AC138" s="1012"/>
      <c r="AD138" s="1011"/>
      <c r="AE138" s="1011"/>
      <c r="AF138" s="1008"/>
      <c r="AG138" s="1012"/>
      <c r="AH138" s="1004"/>
      <c r="AI138" s="1004"/>
      <c r="AJ138" s="1008"/>
      <c r="AK138" s="1006"/>
      <c r="AL138" s="1007"/>
      <c r="AM138" s="1007"/>
      <c r="AN138" s="1013"/>
      <c r="AO138" s="1014"/>
      <c r="AP138" s="1015"/>
      <c r="AQ138" s="1015"/>
      <c r="AR138" s="1016"/>
      <c r="AS138" s="1014"/>
      <c r="AT138" s="1015"/>
      <c r="AU138" s="1015"/>
      <c r="AV138" s="1016"/>
      <c r="AW138" s="1014"/>
      <c r="AX138" s="1015"/>
      <c r="AY138" s="1015"/>
      <c r="AZ138" s="1016"/>
      <c r="BA138" s="1014"/>
      <c r="BB138" s="1015"/>
      <c r="BC138" s="1015"/>
      <c r="BD138" s="1016"/>
      <c r="BE138" s="1014"/>
      <c r="BF138" s="1015"/>
      <c r="BG138" s="1015"/>
      <c r="BH138" s="1016"/>
      <c r="BI138" s="1014"/>
      <c r="BJ138" s="1015"/>
      <c r="BK138" s="1015"/>
      <c r="BL138" s="1017"/>
      <c r="BM138" s="1014"/>
      <c r="BN138" s="1015"/>
      <c r="BO138" s="1015"/>
      <c r="BP138" s="1017"/>
      <c r="BQ138" s="1018"/>
      <c r="BR138" s="1019"/>
      <c r="BS138" s="1019"/>
      <c r="BT138" s="1023"/>
      <c r="BU138" s="1024"/>
      <c r="BV138" s="1025"/>
      <c r="BW138" s="1026"/>
      <c r="BX138" s="1027"/>
      <c r="BY138" s="1018"/>
      <c r="BZ138" s="1019"/>
      <c r="CA138" s="1019"/>
      <c r="CB138" s="1023"/>
      <c r="CC138" s="247"/>
      <c r="CD138" s="351"/>
      <c r="CE138" s="351"/>
      <c r="CF138" s="245"/>
      <c r="CG138" s="356"/>
      <c r="CH138" s="351"/>
      <c r="CI138" s="356"/>
      <c r="CJ138" s="246"/>
      <c r="CK138" s="1028"/>
      <c r="CL138" s="1029"/>
      <c r="CM138" s="1028"/>
      <c r="CN138" s="1028"/>
      <c r="CO138" s="1028"/>
      <c r="CP138" s="1028"/>
      <c r="CQ138" s="1028"/>
      <c r="CR138" s="1028"/>
      <c r="CS138" s="1028"/>
      <c r="CT138" s="1028"/>
      <c r="CU138" s="1028"/>
      <c r="CV138" s="1028"/>
      <c r="CW138" s="1028"/>
      <c r="CX138" s="1028"/>
      <c r="CY138" s="1028"/>
      <c r="CZ138" s="1028"/>
      <c r="DA138" s="1028"/>
      <c r="DB138" s="1028"/>
      <c r="DC138" s="1028"/>
      <c r="DD138" s="1028"/>
      <c r="DE138" s="1033"/>
      <c r="DF138" s="1114">
        <f>Detailed[[#This Row],[Column8]]</f>
        <v>42715823.600000001</v>
      </c>
      <c r="DG138" s="1020"/>
      <c r="DH138" s="1020"/>
      <c r="DI138" s="1059">
        <f>SUMPRODUCT((MOD(COLUMN(I138:DD138)-COLUMN(I138),4)=1)*I138:DD138)</f>
        <v>857830</v>
      </c>
      <c r="DJ138" s="1059">
        <f>SUMPRODUCT((MOD(COLUMN(I138:DD138)-COLUMN(J138),4)=2)*I138:DD138)</f>
        <v>986504.5</v>
      </c>
      <c r="DK138" s="153"/>
      <c r="DL138" s="862"/>
      <c r="DM138" s="1115"/>
      <c r="DN138" s="178"/>
      <c r="DO138" s="694">
        <f t="shared" si="22"/>
        <v>857830</v>
      </c>
      <c r="DP138" s="694">
        <f>DO138-Detailed[[#This Row],[Column66]]</f>
        <v>0</v>
      </c>
      <c r="DQ138" s="179"/>
      <c r="DR138" s="179"/>
      <c r="DS138" s="231"/>
      <c r="DT138" s="179"/>
      <c r="DU138" s="179"/>
      <c r="DV138" s="179"/>
      <c r="DW138" s="179"/>
      <c r="DX138" s="179"/>
      <c r="DY138" s="179"/>
      <c r="DZ138" s="179"/>
      <c r="EA138" s="179"/>
      <c r="EB138" s="179"/>
      <c r="EC138" s="179"/>
      <c r="ED138" s="179"/>
      <c r="EE138" s="179"/>
      <c r="EF138" s="179"/>
      <c r="EG138" s="179"/>
      <c r="EH138" s="179"/>
      <c r="EI138" s="179"/>
      <c r="EJ138" s="179"/>
      <c r="EK138" s="179"/>
      <c r="EL138" s="179"/>
      <c r="EM138" s="179"/>
      <c r="EN138" s="179"/>
      <c r="EO138" s="179"/>
      <c r="EP138" s="179"/>
      <c r="EQ138" s="179"/>
      <c r="ER138" s="179"/>
      <c r="ES138" s="179"/>
      <c r="ET138" s="179"/>
      <c r="EU138" s="179"/>
      <c r="EV138" s="179"/>
      <c r="EW138" s="179"/>
      <c r="EX138" s="179"/>
      <c r="EY138" s="179"/>
      <c r="EZ138" s="179"/>
      <c r="FA138" s="179"/>
      <c r="FB138" s="179"/>
      <c r="FC138" s="179"/>
      <c r="FD138" s="179"/>
      <c r="FE138" s="179"/>
      <c r="FF138" s="179"/>
      <c r="FG138" s="179"/>
      <c r="FH138" s="179"/>
      <c r="FI138" s="179"/>
      <c r="FJ138" s="179"/>
      <c r="FK138" s="179"/>
      <c r="FL138" s="179"/>
      <c r="FM138" s="179"/>
      <c r="FN138" s="179"/>
      <c r="FO138" s="179"/>
      <c r="FP138" s="179"/>
      <c r="FQ138" s="179"/>
      <c r="FR138" s="179"/>
      <c r="FS138" s="179"/>
      <c r="FT138" s="179"/>
      <c r="FU138" s="179"/>
      <c r="FV138" s="179"/>
      <c r="FW138" s="179"/>
      <c r="FX138" s="179"/>
      <c r="FY138" s="179"/>
      <c r="FZ138" s="179"/>
      <c r="GA138" s="179"/>
      <c r="GB138" s="179"/>
      <c r="GC138" s="179"/>
      <c r="GD138" s="179"/>
      <c r="GE138" s="179"/>
      <c r="GF138" s="179"/>
      <c r="GG138" s="179"/>
      <c r="GH138" s="179"/>
      <c r="GI138" s="179"/>
      <c r="GJ138" s="179"/>
      <c r="GK138" s="179"/>
      <c r="GL138" s="179"/>
      <c r="GM138" s="179"/>
      <c r="GN138" s="179"/>
      <c r="GO138" s="179"/>
      <c r="GP138" s="179"/>
      <c r="GQ138" s="179"/>
      <c r="GR138" s="179"/>
      <c r="GS138" s="179"/>
      <c r="GT138" s="179"/>
      <c r="GU138" s="179"/>
      <c r="GV138" s="179"/>
      <c r="GW138" s="179"/>
      <c r="GX138" s="179"/>
      <c r="GY138" s="179"/>
      <c r="GZ138" s="179"/>
      <c r="HA138" s="179"/>
      <c r="HB138" s="179"/>
      <c r="HC138" s="179"/>
      <c r="HD138" s="179"/>
      <c r="HE138" s="179"/>
      <c r="HF138" s="179"/>
      <c r="HG138" s="179"/>
      <c r="HH138" s="179"/>
      <c r="HI138" s="179"/>
      <c r="HJ138" s="179"/>
      <c r="HK138" s="179"/>
      <c r="HL138" s="179"/>
      <c r="HM138" s="179"/>
      <c r="HN138" s="179"/>
      <c r="HO138" s="179"/>
      <c r="HP138" s="179"/>
      <c r="HQ138" s="179"/>
      <c r="HR138" s="179"/>
      <c r="HS138" s="179"/>
      <c r="HT138" s="179"/>
      <c r="HU138" s="179"/>
      <c r="HV138" s="179"/>
      <c r="HW138" s="179"/>
      <c r="HX138" s="179"/>
      <c r="HY138" s="179"/>
      <c r="HZ138" s="179"/>
      <c r="IA138" s="179"/>
      <c r="IB138" s="179"/>
      <c r="IC138" s="179"/>
      <c r="ID138" s="179"/>
      <c r="IE138" s="179"/>
      <c r="IF138" s="179"/>
      <c r="IG138" s="179"/>
      <c r="IH138" s="179"/>
      <c r="II138" s="179"/>
      <c r="IJ138" s="179"/>
      <c r="IK138" s="179"/>
      <c r="IL138" s="179"/>
      <c r="IM138" s="179"/>
      <c r="IN138" s="179"/>
      <c r="IO138" s="179"/>
      <c r="IP138" s="179"/>
      <c r="IQ138" s="179"/>
      <c r="IR138" s="179"/>
      <c r="IS138" s="179"/>
      <c r="IT138" s="179"/>
      <c r="IU138" s="179"/>
      <c r="IV138" s="179"/>
      <c r="IW138" s="179"/>
      <c r="IX138" s="179"/>
      <c r="IY138" s="179"/>
      <c r="IZ138" s="179"/>
      <c r="JA138" s="179"/>
      <c r="JB138" s="179"/>
      <c r="JC138" s="179"/>
      <c r="JD138" s="179"/>
      <c r="JE138" s="179"/>
      <c r="JF138" s="179"/>
      <c r="JG138" s="179"/>
      <c r="JH138" s="179"/>
      <c r="JI138" s="179"/>
    </row>
    <row r="139" spans="1:269" ht="16.8" thickTop="1" thickBot="1">
      <c r="A139" s="1177" t="s">
        <v>535</v>
      </c>
      <c r="B139" s="1022"/>
      <c r="C139" s="998"/>
      <c r="D139" s="999"/>
      <c r="E139" s="999"/>
      <c r="F139" s="1000"/>
      <c r="G139" s="1001"/>
      <c r="H139" s="1002"/>
      <c r="I139" s="1003"/>
      <c r="J139" s="1004"/>
      <c r="K139" s="1004"/>
      <c r="L139" s="1005"/>
      <c r="M139" s="1006"/>
      <c r="N139" s="1007"/>
      <c r="O139" s="1007"/>
      <c r="P139" s="1008"/>
      <c r="Q139" s="1009"/>
      <c r="R139" s="1010"/>
      <c r="S139" s="1010"/>
      <c r="T139" s="1011"/>
      <c r="U139" s="1012"/>
      <c r="V139" s="1011"/>
      <c r="W139" s="1011"/>
      <c r="X139" s="1008"/>
      <c r="Y139" s="1012"/>
      <c r="Z139" s="1011"/>
      <c r="AA139" s="1011"/>
      <c r="AB139" s="1008"/>
      <c r="AC139" s="1012"/>
      <c r="AD139" s="1011"/>
      <c r="AE139" s="1011"/>
      <c r="AF139" s="1008"/>
      <c r="AG139" s="1012"/>
      <c r="AH139" s="1004"/>
      <c r="AI139" s="1004"/>
      <c r="AJ139" s="1008"/>
      <c r="AK139" s="1006"/>
      <c r="AL139" s="1007"/>
      <c r="AM139" s="1007"/>
      <c r="AN139" s="1013"/>
      <c r="AO139" s="1014"/>
      <c r="AP139" s="1015"/>
      <c r="AQ139" s="1015"/>
      <c r="AR139" s="1016"/>
      <c r="AS139" s="1014"/>
      <c r="AT139" s="1015"/>
      <c r="AU139" s="1015"/>
      <c r="AV139" s="1016"/>
      <c r="AW139" s="1014"/>
      <c r="AX139" s="1015"/>
      <c r="AY139" s="1015"/>
      <c r="AZ139" s="1016"/>
      <c r="BA139" s="1014"/>
      <c r="BB139" s="1015"/>
      <c r="BC139" s="1015"/>
      <c r="BD139" s="1016"/>
      <c r="BE139" s="1014"/>
      <c r="BF139" s="1015"/>
      <c r="BG139" s="1015"/>
      <c r="BH139" s="1016"/>
      <c r="BI139" s="1014"/>
      <c r="BJ139" s="1015"/>
      <c r="BK139" s="1015"/>
      <c r="BL139" s="1017"/>
      <c r="BM139" s="1014"/>
      <c r="BN139" s="1015"/>
      <c r="BO139" s="1015"/>
      <c r="BP139" s="1017"/>
      <c r="BQ139" s="1018"/>
      <c r="BR139" s="1019"/>
      <c r="BS139" s="1019"/>
      <c r="BT139" s="1023"/>
      <c r="BU139" s="1024"/>
      <c r="BV139" s="1025"/>
      <c r="BW139" s="1026"/>
      <c r="BX139" s="1027"/>
      <c r="BY139" s="1018"/>
      <c r="BZ139" s="1019"/>
      <c r="CA139" s="1019"/>
      <c r="CB139" s="1023"/>
      <c r="CC139" s="247"/>
      <c r="CD139" s="351"/>
      <c r="CE139" s="351"/>
      <c r="CF139" s="245"/>
      <c r="CG139" s="356"/>
      <c r="CH139" s="351"/>
      <c r="CI139" s="356"/>
      <c r="CJ139" s="246"/>
      <c r="CK139" s="1028"/>
      <c r="CL139" s="1029"/>
      <c r="CM139" s="1028"/>
      <c r="CN139" s="1028"/>
      <c r="CO139" s="1028"/>
      <c r="CP139" s="1028"/>
      <c r="CQ139" s="1028"/>
      <c r="CR139" s="1028"/>
      <c r="CS139" s="1028"/>
      <c r="CT139" s="1028"/>
      <c r="CU139" s="1028"/>
      <c r="CV139" s="1028"/>
      <c r="CW139" s="1028"/>
      <c r="CX139" s="1028"/>
      <c r="CY139" s="1028"/>
      <c r="CZ139" s="1028"/>
      <c r="DA139" s="1028"/>
      <c r="DB139" s="1028"/>
      <c r="DC139" s="1028"/>
      <c r="DD139" s="1028"/>
      <c r="DE139" s="1033"/>
      <c r="DF139" s="1114"/>
      <c r="DG139" s="1020"/>
      <c r="DH139" s="1020"/>
      <c r="DI139" s="1059">
        <f>SUMPRODUCT((MOD(COLUMN(I139:DD139)-COLUMN(I139),4)=1)*I139:DD139)</f>
        <v>0</v>
      </c>
      <c r="DJ139" s="1059">
        <f>SUMPRODUCT((MOD(COLUMN(I139:DD139)-COLUMN(J139),4)=2)*I139:DD139)</f>
        <v>0</v>
      </c>
      <c r="DK139" s="153"/>
      <c r="DL139" s="862"/>
      <c r="DM139" s="1115"/>
      <c r="DN139" s="178"/>
      <c r="DO139" s="694">
        <f t="shared" si="22"/>
        <v>0</v>
      </c>
      <c r="DP139" s="694">
        <f>DO139-Detailed[[#This Row],[Column66]]</f>
        <v>0</v>
      </c>
      <c r="DQ139" s="179"/>
      <c r="DR139" s="179"/>
      <c r="DS139" s="231"/>
      <c r="DT139" s="179"/>
      <c r="DU139" s="179"/>
      <c r="DV139" s="179"/>
      <c r="DW139" s="179"/>
      <c r="DX139" s="179"/>
      <c r="DY139" s="179"/>
      <c r="DZ139" s="179"/>
      <c r="EA139" s="179"/>
      <c r="EB139" s="179"/>
      <c r="EC139" s="179"/>
      <c r="ED139" s="179"/>
      <c r="EE139" s="179"/>
      <c r="EF139" s="179"/>
      <c r="EG139" s="179"/>
      <c r="EH139" s="179"/>
      <c r="EI139" s="179"/>
      <c r="EJ139" s="179"/>
      <c r="EK139" s="179"/>
      <c r="EL139" s="179"/>
      <c r="EM139" s="179"/>
      <c r="EN139" s="179"/>
      <c r="EO139" s="179"/>
      <c r="EP139" s="179"/>
      <c r="EQ139" s="179"/>
      <c r="ER139" s="179"/>
      <c r="ES139" s="179"/>
      <c r="ET139" s="179"/>
      <c r="EU139" s="179"/>
      <c r="EV139" s="179"/>
      <c r="EW139" s="179"/>
      <c r="EX139" s="179"/>
      <c r="EY139" s="179"/>
      <c r="EZ139" s="179"/>
      <c r="FA139" s="179"/>
      <c r="FB139" s="179"/>
      <c r="FC139" s="179"/>
      <c r="FD139" s="179"/>
      <c r="FE139" s="179"/>
      <c r="FF139" s="179"/>
      <c r="FG139" s="179"/>
      <c r="FH139" s="179"/>
      <c r="FI139" s="179"/>
      <c r="FJ139" s="179"/>
      <c r="FK139" s="179"/>
      <c r="FL139" s="179"/>
      <c r="FM139" s="179"/>
      <c r="FN139" s="179"/>
      <c r="FO139" s="179"/>
      <c r="FP139" s="179"/>
      <c r="FQ139" s="179"/>
      <c r="FR139" s="179"/>
      <c r="FS139" s="179"/>
      <c r="FT139" s="179"/>
      <c r="FU139" s="179"/>
      <c r="FV139" s="179"/>
      <c r="FW139" s="179"/>
      <c r="FX139" s="179"/>
      <c r="FY139" s="179"/>
      <c r="FZ139" s="179"/>
      <c r="GA139" s="179"/>
      <c r="GB139" s="179"/>
      <c r="GC139" s="179"/>
      <c r="GD139" s="179"/>
      <c r="GE139" s="179"/>
      <c r="GF139" s="179"/>
      <c r="GG139" s="179"/>
      <c r="GH139" s="179"/>
      <c r="GI139" s="179"/>
      <c r="GJ139" s="179"/>
      <c r="GK139" s="179"/>
      <c r="GL139" s="179"/>
      <c r="GM139" s="179"/>
      <c r="GN139" s="179"/>
      <c r="GO139" s="179"/>
      <c r="GP139" s="179"/>
      <c r="GQ139" s="179"/>
      <c r="GR139" s="179"/>
      <c r="GS139" s="179"/>
      <c r="GT139" s="179"/>
      <c r="GU139" s="179"/>
      <c r="GV139" s="179"/>
      <c r="GW139" s="179"/>
      <c r="GX139" s="179"/>
      <c r="GY139" s="179"/>
      <c r="GZ139" s="179"/>
      <c r="HA139" s="179"/>
      <c r="HB139" s="179"/>
      <c r="HC139" s="179"/>
      <c r="HD139" s="179"/>
      <c r="HE139" s="179"/>
      <c r="HF139" s="179"/>
      <c r="HG139" s="179"/>
      <c r="HH139" s="179"/>
      <c r="HI139" s="179"/>
      <c r="HJ139" s="179"/>
      <c r="HK139" s="179"/>
      <c r="HL139" s="179"/>
      <c r="HM139" s="179"/>
      <c r="HN139" s="179"/>
      <c r="HO139" s="179"/>
      <c r="HP139" s="179"/>
      <c r="HQ139" s="179"/>
      <c r="HR139" s="179"/>
      <c r="HS139" s="179"/>
      <c r="HT139" s="179"/>
      <c r="HU139" s="179"/>
      <c r="HV139" s="179"/>
      <c r="HW139" s="179"/>
      <c r="HX139" s="179"/>
      <c r="HY139" s="179"/>
      <c r="HZ139" s="179"/>
      <c r="IA139" s="179"/>
      <c r="IB139" s="179"/>
      <c r="IC139" s="179"/>
      <c r="ID139" s="179"/>
      <c r="IE139" s="179"/>
      <c r="IF139" s="179"/>
      <c r="IG139" s="179"/>
      <c r="IH139" s="179"/>
      <c r="II139" s="179"/>
      <c r="IJ139" s="179"/>
      <c r="IK139" s="179"/>
      <c r="IL139" s="179"/>
      <c r="IM139" s="179"/>
      <c r="IN139" s="179"/>
      <c r="IO139" s="179"/>
      <c r="IP139" s="179"/>
      <c r="IQ139" s="179"/>
      <c r="IR139" s="179"/>
      <c r="IS139" s="179"/>
      <c r="IT139" s="179"/>
      <c r="IU139" s="179"/>
      <c r="IV139" s="179"/>
      <c r="IW139" s="179"/>
      <c r="IX139" s="179"/>
      <c r="IY139" s="179"/>
      <c r="IZ139" s="179"/>
      <c r="JA139" s="179"/>
      <c r="JB139" s="179"/>
      <c r="JC139" s="179"/>
      <c r="JD139" s="179"/>
      <c r="JE139" s="179"/>
      <c r="JF139" s="179"/>
      <c r="JG139" s="179"/>
      <c r="JH139" s="179"/>
      <c r="JI139" s="179"/>
    </row>
    <row r="140" spans="1:269" ht="16.8" thickTop="1" thickBot="1">
      <c r="A140" s="1177" t="s">
        <v>535</v>
      </c>
      <c r="B140" s="1022"/>
      <c r="C140" s="998"/>
      <c r="D140" s="999"/>
      <c r="E140" s="999"/>
      <c r="F140" s="1000"/>
      <c r="G140" s="1001"/>
      <c r="H140" s="1002"/>
      <c r="I140" s="1003"/>
      <c r="J140" s="1004"/>
      <c r="K140" s="1004"/>
      <c r="L140" s="1005"/>
      <c r="M140" s="1006"/>
      <c r="N140" s="1007"/>
      <c r="O140" s="1007"/>
      <c r="P140" s="1008"/>
      <c r="Q140" s="1009"/>
      <c r="R140" s="1010"/>
      <c r="S140" s="1010"/>
      <c r="T140" s="1011"/>
      <c r="U140" s="1012"/>
      <c r="V140" s="1011"/>
      <c r="W140" s="1011"/>
      <c r="X140" s="1008"/>
      <c r="Y140" s="1012"/>
      <c r="Z140" s="1011"/>
      <c r="AA140" s="1011"/>
      <c r="AB140" s="1008"/>
      <c r="AC140" s="1012"/>
      <c r="AD140" s="1011"/>
      <c r="AE140" s="1011"/>
      <c r="AF140" s="1008"/>
      <c r="AG140" s="1012"/>
      <c r="AH140" s="1004"/>
      <c r="AI140" s="1004"/>
      <c r="AJ140" s="1008"/>
      <c r="AK140" s="1006"/>
      <c r="AL140" s="1007"/>
      <c r="AM140" s="1007"/>
      <c r="AN140" s="1013"/>
      <c r="AO140" s="1014"/>
      <c r="AP140" s="1015"/>
      <c r="AQ140" s="1015"/>
      <c r="AR140" s="1016"/>
      <c r="AS140" s="1014"/>
      <c r="AT140" s="1015"/>
      <c r="AU140" s="1015"/>
      <c r="AV140" s="1016"/>
      <c r="AW140" s="1014"/>
      <c r="AX140" s="1015"/>
      <c r="AY140" s="1015"/>
      <c r="AZ140" s="1016"/>
      <c r="BA140" s="1014"/>
      <c r="BB140" s="1015"/>
      <c r="BC140" s="1015"/>
      <c r="BD140" s="1016"/>
      <c r="BE140" s="1014"/>
      <c r="BF140" s="1015"/>
      <c r="BG140" s="1015"/>
      <c r="BH140" s="1016"/>
      <c r="BI140" s="1014"/>
      <c r="BJ140" s="1015"/>
      <c r="BK140" s="1015"/>
      <c r="BL140" s="1017"/>
      <c r="BM140" s="1014"/>
      <c r="BN140" s="1015"/>
      <c r="BO140" s="1015"/>
      <c r="BP140" s="1017"/>
      <c r="BQ140" s="1018"/>
      <c r="BR140" s="1019"/>
      <c r="BS140" s="1019"/>
      <c r="BT140" s="1023"/>
      <c r="BU140" s="1024"/>
      <c r="BV140" s="1025"/>
      <c r="BW140" s="1026"/>
      <c r="BX140" s="1027"/>
      <c r="BY140" s="1018"/>
      <c r="BZ140" s="1019"/>
      <c r="CA140" s="1019"/>
      <c r="CB140" s="1023"/>
      <c r="CC140" s="247"/>
      <c r="CD140" s="351"/>
      <c r="CE140" s="351"/>
      <c r="CF140" s="245"/>
      <c r="CG140" s="356"/>
      <c r="CH140" s="351"/>
      <c r="CI140" s="356"/>
      <c r="CJ140" s="246"/>
      <c r="CK140" s="1028"/>
      <c r="CL140" s="1029"/>
      <c r="CM140" s="1028"/>
      <c r="CN140" s="1028"/>
      <c r="CO140" s="1028"/>
      <c r="CP140" s="1028"/>
      <c r="CQ140" s="1028"/>
      <c r="CR140" s="1028"/>
      <c r="CS140" s="1028"/>
      <c r="CT140" s="1028"/>
      <c r="CU140" s="1028"/>
      <c r="CV140" s="1028"/>
      <c r="CW140" s="1028"/>
      <c r="CX140" s="1028"/>
      <c r="CY140" s="1028"/>
      <c r="CZ140" s="1028"/>
      <c r="DA140" s="1028"/>
      <c r="DB140" s="1028"/>
      <c r="DC140" s="1028"/>
      <c r="DD140" s="1028"/>
      <c r="DE140" s="1033"/>
      <c r="DF140" s="1114"/>
      <c r="DG140" s="1020"/>
      <c r="DH140" s="1020"/>
      <c r="DI140" s="1059">
        <f>SUMPRODUCT((MOD(COLUMN(I140:DD140)-COLUMN(I140),4)=1)*I140:DD140)</f>
        <v>0</v>
      </c>
      <c r="DJ140" s="1059">
        <f>SUMPRODUCT((MOD(COLUMN(I140:DD140)-COLUMN(J140),4)=2)*I140:DD140)</f>
        <v>0</v>
      </c>
      <c r="DK140" s="153"/>
      <c r="DL140" s="862"/>
      <c r="DM140" s="1115"/>
      <c r="DN140" s="178"/>
      <c r="DO140" s="694">
        <f t="shared" si="22"/>
        <v>0</v>
      </c>
      <c r="DP140" s="694">
        <f>DO140-Detailed[[#This Row],[Column66]]</f>
        <v>0</v>
      </c>
      <c r="DQ140" s="179"/>
      <c r="DR140" s="179"/>
      <c r="DS140" s="231"/>
      <c r="DT140" s="179"/>
      <c r="DU140" s="179"/>
      <c r="DV140" s="179"/>
      <c r="DW140" s="179"/>
      <c r="DX140" s="179"/>
      <c r="DY140" s="179"/>
      <c r="DZ140" s="179"/>
      <c r="EA140" s="179"/>
      <c r="EB140" s="179"/>
      <c r="EC140" s="179"/>
      <c r="ED140" s="179"/>
      <c r="EE140" s="179"/>
      <c r="EF140" s="179"/>
      <c r="EG140" s="179"/>
      <c r="EH140" s="179"/>
      <c r="EI140" s="179"/>
      <c r="EJ140" s="179"/>
      <c r="EK140" s="179"/>
      <c r="EL140" s="179"/>
      <c r="EM140" s="179"/>
      <c r="EN140" s="179"/>
      <c r="EO140" s="179"/>
      <c r="EP140" s="179"/>
      <c r="EQ140" s="179"/>
      <c r="ER140" s="179"/>
      <c r="ES140" s="179"/>
      <c r="ET140" s="179"/>
      <c r="EU140" s="179"/>
      <c r="EV140" s="179"/>
      <c r="EW140" s="179"/>
      <c r="EX140" s="179"/>
      <c r="EY140" s="179"/>
      <c r="EZ140" s="179"/>
      <c r="FA140" s="179"/>
      <c r="FB140" s="179"/>
      <c r="FC140" s="179"/>
      <c r="FD140" s="179"/>
      <c r="FE140" s="179"/>
      <c r="FF140" s="179"/>
      <c r="FG140" s="179"/>
      <c r="FH140" s="179"/>
      <c r="FI140" s="179"/>
      <c r="FJ140" s="179"/>
      <c r="FK140" s="179"/>
      <c r="FL140" s="179"/>
      <c r="FM140" s="179"/>
      <c r="FN140" s="179"/>
      <c r="FO140" s="179"/>
      <c r="FP140" s="179"/>
      <c r="FQ140" s="179"/>
      <c r="FR140" s="179"/>
      <c r="FS140" s="179"/>
      <c r="FT140" s="179"/>
      <c r="FU140" s="179"/>
      <c r="FV140" s="179"/>
      <c r="FW140" s="179"/>
      <c r="FX140" s="179"/>
      <c r="FY140" s="179"/>
      <c r="FZ140" s="179"/>
      <c r="GA140" s="179"/>
      <c r="GB140" s="179"/>
      <c r="GC140" s="179"/>
      <c r="GD140" s="179"/>
      <c r="GE140" s="179"/>
      <c r="GF140" s="179"/>
      <c r="GG140" s="179"/>
      <c r="GH140" s="179"/>
      <c r="GI140" s="179"/>
      <c r="GJ140" s="179"/>
      <c r="GK140" s="179"/>
      <c r="GL140" s="179"/>
      <c r="GM140" s="179"/>
      <c r="GN140" s="179"/>
      <c r="GO140" s="179"/>
      <c r="GP140" s="179"/>
      <c r="GQ140" s="179"/>
      <c r="GR140" s="179"/>
      <c r="GS140" s="179"/>
      <c r="GT140" s="179"/>
      <c r="GU140" s="179"/>
      <c r="GV140" s="179"/>
      <c r="GW140" s="179"/>
      <c r="GX140" s="179"/>
      <c r="GY140" s="179"/>
      <c r="GZ140" s="179"/>
      <c r="HA140" s="179"/>
      <c r="HB140" s="179"/>
      <c r="HC140" s="179"/>
      <c r="HD140" s="179"/>
      <c r="HE140" s="179"/>
      <c r="HF140" s="179"/>
      <c r="HG140" s="179"/>
      <c r="HH140" s="179"/>
      <c r="HI140" s="179"/>
      <c r="HJ140" s="179"/>
      <c r="HK140" s="179"/>
      <c r="HL140" s="179"/>
      <c r="HM140" s="179"/>
      <c r="HN140" s="179"/>
      <c r="HO140" s="179"/>
      <c r="HP140" s="179"/>
      <c r="HQ140" s="179"/>
      <c r="HR140" s="179"/>
      <c r="HS140" s="179"/>
      <c r="HT140" s="179"/>
      <c r="HU140" s="179"/>
      <c r="HV140" s="179"/>
      <c r="HW140" s="179"/>
      <c r="HX140" s="179"/>
      <c r="HY140" s="179"/>
      <c r="HZ140" s="179"/>
      <c r="IA140" s="179"/>
      <c r="IB140" s="179"/>
      <c r="IC140" s="179"/>
      <c r="ID140" s="179"/>
      <c r="IE140" s="179"/>
      <c r="IF140" s="179"/>
      <c r="IG140" s="179"/>
      <c r="IH140" s="179"/>
      <c r="II140" s="179"/>
      <c r="IJ140" s="179"/>
      <c r="IK140" s="179"/>
      <c r="IL140" s="179"/>
      <c r="IM140" s="179"/>
      <c r="IN140" s="179"/>
      <c r="IO140" s="179"/>
      <c r="IP140" s="179"/>
      <c r="IQ140" s="179"/>
      <c r="IR140" s="179"/>
      <c r="IS140" s="179"/>
      <c r="IT140" s="179"/>
      <c r="IU140" s="179"/>
      <c r="IV140" s="179"/>
      <c r="IW140" s="179"/>
      <c r="IX140" s="179"/>
      <c r="IY140" s="179"/>
      <c r="IZ140" s="179"/>
      <c r="JA140" s="179"/>
      <c r="JB140" s="179"/>
      <c r="JC140" s="179"/>
      <c r="JD140" s="179"/>
      <c r="JE140" s="179"/>
      <c r="JF140" s="179"/>
      <c r="JG140" s="179"/>
      <c r="JH140" s="179"/>
      <c r="JI140" s="179"/>
    </row>
    <row r="141" spans="1:269" ht="16.8" thickTop="1" thickBot="1">
      <c r="A141" s="1178"/>
      <c r="B141" s="1022"/>
      <c r="C141" s="998"/>
      <c r="D141" s="999"/>
      <c r="E141" s="999"/>
      <c r="F141" s="1000"/>
      <c r="G141" s="1001"/>
      <c r="H141" s="1002"/>
      <c r="I141" s="1003"/>
      <c r="J141" s="1004"/>
      <c r="K141" s="1004"/>
      <c r="L141" s="1005"/>
      <c r="M141" s="1006"/>
      <c r="N141" s="1007"/>
      <c r="O141" s="1007"/>
      <c r="P141" s="1008"/>
      <c r="Q141" s="1009"/>
      <c r="R141" s="1010"/>
      <c r="S141" s="1010"/>
      <c r="T141" s="1011"/>
      <c r="U141" s="1012"/>
      <c r="V141" s="1011"/>
      <c r="W141" s="1011"/>
      <c r="X141" s="1008"/>
      <c r="Y141" s="1012"/>
      <c r="Z141" s="1011"/>
      <c r="AA141" s="1011"/>
      <c r="AB141" s="1008"/>
      <c r="AC141" s="1012"/>
      <c r="AD141" s="1011"/>
      <c r="AE141" s="1011"/>
      <c r="AF141" s="1008"/>
      <c r="AG141" s="1012"/>
      <c r="AH141" s="1004"/>
      <c r="AI141" s="1004"/>
      <c r="AJ141" s="1008"/>
      <c r="AK141" s="1006"/>
      <c r="AL141" s="1007"/>
      <c r="AM141" s="1007"/>
      <c r="AN141" s="1013"/>
      <c r="AO141" s="1014"/>
      <c r="AP141" s="1015"/>
      <c r="AQ141" s="1015"/>
      <c r="AR141" s="1016"/>
      <c r="AS141" s="1014"/>
      <c r="AT141" s="1015"/>
      <c r="AU141" s="1015"/>
      <c r="AV141" s="1016"/>
      <c r="AW141" s="1014"/>
      <c r="AX141" s="1015"/>
      <c r="AY141" s="1015"/>
      <c r="AZ141" s="1016"/>
      <c r="BA141" s="1014"/>
      <c r="BB141" s="1015"/>
      <c r="BC141" s="1015"/>
      <c r="BD141" s="1016"/>
      <c r="BE141" s="1014"/>
      <c r="BF141" s="1015"/>
      <c r="BG141" s="1015"/>
      <c r="BH141" s="1016"/>
      <c r="BI141" s="1014"/>
      <c r="BJ141" s="1015"/>
      <c r="BK141" s="1015"/>
      <c r="BL141" s="1017"/>
      <c r="BM141" s="1014"/>
      <c r="BN141" s="1015"/>
      <c r="BO141" s="1015"/>
      <c r="BP141" s="1017"/>
      <c r="BQ141" s="1018"/>
      <c r="BR141" s="1019"/>
      <c r="BS141" s="1019"/>
      <c r="BT141" s="1023"/>
      <c r="BU141" s="1024"/>
      <c r="BV141" s="1025"/>
      <c r="BW141" s="1026"/>
      <c r="BX141" s="1027"/>
      <c r="BY141" s="1018"/>
      <c r="BZ141" s="1019"/>
      <c r="CA141" s="1019"/>
      <c r="CB141" s="1023"/>
      <c r="CC141" s="247"/>
      <c r="CD141" s="351"/>
      <c r="CE141" s="351"/>
      <c r="CF141" s="245"/>
      <c r="CG141" s="356"/>
      <c r="CH141" s="351"/>
      <c r="CI141" s="356"/>
      <c r="CJ141" s="246"/>
      <c r="CK141" s="1028"/>
      <c r="CL141" s="1029"/>
      <c r="CM141" s="1028"/>
      <c r="CN141" s="1028"/>
      <c r="CO141" s="1028"/>
      <c r="CP141" s="1028"/>
      <c r="CQ141" s="1028"/>
      <c r="CR141" s="1028"/>
      <c r="CS141" s="1028"/>
      <c r="CT141" s="1028"/>
      <c r="CU141" s="1028"/>
      <c r="CV141" s="1028"/>
      <c r="CW141" s="1028"/>
      <c r="CX141" s="1028"/>
      <c r="CY141" s="1028"/>
      <c r="CZ141" s="1028"/>
      <c r="DA141" s="1028"/>
      <c r="DB141" s="1028"/>
      <c r="DC141" s="1028"/>
      <c r="DD141" s="1028"/>
      <c r="DE141" s="1033"/>
      <c r="DF141" s="1114"/>
      <c r="DG141" s="1020"/>
      <c r="DH141" s="1020"/>
      <c r="DI141" s="1059">
        <f>SUMPRODUCT((MOD(COLUMN(I141:DD141)-COLUMN(I141),4)=1)*I141:DD141)</f>
        <v>0</v>
      </c>
      <c r="DJ141" s="1059">
        <f>SUMPRODUCT((MOD(COLUMN(I141:DD141)-COLUMN(J141),4)=2)*I141:DD141)</f>
        <v>0</v>
      </c>
      <c r="DK141" s="153"/>
      <c r="DL141" s="862"/>
      <c r="DM141" s="1115"/>
      <c r="DN141" s="178"/>
      <c r="DO141" s="694">
        <f t="shared" si="22"/>
        <v>0</v>
      </c>
      <c r="DP141" s="694">
        <f>DO141-Detailed[[#This Row],[Column66]]</f>
        <v>0</v>
      </c>
      <c r="DQ141" s="179"/>
      <c r="DR141" s="179"/>
      <c r="DS141" s="231"/>
      <c r="DT141" s="179"/>
      <c r="DU141" s="179"/>
      <c r="DV141" s="179"/>
      <c r="DW141" s="179"/>
      <c r="DX141" s="179"/>
      <c r="DY141" s="179"/>
      <c r="DZ141" s="179"/>
      <c r="EA141" s="179"/>
      <c r="EB141" s="179"/>
      <c r="EC141" s="179"/>
      <c r="ED141" s="179"/>
      <c r="EE141" s="179"/>
      <c r="EF141" s="179"/>
      <c r="EG141" s="179"/>
      <c r="EH141" s="179"/>
      <c r="EI141" s="179"/>
      <c r="EJ141" s="179"/>
      <c r="EK141" s="179"/>
      <c r="EL141" s="179"/>
      <c r="EM141" s="179"/>
      <c r="EN141" s="179"/>
      <c r="EO141" s="179"/>
      <c r="EP141" s="179"/>
      <c r="EQ141" s="179"/>
      <c r="ER141" s="179"/>
      <c r="ES141" s="179"/>
      <c r="ET141" s="179"/>
      <c r="EU141" s="179"/>
      <c r="EV141" s="179"/>
      <c r="EW141" s="179"/>
      <c r="EX141" s="179"/>
      <c r="EY141" s="179"/>
      <c r="EZ141" s="179"/>
      <c r="FA141" s="179"/>
      <c r="FB141" s="179"/>
      <c r="FC141" s="179"/>
      <c r="FD141" s="179"/>
      <c r="FE141" s="179"/>
      <c r="FF141" s="179"/>
      <c r="FG141" s="179"/>
      <c r="FH141" s="179"/>
      <c r="FI141" s="179"/>
      <c r="FJ141" s="179"/>
      <c r="FK141" s="179"/>
      <c r="FL141" s="179"/>
      <c r="FM141" s="179"/>
      <c r="FN141" s="179"/>
      <c r="FO141" s="179"/>
      <c r="FP141" s="179"/>
      <c r="FQ141" s="179"/>
      <c r="FR141" s="179"/>
      <c r="FS141" s="179"/>
      <c r="FT141" s="179"/>
      <c r="FU141" s="179"/>
      <c r="FV141" s="179"/>
      <c r="FW141" s="179"/>
      <c r="FX141" s="179"/>
      <c r="FY141" s="179"/>
      <c r="FZ141" s="179"/>
      <c r="GA141" s="179"/>
      <c r="GB141" s="179"/>
      <c r="GC141" s="179"/>
      <c r="GD141" s="179"/>
      <c r="GE141" s="179"/>
      <c r="GF141" s="179"/>
      <c r="GG141" s="179"/>
      <c r="GH141" s="179"/>
      <c r="GI141" s="179"/>
      <c r="GJ141" s="179"/>
      <c r="GK141" s="179"/>
      <c r="GL141" s="179"/>
      <c r="GM141" s="179"/>
      <c r="GN141" s="179"/>
      <c r="GO141" s="179"/>
      <c r="GP141" s="179"/>
      <c r="GQ141" s="179"/>
      <c r="GR141" s="179"/>
      <c r="GS141" s="179"/>
      <c r="GT141" s="179"/>
      <c r="GU141" s="179"/>
      <c r="GV141" s="179"/>
      <c r="GW141" s="179"/>
      <c r="GX141" s="179"/>
      <c r="GY141" s="179"/>
      <c r="GZ141" s="179"/>
      <c r="HA141" s="179"/>
      <c r="HB141" s="179"/>
      <c r="HC141" s="179"/>
      <c r="HD141" s="179"/>
      <c r="HE141" s="179"/>
      <c r="HF141" s="179"/>
      <c r="HG141" s="179"/>
      <c r="HH141" s="179"/>
      <c r="HI141" s="179"/>
      <c r="HJ141" s="179"/>
      <c r="HK141" s="179"/>
      <c r="HL141" s="179"/>
      <c r="HM141" s="179"/>
      <c r="HN141" s="179"/>
      <c r="HO141" s="179"/>
      <c r="HP141" s="179"/>
      <c r="HQ141" s="179"/>
      <c r="HR141" s="179"/>
      <c r="HS141" s="179"/>
      <c r="HT141" s="179"/>
      <c r="HU141" s="179"/>
      <c r="HV141" s="179"/>
      <c r="HW141" s="179"/>
      <c r="HX141" s="179"/>
      <c r="HY141" s="179"/>
      <c r="HZ141" s="179"/>
      <c r="IA141" s="179"/>
      <c r="IB141" s="179"/>
      <c r="IC141" s="179"/>
      <c r="ID141" s="179"/>
      <c r="IE141" s="179"/>
      <c r="IF141" s="179"/>
      <c r="IG141" s="179"/>
      <c r="IH141" s="179"/>
      <c r="II141" s="179"/>
      <c r="IJ141" s="179"/>
      <c r="IK141" s="179"/>
      <c r="IL141" s="179"/>
      <c r="IM141" s="179"/>
      <c r="IN141" s="179"/>
      <c r="IO141" s="179"/>
      <c r="IP141" s="179"/>
      <c r="IQ141" s="179"/>
      <c r="IR141" s="179"/>
      <c r="IS141" s="179"/>
      <c r="IT141" s="179"/>
      <c r="IU141" s="179"/>
      <c r="IV141" s="179"/>
      <c r="IW141" s="179"/>
      <c r="IX141" s="179"/>
      <c r="IY141" s="179"/>
      <c r="IZ141" s="179"/>
      <c r="JA141" s="179"/>
      <c r="JB141" s="179"/>
      <c r="JC141" s="179"/>
      <c r="JD141" s="179"/>
      <c r="JE141" s="179"/>
      <c r="JF141" s="179"/>
      <c r="JG141" s="179"/>
      <c r="JH141" s="179"/>
      <c r="JI141" s="179"/>
    </row>
    <row r="142" spans="1:269" ht="16.2" thickTop="1">
      <c r="A142" s="1179"/>
      <c r="B142" s="777"/>
      <c r="C142" s="778"/>
      <c r="D142" s="779"/>
      <c r="E142" s="779"/>
      <c r="F142" s="780"/>
      <c r="G142" s="781"/>
      <c r="H142" s="782"/>
      <c r="I142" s="783"/>
      <c r="J142" s="784"/>
      <c r="K142" s="784"/>
      <c r="L142" s="785"/>
      <c r="M142" s="786"/>
      <c r="N142" s="787"/>
      <c r="O142" s="787"/>
      <c r="P142" s="788"/>
      <c r="Q142" s="789"/>
      <c r="R142" s="790"/>
      <c r="S142" s="790"/>
      <c r="T142" s="791"/>
      <c r="U142" s="792"/>
      <c r="V142" s="791"/>
      <c r="W142" s="791"/>
      <c r="X142" s="788"/>
      <c r="Y142" s="792"/>
      <c r="Z142" s="791"/>
      <c r="AA142" s="791"/>
      <c r="AB142" s="788"/>
      <c r="AC142" s="792"/>
      <c r="AD142" s="791"/>
      <c r="AE142" s="791"/>
      <c r="AF142" s="788"/>
      <c r="AG142" s="792"/>
      <c r="AH142" s="784"/>
      <c r="AI142" s="784"/>
      <c r="AJ142" s="788"/>
      <c r="AK142" s="786"/>
      <c r="AL142" s="787"/>
      <c r="AM142" s="787"/>
      <c r="AN142" s="793"/>
      <c r="AO142" s="794"/>
      <c r="AP142" s="795"/>
      <c r="AQ142" s="795"/>
      <c r="AR142" s="796"/>
      <c r="AS142" s="794"/>
      <c r="AT142" s="795"/>
      <c r="AU142" s="795"/>
      <c r="AV142" s="796"/>
      <c r="AW142" s="794"/>
      <c r="AX142" s="795"/>
      <c r="AY142" s="795"/>
      <c r="AZ142" s="796"/>
      <c r="BA142" s="794"/>
      <c r="BB142" s="795"/>
      <c r="BC142" s="795"/>
      <c r="BD142" s="796"/>
      <c r="BE142" s="794"/>
      <c r="BF142" s="795"/>
      <c r="BG142" s="795"/>
      <c r="BH142" s="796"/>
      <c r="BI142" s="794"/>
      <c r="BJ142" s="795"/>
      <c r="BK142" s="795"/>
      <c r="BL142" s="797"/>
      <c r="BM142" s="794"/>
      <c r="BN142" s="795"/>
      <c r="BO142" s="795"/>
      <c r="BP142" s="797"/>
      <c r="BQ142" s="798"/>
      <c r="BR142" s="799"/>
      <c r="BS142" s="799"/>
      <c r="BT142" s="800"/>
      <c r="BU142" s="801"/>
      <c r="BV142" s="802"/>
      <c r="BW142" s="803"/>
      <c r="BX142" s="804"/>
      <c r="BY142" s="798"/>
      <c r="BZ142" s="799"/>
      <c r="CA142" s="799"/>
      <c r="CB142" s="800"/>
      <c r="CC142" s="247"/>
      <c r="CD142" s="351"/>
      <c r="CE142" s="351"/>
      <c r="CF142" s="245"/>
      <c r="CG142" s="356"/>
      <c r="CH142" s="351"/>
      <c r="CI142" s="356"/>
      <c r="CJ142" s="246"/>
      <c r="CK142" s="805"/>
      <c r="CL142" s="806"/>
      <c r="CM142" s="805"/>
      <c r="CN142" s="805"/>
      <c r="CO142" s="805"/>
      <c r="CP142" s="805"/>
      <c r="CQ142" s="805"/>
      <c r="CR142" s="805"/>
      <c r="CS142" s="805"/>
      <c r="CT142" s="805"/>
      <c r="CU142" s="805"/>
      <c r="CV142" s="805"/>
      <c r="CW142" s="805"/>
      <c r="CX142" s="805"/>
      <c r="CY142" s="805"/>
      <c r="CZ142" s="805"/>
      <c r="DA142" s="805"/>
      <c r="DB142" s="805"/>
      <c r="DC142" s="805"/>
      <c r="DD142" s="805"/>
      <c r="DE142" s="1033"/>
      <c r="DF142" s="1103"/>
      <c r="DG142" s="807"/>
      <c r="DH142" s="807"/>
      <c r="DI142" s="1059">
        <f>SUMPRODUCT((MOD(COLUMN(I142:DD142)-COLUMN(I142),4)=1)*I142:DD142)</f>
        <v>0</v>
      </c>
      <c r="DJ142" s="1059">
        <f>SUMPRODUCT((MOD(COLUMN(I142:DD142)-COLUMN(J142),4)=2)*I142:DD142)</f>
        <v>0</v>
      </c>
      <c r="DK142" s="153"/>
      <c r="DL142" s="862"/>
      <c r="DM142" s="1104"/>
      <c r="DN142" s="178"/>
      <c r="DO142" s="694">
        <f t="shared" si="22"/>
        <v>0</v>
      </c>
      <c r="DP142" s="694">
        <f>DO142-Detailed[[#This Row],[Column66]]</f>
        <v>0</v>
      </c>
      <c r="DQ142" s="179"/>
      <c r="DR142" s="179"/>
      <c r="DS142" s="231"/>
      <c r="DT142" s="179"/>
      <c r="DU142" s="179"/>
      <c r="DV142" s="179"/>
      <c r="DW142" s="179"/>
      <c r="DX142" s="179"/>
      <c r="DY142" s="179"/>
      <c r="DZ142" s="179"/>
      <c r="EA142" s="179"/>
      <c r="EB142" s="179"/>
      <c r="EC142" s="179"/>
      <c r="ED142" s="179"/>
      <c r="EE142" s="179"/>
      <c r="EF142" s="179"/>
      <c r="EG142" s="179"/>
      <c r="EH142" s="179"/>
      <c r="EI142" s="179"/>
      <c r="EJ142" s="179"/>
      <c r="EK142" s="179"/>
      <c r="EL142" s="179"/>
      <c r="EM142" s="179"/>
      <c r="EN142" s="179"/>
      <c r="EO142" s="179"/>
      <c r="EP142" s="179"/>
      <c r="EQ142" s="179"/>
      <c r="ER142" s="179"/>
      <c r="ES142" s="179"/>
      <c r="ET142" s="179"/>
      <c r="EU142" s="179"/>
      <c r="EV142" s="179"/>
      <c r="EW142" s="179"/>
      <c r="EX142" s="179"/>
      <c r="EY142" s="179"/>
      <c r="EZ142" s="179"/>
      <c r="FA142" s="179"/>
      <c r="FB142" s="179"/>
      <c r="FC142" s="179"/>
      <c r="FD142" s="179"/>
      <c r="FE142" s="179"/>
      <c r="FF142" s="179"/>
      <c r="FG142" s="179"/>
      <c r="FH142" s="179"/>
      <c r="FI142" s="179"/>
      <c r="FJ142" s="179"/>
      <c r="FK142" s="179"/>
      <c r="FL142" s="179"/>
      <c r="FM142" s="179"/>
      <c r="FN142" s="179"/>
      <c r="FO142" s="179"/>
      <c r="FP142" s="179"/>
      <c r="FQ142" s="179"/>
      <c r="FR142" s="179"/>
      <c r="FS142" s="179"/>
      <c r="FT142" s="179"/>
      <c r="FU142" s="179"/>
      <c r="FV142" s="179"/>
      <c r="FW142" s="179"/>
      <c r="FX142" s="179"/>
      <c r="FY142" s="179"/>
      <c r="FZ142" s="179"/>
      <c r="GA142" s="179"/>
      <c r="GB142" s="179"/>
      <c r="GC142" s="179"/>
      <c r="GD142" s="179"/>
      <c r="GE142" s="179"/>
      <c r="GF142" s="179"/>
      <c r="GG142" s="179"/>
      <c r="GH142" s="179"/>
      <c r="GI142" s="179"/>
      <c r="GJ142" s="179"/>
      <c r="GK142" s="179"/>
      <c r="GL142" s="179"/>
      <c r="GM142" s="179"/>
      <c r="GN142" s="179"/>
      <c r="GO142" s="179"/>
      <c r="GP142" s="179"/>
      <c r="GQ142" s="179"/>
      <c r="GR142" s="179"/>
      <c r="GS142" s="179"/>
      <c r="GT142" s="179"/>
      <c r="GU142" s="179"/>
      <c r="GV142" s="179"/>
      <c r="GW142" s="179"/>
      <c r="GX142" s="179"/>
      <c r="GY142" s="179"/>
      <c r="GZ142" s="179"/>
      <c r="HA142" s="179"/>
      <c r="HB142" s="179"/>
      <c r="HC142" s="179"/>
      <c r="HD142" s="179"/>
      <c r="HE142" s="179"/>
      <c r="HF142" s="179"/>
      <c r="HG142" s="179"/>
      <c r="HH142" s="179"/>
      <c r="HI142" s="179"/>
      <c r="HJ142" s="179"/>
      <c r="HK142" s="179"/>
      <c r="HL142" s="179"/>
      <c r="HM142" s="179"/>
      <c r="HN142" s="179"/>
      <c r="HO142" s="179"/>
      <c r="HP142" s="179"/>
      <c r="HQ142" s="179"/>
      <c r="HR142" s="179"/>
      <c r="HS142" s="179"/>
      <c r="HT142" s="179"/>
      <c r="HU142" s="179"/>
      <c r="HV142" s="179"/>
      <c r="HW142" s="179"/>
      <c r="HX142" s="179"/>
      <c r="HY142" s="179"/>
      <c r="HZ142" s="179"/>
      <c r="IA142" s="179"/>
      <c r="IB142" s="179"/>
      <c r="IC142" s="179"/>
      <c r="ID142" s="179"/>
      <c r="IE142" s="179"/>
      <c r="IF142" s="179"/>
      <c r="IG142" s="179"/>
      <c r="IH142" s="179"/>
      <c r="II142" s="179"/>
      <c r="IJ142" s="179"/>
      <c r="IK142" s="179"/>
      <c r="IL142" s="179"/>
      <c r="IM142" s="179"/>
      <c r="IN142" s="179"/>
      <c r="IO142" s="179"/>
      <c r="IP142" s="179"/>
      <c r="IQ142" s="179"/>
      <c r="IR142" s="179"/>
      <c r="IS142" s="179"/>
      <c r="IT142" s="179"/>
      <c r="IU142" s="179"/>
      <c r="IV142" s="179"/>
      <c r="IW142" s="179"/>
      <c r="IX142" s="179"/>
      <c r="IY142" s="179"/>
      <c r="IZ142" s="179"/>
      <c r="JA142" s="179"/>
      <c r="JB142" s="179"/>
      <c r="JC142" s="179"/>
      <c r="JD142" s="179"/>
      <c r="JE142" s="179"/>
      <c r="JF142" s="179"/>
      <c r="JG142" s="179"/>
      <c r="JH142" s="179"/>
      <c r="JI142" s="179"/>
    </row>
    <row r="143" spans="1:269" ht="16.2" thickBot="1">
      <c r="A143" s="1180"/>
      <c r="B143" s="57"/>
      <c r="C143" s="140"/>
      <c r="D143" s="141"/>
      <c r="E143" s="141"/>
      <c r="F143" s="142"/>
      <c r="G143" s="58"/>
      <c r="H143" s="59"/>
      <c r="I143" s="66"/>
      <c r="J143" s="345">
        <f>SUM(J138:J142)</f>
        <v>857830</v>
      </c>
      <c r="K143" s="345">
        <f>Detailed[[#This Row],[Column10]]*15%</f>
        <v>128674.5</v>
      </c>
      <c r="L143" s="345">
        <f>Detailed[[#This Row],[Column10]]+Detailed[[#This Row],[Column11]]</f>
        <v>986504.5</v>
      </c>
      <c r="M143" s="64"/>
      <c r="N143" s="65"/>
      <c r="O143" s="65"/>
      <c r="P143" s="56"/>
      <c r="Q143" s="68"/>
      <c r="R143" s="69"/>
      <c r="S143" s="69"/>
      <c r="T143" s="63"/>
      <c r="U143" s="54"/>
      <c r="V143" s="63"/>
      <c r="W143" s="63"/>
      <c r="X143" s="56"/>
      <c r="Y143" s="54"/>
      <c r="Z143" s="63"/>
      <c r="AA143" s="63"/>
      <c r="AB143" s="56"/>
      <c r="AC143" s="54"/>
      <c r="AD143" s="63"/>
      <c r="AE143" s="63"/>
      <c r="AF143" s="56"/>
      <c r="AG143" s="54"/>
      <c r="AH143" s="55"/>
      <c r="AI143" s="55"/>
      <c r="AJ143" s="56"/>
      <c r="AK143" s="64"/>
      <c r="AL143" s="65"/>
      <c r="AM143" s="65"/>
      <c r="AN143" s="125"/>
      <c r="AO143" s="123"/>
      <c r="AP143" s="124"/>
      <c r="AQ143" s="124"/>
      <c r="AR143" s="121"/>
      <c r="AS143" s="123"/>
      <c r="AT143" s="124"/>
      <c r="AU143" s="124"/>
      <c r="AV143" s="121"/>
      <c r="AW143" s="123"/>
      <c r="AX143" s="124"/>
      <c r="AY143" s="124"/>
      <c r="AZ143" s="121"/>
      <c r="BA143" s="123"/>
      <c r="BB143" s="124"/>
      <c r="BC143" s="124"/>
      <c r="BD143" s="121"/>
      <c r="BE143" s="123"/>
      <c r="BF143" s="124"/>
      <c r="BG143" s="124"/>
      <c r="BH143" s="121"/>
      <c r="BI143" s="123"/>
      <c r="BJ143" s="124"/>
      <c r="BK143" s="124"/>
      <c r="BL143" s="122"/>
      <c r="BM143" s="123"/>
      <c r="BN143" s="124"/>
      <c r="BO143" s="124"/>
      <c r="BP143" s="122"/>
      <c r="BQ143" s="158"/>
      <c r="BR143" s="434"/>
      <c r="BS143" s="434"/>
      <c r="BT143" s="443"/>
      <c r="BU143" s="173"/>
      <c r="BV143" s="215"/>
      <c r="BW143" s="444"/>
      <c r="BX143" s="205"/>
      <c r="BY143" s="158"/>
      <c r="BZ143" s="434"/>
      <c r="CA143" s="434"/>
      <c r="CB143" s="443"/>
      <c r="CC143" s="247"/>
      <c r="CD143" s="351"/>
      <c r="CE143" s="351"/>
      <c r="CF143" s="245"/>
      <c r="CG143" s="356"/>
      <c r="CH143" s="351"/>
      <c r="CI143" s="356"/>
      <c r="CJ143" s="246"/>
      <c r="CK143" s="311"/>
      <c r="CL143" s="352"/>
      <c r="CM143" s="311"/>
      <c r="CN143" s="311"/>
      <c r="CO143" s="311"/>
      <c r="CP143" s="311"/>
      <c r="CQ143" s="311"/>
      <c r="CR143" s="311"/>
      <c r="CS143" s="311"/>
      <c r="CT143" s="311"/>
      <c r="CU143" s="311"/>
      <c r="CV143" s="311"/>
      <c r="CW143" s="311"/>
      <c r="CX143" s="311"/>
      <c r="CY143" s="311"/>
      <c r="CZ143" s="311"/>
      <c r="DA143" s="311"/>
      <c r="DB143" s="311"/>
      <c r="DC143" s="311"/>
      <c r="DD143" s="311"/>
      <c r="DE143" s="1033"/>
      <c r="DF143" s="1082"/>
      <c r="DG143" s="128"/>
      <c r="DH143" s="128"/>
      <c r="DI143" s="128"/>
      <c r="DJ143" s="128"/>
      <c r="DK143" s="861"/>
      <c r="DL143" s="864"/>
      <c r="DM143" s="1087"/>
      <c r="DN143" s="178"/>
      <c r="DO143" s="694">
        <f t="shared" si="22"/>
        <v>857830</v>
      </c>
      <c r="DP143" s="694">
        <f>DO143-Detailed[[#This Row],[Column66]]</f>
        <v>857830</v>
      </c>
      <c r="DQ143" s="179"/>
      <c r="DR143" s="179"/>
      <c r="DS143" s="231">
        <f>DQ143-Detailed[[#This Row],[Column66]]</f>
        <v>0</v>
      </c>
      <c r="DT143" s="179"/>
      <c r="DU143" s="179"/>
      <c r="DV143" s="179"/>
      <c r="DW143" s="179"/>
      <c r="DX143" s="179"/>
      <c r="DY143" s="179"/>
      <c r="DZ143" s="179"/>
      <c r="EA143" s="179"/>
      <c r="EB143" s="179"/>
      <c r="EC143" s="179"/>
      <c r="ED143" s="179"/>
      <c r="EE143" s="179"/>
      <c r="EF143" s="179"/>
      <c r="EG143" s="179"/>
      <c r="EH143" s="179"/>
      <c r="EI143" s="179"/>
      <c r="EJ143" s="179"/>
      <c r="EK143" s="179"/>
    </row>
    <row r="144" spans="1:269" ht="16.2" thickTop="1">
      <c r="A144" s="1181"/>
      <c r="B144" s="150"/>
      <c r="C144" s="140"/>
      <c r="D144" s="141"/>
      <c r="E144" s="141"/>
      <c r="F144" s="142"/>
      <c r="G144" s="58"/>
      <c r="H144" s="574"/>
      <c r="I144" s="318"/>
      <c r="J144" s="55"/>
      <c r="K144" s="202"/>
      <c r="L144" s="67"/>
      <c r="M144" s="318"/>
      <c r="N144" s="55"/>
      <c r="O144" s="202"/>
      <c r="P144" s="47"/>
      <c r="Q144" s="318"/>
      <c r="R144" s="55"/>
      <c r="S144" s="55"/>
      <c r="T144" s="47"/>
      <c r="U144" s="318"/>
      <c r="V144" s="55"/>
      <c r="W144" s="55"/>
      <c r="X144" s="47"/>
      <c r="Y144" s="54"/>
      <c r="Z144" s="63"/>
      <c r="AA144" s="63"/>
      <c r="AB144" s="56"/>
      <c r="AC144" s="54"/>
      <c r="AD144" s="63"/>
      <c r="AE144" s="63"/>
      <c r="AF144" s="56"/>
      <c r="AG144" s="54"/>
      <c r="AH144" s="55"/>
      <c r="AI144" s="55"/>
      <c r="AJ144" s="56"/>
      <c r="AK144" s="64"/>
      <c r="AL144" s="65"/>
      <c r="AM144" s="65"/>
      <c r="AN144" s="305"/>
      <c r="AO144" s="306"/>
      <c r="AP144" s="307"/>
      <c r="AQ144" s="307"/>
      <c r="AR144" s="308"/>
      <c r="AS144" s="306"/>
      <c r="AT144" s="307"/>
      <c r="AU144" s="307"/>
      <c r="AV144" s="308"/>
      <c r="AW144" s="306"/>
      <c r="AX144" s="307"/>
      <c r="AY144" s="307"/>
      <c r="AZ144" s="308"/>
      <c r="BA144" s="306"/>
      <c r="BB144" s="307"/>
      <c r="BC144" s="307"/>
      <c r="BD144" s="308"/>
      <c r="BE144" s="306"/>
      <c r="BF144" s="307"/>
      <c r="BG144" s="307"/>
      <c r="BH144" s="308"/>
      <c r="BI144" s="306"/>
      <c r="BJ144" s="307"/>
      <c r="BK144" s="307"/>
      <c r="BL144" s="309"/>
      <c r="BM144" s="306"/>
      <c r="BN144" s="307"/>
      <c r="BO144" s="307"/>
      <c r="BP144" s="308"/>
      <c r="BQ144" s="304"/>
      <c r="BR144" s="337"/>
      <c r="BS144" s="337"/>
      <c r="BT144" s="330"/>
      <c r="BU144" s="340"/>
      <c r="BV144" s="304"/>
      <c r="BW144" s="337"/>
      <c r="BX144" s="366"/>
      <c r="BY144" s="304"/>
      <c r="BZ144" s="337"/>
      <c r="CA144" s="337"/>
      <c r="CB144" s="330"/>
      <c r="CC144" s="304"/>
      <c r="CD144" s="337"/>
      <c r="CE144" s="337"/>
      <c r="CF144" s="362"/>
      <c r="CG144" s="359"/>
      <c r="CH144" s="337"/>
      <c r="CI144" s="359"/>
      <c r="CJ144" s="330"/>
      <c r="CK144" s="359"/>
      <c r="CL144" s="337"/>
      <c r="CM144" s="359"/>
      <c r="CN144" s="330"/>
      <c r="CO144" s="330"/>
      <c r="CP144" s="330"/>
      <c r="CQ144" s="330"/>
      <c r="CR144" s="330"/>
      <c r="CS144" s="330"/>
      <c r="CT144" s="330"/>
      <c r="CU144" s="330"/>
      <c r="CV144" s="330"/>
      <c r="CW144" s="330"/>
      <c r="CX144" s="330"/>
      <c r="CY144" s="330"/>
      <c r="CZ144" s="330"/>
      <c r="DA144" s="330"/>
      <c r="DB144" s="330"/>
      <c r="DC144" s="330"/>
      <c r="DD144" s="330"/>
      <c r="DE144" s="1037"/>
      <c r="DF144" s="1116"/>
      <c r="DG144" s="333"/>
      <c r="DH144" s="333"/>
      <c r="DI144" s="333"/>
      <c r="DJ144" s="333"/>
      <c r="DK144" s="216"/>
      <c r="DL144" s="216"/>
      <c r="DM144" s="1117"/>
      <c r="DN144" s="179"/>
      <c r="DO144" s="694">
        <f t="shared" si="22"/>
        <v>0</v>
      </c>
      <c r="DP144" s="694">
        <f>DO144-Detailed[[#This Row],[Column66]]</f>
        <v>0</v>
      </c>
      <c r="DQ144" s="179"/>
      <c r="DR144" s="179"/>
      <c r="DS144" s="231">
        <f>DQ144-Detailed[[#This Row],[Column66]]</f>
        <v>0</v>
      </c>
      <c r="DT144" s="179"/>
      <c r="DU144" s="179"/>
      <c r="DV144" s="179"/>
      <c r="DW144" s="179"/>
      <c r="DX144" s="179"/>
      <c r="DY144" s="179"/>
      <c r="DZ144" s="179"/>
      <c r="EA144" s="179"/>
      <c r="EB144" s="179"/>
      <c r="EC144" s="179"/>
      <c r="ED144" s="179"/>
      <c r="EE144" s="179"/>
      <c r="EF144" s="179"/>
      <c r="EG144" s="179"/>
      <c r="EH144" s="179"/>
      <c r="EI144" s="179"/>
      <c r="EJ144" s="179"/>
      <c r="EK144" s="179"/>
    </row>
    <row r="145" spans="1:123" ht="24" thickBot="1">
      <c r="A145" s="1182">
        <v>2</v>
      </c>
      <c r="B145" s="1183"/>
      <c r="C145" s="185"/>
      <c r="D145" s="186"/>
      <c r="E145" s="186"/>
      <c r="F145" s="187"/>
      <c r="G145" s="86"/>
      <c r="H145" s="87"/>
      <c r="I145" s="319"/>
      <c r="J145" s="345"/>
      <c r="K145" s="660"/>
      <c r="L145" s="345"/>
      <c r="M145" s="319"/>
      <c r="N145" s="345"/>
      <c r="O145" s="203"/>
      <c r="P145" s="320"/>
      <c r="Q145" s="319"/>
      <c r="R145" s="346"/>
      <c r="S145" s="93"/>
      <c r="T145" s="320"/>
      <c r="U145" s="319"/>
      <c r="V145" s="346"/>
      <c r="W145" s="93"/>
      <c r="X145" s="320"/>
      <c r="Y145" s="91"/>
      <c r="Z145" s="92"/>
      <c r="AA145" s="92"/>
      <c r="AB145" s="94"/>
      <c r="AC145" s="91"/>
      <c r="AD145" s="92"/>
      <c r="AE145" s="92"/>
      <c r="AF145" s="94"/>
      <c r="AG145" s="91"/>
      <c r="AH145" s="93"/>
      <c r="AI145" s="93"/>
      <c r="AJ145" s="94"/>
      <c r="AK145" s="88"/>
      <c r="AL145" s="89"/>
      <c r="AM145" s="89"/>
      <c r="AN145" s="312"/>
      <c r="AO145" s="313"/>
      <c r="AP145" s="314"/>
      <c r="AQ145" s="314"/>
      <c r="AR145" s="315"/>
      <c r="AS145" s="313"/>
      <c r="AT145" s="314"/>
      <c r="AU145" s="314"/>
      <c r="AV145" s="315"/>
      <c r="AW145" s="313"/>
      <c r="AX145" s="314"/>
      <c r="AY145" s="314"/>
      <c r="AZ145" s="315"/>
      <c r="BA145" s="313"/>
      <c r="BB145" s="314"/>
      <c r="BC145" s="314"/>
      <c r="BD145" s="315"/>
      <c r="BE145" s="313"/>
      <c r="BF145" s="314"/>
      <c r="BG145" s="314"/>
      <c r="BH145" s="315"/>
      <c r="BI145" s="313"/>
      <c r="BJ145" s="314"/>
      <c r="BK145" s="314"/>
      <c r="BL145" s="316"/>
      <c r="BM145" s="313"/>
      <c r="BN145" s="314"/>
      <c r="BO145" s="314"/>
      <c r="BP145" s="315"/>
      <c r="BQ145" s="317"/>
      <c r="BR145" s="347"/>
      <c r="BS145" s="347"/>
      <c r="BT145" s="317"/>
      <c r="BU145" s="342"/>
      <c r="BV145" s="317"/>
      <c r="BW145" s="347"/>
      <c r="BX145" s="1184"/>
      <c r="BY145" s="317"/>
      <c r="BZ145" s="347"/>
      <c r="CA145" s="347"/>
      <c r="CB145" s="317"/>
      <c r="CC145" s="1185"/>
      <c r="CD145" s="347"/>
      <c r="CE145" s="347"/>
      <c r="CF145" s="1184"/>
      <c r="CG145" s="317"/>
      <c r="CH145" s="347"/>
      <c r="CI145" s="347"/>
      <c r="CJ145" s="1186"/>
      <c r="CK145" s="317"/>
      <c r="CL145" s="347"/>
      <c r="CM145" s="347"/>
      <c r="CN145" s="1186"/>
      <c r="CO145" s="1186"/>
      <c r="CP145" s="1186"/>
      <c r="CQ145" s="1186"/>
      <c r="CR145" s="1186"/>
      <c r="CS145" s="1186"/>
      <c r="CT145" s="1186"/>
      <c r="CU145" s="1186"/>
      <c r="CV145" s="1186"/>
      <c r="CW145" s="1186"/>
      <c r="CX145" s="1186"/>
      <c r="CY145" s="1186"/>
      <c r="CZ145" s="1186"/>
      <c r="DA145" s="1186"/>
      <c r="DB145" s="1186"/>
      <c r="DC145" s="1186"/>
      <c r="DD145" s="1186"/>
      <c r="DE145" s="1187"/>
      <c r="DF145" s="1188"/>
      <c r="DG145" s="1189"/>
      <c r="DH145" s="1189"/>
      <c r="DI145" s="1189">
        <f>SUM(J145,N145,R145,V145,Z145,AD145,AH145,AL145,AP145,AT145,AX145,BB145,BF145,BJ145,BN145,BR145,BV145,BZ145,CD145,CH145,CL145,CP145,CT145,CX145,DB145)</f>
        <v>0</v>
      </c>
      <c r="DJ145" s="1189"/>
      <c r="DK145" s="1190"/>
      <c r="DL145" s="1190"/>
      <c r="DM145" s="1191"/>
      <c r="DO145" s="694">
        <f t="shared" si="22"/>
        <v>0</v>
      </c>
      <c r="DP145" s="694">
        <f>DO145-Detailed[[#This Row],[Column66]]</f>
        <v>0</v>
      </c>
      <c r="DS145" s="231">
        <f>DQ145-Detailed[[#This Row],[Column66]]</f>
        <v>0</v>
      </c>
    </row>
    <row r="146" spans="1:123" ht="16.2" thickTop="1">
      <c r="A146" s="1144"/>
      <c r="B146" s="1145"/>
      <c r="C146" s="1295" t="s">
        <v>43</v>
      </c>
      <c r="D146" s="3"/>
      <c r="E146" s="1146"/>
      <c r="F146" s="370"/>
      <c r="G146" s="370"/>
      <c r="H146" s="370"/>
      <c r="I146" s="370"/>
      <c r="J146" s="369"/>
      <c r="K146" s="370"/>
      <c r="L146" s="370"/>
      <c r="M146" s="369"/>
      <c r="N146" s="370"/>
      <c r="O146" s="370"/>
      <c r="P146" s="370"/>
      <c r="Q146" s="369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/>
      <c r="AC146" s="370"/>
      <c r="AD146" s="370"/>
      <c r="AE146" s="370"/>
      <c r="AF146" s="370"/>
      <c r="AG146" s="370"/>
      <c r="AH146" s="370"/>
      <c r="AI146" s="370"/>
      <c r="AJ146" s="370"/>
      <c r="AK146" s="370"/>
      <c r="AL146" s="370"/>
      <c r="AM146" s="370"/>
      <c r="AN146" s="370"/>
      <c r="AO146" s="370"/>
      <c r="AP146" s="370"/>
      <c r="AQ146" s="370"/>
      <c r="AR146" s="370"/>
      <c r="AS146" s="370"/>
      <c r="AT146" s="370"/>
      <c r="AU146" s="370"/>
      <c r="AV146" s="370"/>
      <c r="AW146" s="370"/>
      <c r="AX146" s="370"/>
      <c r="AY146" s="370"/>
      <c r="AZ146" s="370"/>
      <c r="BA146" s="370"/>
      <c r="BB146" s="370"/>
      <c r="BC146" s="370"/>
      <c r="BD146" s="370"/>
      <c r="BE146" s="370"/>
      <c r="BF146" s="370"/>
      <c r="BG146" s="370"/>
      <c r="BH146" s="370"/>
      <c r="BI146" s="370"/>
      <c r="BJ146" s="370"/>
      <c r="BK146" s="370"/>
      <c r="BL146" s="370"/>
      <c r="BM146" s="367"/>
      <c r="BN146" s="368"/>
      <c r="BO146" s="368"/>
      <c r="BP146" s="368"/>
      <c r="BQ146" s="368"/>
      <c r="BR146" s="368"/>
      <c r="BS146" s="178"/>
      <c r="BT146" s="178"/>
      <c r="BU146" s="178"/>
      <c r="BV146" s="178"/>
      <c r="BW146" s="178"/>
      <c r="BX146" s="178"/>
      <c r="BY146" s="368"/>
      <c r="BZ146" s="36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  <c r="CO146" s="178"/>
      <c r="CP146" s="178"/>
      <c r="CQ146" s="178"/>
      <c r="CR146" s="178"/>
      <c r="CS146" s="178"/>
      <c r="CT146" s="178"/>
      <c r="CU146" s="178"/>
      <c r="CV146" s="178"/>
      <c r="CW146" s="178"/>
      <c r="CX146" s="178"/>
      <c r="CY146" s="178"/>
      <c r="CZ146" s="178"/>
      <c r="DA146" s="178"/>
      <c r="DB146" s="178"/>
      <c r="DC146" s="178"/>
      <c r="DD146" s="178"/>
      <c r="DM146" s="253"/>
      <c r="DN146" s="252"/>
    </row>
    <row r="147" spans="1:123" ht="16.2" thickBot="1">
      <c r="A147" s="132"/>
      <c r="B147" s="133"/>
      <c r="C147" s="1296"/>
      <c r="D147" s="134"/>
      <c r="E147" s="250"/>
      <c r="F147" s="135"/>
      <c r="G147" s="135"/>
      <c r="H147" s="135"/>
      <c r="I147" s="135"/>
      <c r="J147" s="235"/>
      <c r="K147" s="135"/>
      <c r="L147" s="135"/>
      <c r="M147" s="235"/>
      <c r="N147" s="135"/>
      <c r="O147" s="135"/>
      <c r="P147" s="135"/>
      <c r="Q147" s="369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375"/>
      <c r="BN147" s="134"/>
      <c r="BO147" s="175"/>
      <c r="BP147" s="175"/>
      <c r="BQ147" s="175"/>
      <c r="BR147" s="175"/>
      <c r="BS147" s="175"/>
      <c r="BT147" s="175"/>
      <c r="BU147" s="175"/>
      <c r="BV147" s="175"/>
      <c r="BW147" s="175"/>
      <c r="BX147" s="175"/>
      <c r="BY147" s="175"/>
      <c r="BZ147" s="175"/>
      <c r="CA147" s="175"/>
      <c r="CB147" s="175"/>
      <c r="CC147" s="175"/>
      <c r="CD147" s="175"/>
      <c r="CE147" s="175"/>
      <c r="CF147" s="175"/>
      <c r="CG147" s="175"/>
      <c r="CH147" s="175"/>
      <c r="CI147" s="175"/>
      <c r="CJ147" s="175"/>
      <c r="CK147" s="175"/>
      <c r="CL147" s="175"/>
      <c r="CM147" s="175"/>
      <c r="CN147" s="175"/>
      <c r="CO147" s="175"/>
      <c r="CP147" s="175"/>
      <c r="CQ147" s="175"/>
      <c r="CR147" s="175"/>
      <c r="CS147" s="175"/>
      <c r="CT147" s="175"/>
      <c r="CU147" s="175"/>
      <c r="CV147" s="175"/>
      <c r="CW147" s="175"/>
      <c r="CX147" s="175"/>
      <c r="CY147" s="175"/>
      <c r="CZ147" s="175"/>
      <c r="DA147" s="175"/>
      <c r="DB147" s="175"/>
      <c r="DC147" s="175"/>
      <c r="DD147" s="175"/>
      <c r="DE147" s="175"/>
      <c r="DF147" s="175"/>
      <c r="DG147" s="175"/>
      <c r="DH147" s="175"/>
      <c r="DI147" s="175"/>
      <c r="DJ147" s="175"/>
      <c r="DK147" s="175"/>
      <c r="DL147" s="175"/>
      <c r="DM147" s="175"/>
    </row>
    <row r="148" spans="1:123" ht="15" thickTop="1">
      <c r="A148" s="371"/>
      <c r="B148" s="371"/>
      <c r="C148" s="178"/>
      <c r="D148" s="372"/>
      <c r="E148" s="372"/>
      <c r="F148" s="372"/>
      <c r="G148" s="372"/>
      <c r="H148" s="372"/>
      <c r="I148" s="372"/>
      <c r="J148" s="372"/>
      <c r="K148" s="136"/>
      <c r="L148" s="136"/>
      <c r="M148" s="136"/>
      <c r="N148" s="136"/>
      <c r="O148" s="136"/>
      <c r="P148" s="136"/>
      <c r="Q148" s="374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3"/>
      <c r="BG148" s="3"/>
      <c r="BH148" s="3"/>
      <c r="BI148" s="3"/>
      <c r="BJ148" s="3"/>
      <c r="BK148" s="3"/>
      <c r="BL148" s="3"/>
      <c r="BM148" s="3"/>
      <c r="BN148" s="3"/>
    </row>
    <row r="149" spans="1:123">
      <c r="A149" s="371"/>
      <c r="B149" s="371"/>
      <c r="C149" s="178"/>
      <c r="D149" s="178"/>
      <c r="E149" s="178"/>
      <c r="F149" s="178"/>
      <c r="G149" s="178"/>
      <c r="H149" s="178"/>
      <c r="I149" s="178"/>
      <c r="J149" s="17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</row>
    <row r="150" spans="1:123">
      <c r="A150" s="371"/>
      <c r="B150" s="371"/>
      <c r="C150" s="178"/>
      <c r="D150" s="178"/>
      <c r="E150" s="178"/>
      <c r="F150" s="178"/>
      <c r="G150" s="178"/>
      <c r="H150" s="178"/>
      <c r="I150" s="178"/>
      <c r="J150" s="37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</row>
    <row r="151" spans="1:123">
      <c r="A151" s="371"/>
      <c r="B151" s="371"/>
      <c r="C151" s="178"/>
      <c r="D151" s="178"/>
      <c r="E151" s="178"/>
      <c r="F151" s="178"/>
      <c r="G151" s="178"/>
      <c r="H151" s="178"/>
      <c r="I151" s="178"/>
      <c r="J151" s="17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 spans="1:123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</row>
    <row r="153" spans="1:123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</row>
    <row r="154" spans="1:123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</row>
    <row r="156" spans="1:123" ht="15" thickBot="1"/>
    <row r="157" spans="1:123" ht="16.8" thickTop="1" thickBot="1">
      <c r="A157" s="698"/>
      <c r="B157" s="699" t="s">
        <v>331</v>
      </c>
      <c r="C157" s="1305"/>
      <c r="D157" s="1306"/>
      <c r="E157" s="700"/>
      <c r="F157" s="701"/>
      <c r="G157" s="702"/>
      <c r="H157" s="701"/>
      <c r="I157" s="703"/>
    </row>
    <row r="158" spans="1:123" ht="16.2" thickBot="1">
      <c r="A158" s="704" t="s">
        <v>235</v>
      </c>
      <c r="B158" s="705" t="s">
        <v>332</v>
      </c>
      <c r="C158" s="1307" t="s">
        <v>299</v>
      </c>
      <c r="D158" s="1308"/>
      <c r="E158" s="1308"/>
      <c r="F158" s="1308"/>
      <c r="G158" s="706"/>
      <c r="H158" s="707"/>
      <c r="I158" s="708">
        <v>2310000</v>
      </c>
    </row>
    <row r="159" spans="1:123" ht="16.2" thickBot="1">
      <c r="A159" s="704" t="s">
        <v>235</v>
      </c>
      <c r="B159" s="705" t="s">
        <v>333</v>
      </c>
      <c r="C159" s="709"/>
      <c r="D159" s="1290" t="s">
        <v>314</v>
      </c>
      <c r="E159" s="1291"/>
      <c r="F159" s="1291"/>
      <c r="G159" s="1291"/>
      <c r="H159" s="1292"/>
      <c r="I159" s="708">
        <v>700000</v>
      </c>
    </row>
    <row r="160" spans="1:123" ht="16.2" thickBot="1">
      <c r="A160" s="704" t="s">
        <v>234</v>
      </c>
      <c r="B160" s="705" t="s">
        <v>334</v>
      </c>
      <c r="C160" s="1290" t="s">
        <v>304</v>
      </c>
      <c r="D160" s="1291"/>
      <c r="E160" s="710"/>
      <c r="F160" s="710"/>
      <c r="G160" s="706"/>
      <c r="H160" s="707"/>
      <c r="I160" s="708">
        <v>4421850</v>
      </c>
    </row>
    <row r="161" spans="1:9" ht="16.2" thickBot="1">
      <c r="A161" s="711" t="s">
        <v>234</v>
      </c>
      <c r="B161" s="712" t="s">
        <v>335</v>
      </c>
      <c r="C161" s="1293" t="s">
        <v>309</v>
      </c>
      <c r="D161" s="1294"/>
      <c r="E161" s="713"/>
      <c r="F161" s="713"/>
      <c r="G161" s="714"/>
      <c r="H161" s="715"/>
      <c r="I161" s="716">
        <v>650000</v>
      </c>
    </row>
  </sheetData>
  <mergeCells count="9">
    <mergeCell ref="D159:H159"/>
    <mergeCell ref="C160:D160"/>
    <mergeCell ref="C161:D161"/>
    <mergeCell ref="C146:C147"/>
    <mergeCell ref="C1:H3"/>
    <mergeCell ref="A23:BM24"/>
    <mergeCell ref="N7:AP7"/>
    <mergeCell ref="C157:D157"/>
    <mergeCell ref="C158:F158"/>
  </mergeCells>
  <pageMargins left="0.7" right="0.7" top="0.75" bottom="0.75" header="0.3" footer="0.3"/>
  <pageSetup scale="10" fitToHeight="0" orientation="landscape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Y85"/>
  <sheetViews>
    <sheetView topLeftCell="D43" zoomScale="70" zoomScaleNormal="70" workbookViewId="0">
      <selection activeCell="O65" sqref="O65"/>
    </sheetView>
  </sheetViews>
  <sheetFormatPr defaultColWidth="15.88671875" defaultRowHeight="14.4"/>
  <cols>
    <col min="1" max="1" width="35.5546875" customWidth="1"/>
    <col min="7" max="7" width="38.6640625" customWidth="1"/>
    <col min="9" max="9" width="16.5546875" customWidth="1"/>
    <col min="10" max="10" width="25.44140625" customWidth="1"/>
    <col min="12" max="12" width="21" customWidth="1"/>
    <col min="13" max="13" width="17.5546875" customWidth="1"/>
    <col min="14" max="14" width="21.5546875" customWidth="1"/>
    <col min="15" max="15" width="24.5546875" customWidth="1"/>
    <col min="16" max="16" width="29.88671875" customWidth="1"/>
    <col min="17" max="17" width="21.88671875" customWidth="1"/>
    <col min="18" max="18" width="17" customWidth="1"/>
    <col min="19" max="19" width="21.44140625" bestFit="1" customWidth="1"/>
    <col min="23" max="23" width="19.88671875" customWidth="1"/>
  </cols>
  <sheetData>
    <row r="2" spans="1:25">
      <c r="H2" s="236"/>
      <c r="I2" s="238"/>
      <c r="J2" s="238"/>
      <c r="L2" s="238"/>
    </row>
    <row r="3" spans="1:25">
      <c r="H3" s="236"/>
      <c r="I3" s="238"/>
      <c r="J3" s="238"/>
      <c r="L3" s="238"/>
    </row>
    <row r="4" spans="1:25">
      <c r="H4" s="236"/>
      <c r="I4" s="238"/>
      <c r="J4" s="238"/>
      <c r="L4" s="238"/>
    </row>
    <row r="5" spans="1:25">
      <c r="G5" t="s">
        <v>312</v>
      </c>
      <c r="H5" s="236"/>
      <c r="I5" s="238"/>
      <c r="J5" s="418"/>
      <c r="L5" s="1285" t="s">
        <v>161</v>
      </c>
      <c r="M5" s="1286"/>
      <c r="N5" s="1284" t="s">
        <v>171</v>
      </c>
      <c r="O5" s="1285"/>
      <c r="P5" s="1285" t="s">
        <v>222</v>
      </c>
      <c r="Q5" s="1286"/>
      <c r="R5" s="1284" t="s">
        <v>225</v>
      </c>
      <c r="S5" s="1285"/>
      <c r="T5" s="1284" t="s">
        <v>271</v>
      </c>
      <c r="U5" s="1285"/>
      <c r="V5" s="1284" t="s">
        <v>272</v>
      </c>
      <c r="W5" s="1285"/>
    </row>
    <row r="6" spans="1:25">
      <c r="A6" s="405" t="s">
        <v>141</v>
      </c>
      <c r="B6" s="421"/>
      <c r="C6" s="421" t="s">
        <v>220</v>
      </c>
      <c r="D6" s="421" t="s">
        <v>219</v>
      </c>
      <c r="G6" t="s">
        <v>141</v>
      </c>
      <c r="H6" s="236" t="s">
        <v>147</v>
      </c>
      <c r="I6" s="236" t="s">
        <v>217</v>
      </c>
      <c r="J6" s="236" t="s">
        <v>219</v>
      </c>
      <c r="K6" s="238" t="s">
        <v>148</v>
      </c>
      <c r="L6" s="238" t="s">
        <v>163</v>
      </c>
      <c r="M6" s="239" t="s">
        <v>162</v>
      </c>
      <c r="N6" s="238" t="s">
        <v>169</v>
      </c>
      <c r="O6" s="239" t="s">
        <v>170</v>
      </c>
      <c r="P6" s="238" t="s">
        <v>266</v>
      </c>
      <c r="Q6" s="239" t="s">
        <v>268</v>
      </c>
      <c r="R6" s="238" t="s">
        <v>269</v>
      </c>
      <c r="S6" s="239" t="s">
        <v>270</v>
      </c>
      <c r="T6" t="s">
        <v>345</v>
      </c>
      <c r="U6" t="s">
        <v>358</v>
      </c>
      <c r="V6" t="s">
        <v>380</v>
      </c>
      <c r="W6" t="s">
        <v>408</v>
      </c>
      <c r="X6" t="s">
        <v>416</v>
      </c>
      <c r="Y6" t="s">
        <v>417</v>
      </c>
    </row>
    <row r="7" spans="1:25">
      <c r="A7" s="406" t="s">
        <v>143</v>
      </c>
      <c r="B7" s="429" t="s">
        <v>151</v>
      </c>
      <c r="C7" s="422">
        <v>670</v>
      </c>
      <c r="D7" s="407"/>
      <c r="G7" s="164" t="s">
        <v>143</v>
      </c>
      <c r="H7" s="236" t="s">
        <v>151</v>
      </c>
      <c r="I7" s="422">
        <v>15000</v>
      </c>
      <c r="J7" s="425">
        <f>Table520[[#This Row],[Total Quantity]]-Table520[[#This Row],[Quantity]]-Table520[[#This Row],[Quantity2]]</f>
        <v>13028.177615062761</v>
      </c>
      <c r="K7" s="238">
        <v>239</v>
      </c>
      <c r="L7" s="238">
        <v>1971.8223849372384</v>
      </c>
      <c r="M7" s="230">
        <f>Table520[[#This Row],[Quantity]]*Table520[[#This Row],[Rate]]</f>
        <v>471265.55</v>
      </c>
      <c r="N7" s="238"/>
      <c r="O7" s="230"/>
      <c r="P7" s="239">
        <v>1874.9185355648538</v>
      </c>
      <c r="Q7" s="230">
        <f>Table520[[#This Row],[Quantity3]]*Table520[[#This Row],[Rate]]</f>
        <v>448105.53</v>
      </c>
      <c r="R7" s="239">
        <v>698.22899581589968</v>
      </c>
      <c r="S7" s="230">
        <f>Table520[[#This Row],[Quantity25]]*Table520[[#This Row],[Rate]]</f>
        <v>166876.73000000001</v>
      </c>
      <c r="T7" s="217">
        <v>252.49828451882843</v>
      </c>
      <c r="U7" s="230">
        <f>Table520[[#This Row],[Amount37]]*Table520[[#This Row],[Rate]]</f>
        <v>60347.09</v>
      </c>
      <c r="V7" s="217">
        <v>252.5317991631799</v>
      </c>
      <c r="W7" s="230">
        <f>Table520[[#This Row],[Amount39]]*Table520[[#This Row],[Rate]]</f>
        <v>60355.1</v>
      </c>
      <c r="X7" s="230"/>
    </row>
    <row r="8" spans="1:25">
      <c r="A8" s="408" t="s">
        <v>144</v>
      </c>
      <c r="B8" s="430" t="s">
        <v>152</v>
      </c>
      <c r="C8" s="423">
        <v>1050</v>
      </c>
      <c r="D8" s="409"/>
      <c r="G8" s="164" t="s">
        <v>144</v>
      </c>
      <c r="H8" s="236" t="s">
        <v>152</v>
      </c>
      <c r="I8" s="423">
        <v>16000</v>
      </c>
      <c r="J8" s="426">
        <f>Table520[[#This Row],[Total Quantity]]-Table520[[#This Row],[Quantity]]-Table520[[#This Row],[Quantity2]]</f>
        <v>13149.642903225806</v>
      </c>
      <c r="K8" s="238">
        <v>155</v>
      </c>
      <c r="L8" s="238">
        <v>2850.3570967741935</v>
      </c>
      <c r="M8" s="230">
        <f>Table520[[#This Row],[Quantity]]*Table520[[#This Row],[Rate]]</f>
        <v>441805.35</v>
      </c>
      <c r="N8" s="238"/>
      <c r="O8" s="230"/>
      <c r="P8" s="239">
        <v>2710.2783225806452</v>
      </c>
      <c r="Q8" s="230">
        <f>Table520[[#This Row],[Quantity3]]*Table520[[#This Row],[Rate]]</f>
        <v>420093.14</v>
      </c>
      <c r="R8" s="239">
        <v>1009.3211612903226</v>
      </c>
      <c r="S8" s="230">
        <f>Table520[[#This Row],[Quantity25]]*Table520[[#This Row],[Rate]]</f>
        <v>156444.78</v>
      </c>
      <c r="T8" s="217">
        <v>364.9975483870968</v>
      </c>
      <c r="U8" s="230">
        <f>Table520[[#This Row],[Amount37]]*Table520[[#This Row],[Rate]]</f>
        <v>56574.62</v>
      </c>
      <c r="V8" s="217">
        <v>365.04593548387101</v>
      </c>
      <c r="W8" s="230">
        <f>Table520[[#This Row],[Amount39]]*Table520[[#This Row],[Rate]]</f>
        <v>56582.12</v>
      </c>
      <c r="X8" s="230"/>
    </row>
    <row r="9" spans="1:25">
      <c r="A9" s="406" t="s">
        <v>142</v>
      </c>
      <c r="B9" s="429" t="s">
        <v>153</v>
      </c>
      <c r="C9" s="422">
        <v>1810</v>
      </c>
      <c r="D9" s="410"/>
      <c r="G9" s="164" t="s">
        <v>142</v>
      </c>
      <c r="H9" s="236" t="s">
        <v>153</v>
      </c>
      <c r="I9" s="424">
        <v>16000</v>
      </c>
      <c r="J9" s="427">
        <f>Table520[[#This Row],[Total Quantity]]-Table520[[#This Row],[Quantity]]-Table520[[#This Row],[Quantity2]]</f>
        <v>12446.81514084507</v>
      </c>
      <c r="K9" s="238">
        <v>142</v>
      </c>
      <c r="L9" s="238">
        <v>3553.1848591549297</v>
      </c>
      <c r="M9" s="230">
        <f>Table520[[#This Row],[Quantity]]*Table520[[#This Row],[Rate]]</f>
        <v>504552.25</v>
      </c>
      <c r="N9" s="238"/>
      <c r="O9" s="230"/>
      <c r="P9" s="239">
        <v>3378.5661267605633</v>
      </c>
      <c r="Q9" s="230">
        <f>Table520[[#This Row],[Quantity3]]*Table520[[#This Row],[Rate]]</f>
        <v>479756.39</v>
      </c>
      <c r="R9" s="239">
        <v>1258.1948591549296</v>
      </c>
      <c r="S9" s="230">
        <f>Table520[[#This Row],[Quantity25]]*Table520[[#This Row],[Rate]]</f>
        <v>178663.67</v>
      </c>
      <c r="T9" s="217">
        <v>454.9969014084507</v>
      </c>
      <c r="U9" s="230">
        <f>Table520[[#This Row],[Amount37]]*Table520[[#This Row],[Rate]]</f>
        <v>64609.56</v>
      </c>
      <c r="V9" s="217">
        <v>455.05725352112677</v>
      </c>
      <c r="W9" s="230">
        <f>Table520[[#This Row],[Amount39]]*Table520[[#This Row],[Rate]]</f>
        <v>64618.130000000005</v>
      </c>
      <c r="X9" s="230"/>
    </row>
    <row r="10" spans="1:25">
      <c r="A10" s="408" t="s">
        <v>145</v>
      </c>
      <c r="B10" s="430" t="s">
        <v>154</v>
      </c>
      <c r="C10" s="423">
        <v>2380</v>
      </c>
      <c r="D10" s="411"/>
      <c r="G10" s="164" t="s">
        <v>145</v>
      </c>
      <c r="H10" s="236" t="s">
        <v>154</v>
      </c>
      <c r="I10" s="424">
        <v>17000</v>
      </c>
      <c r="J10" s="427">
        <f>Table520[[#This Row],[Total Quantity]]-Table520[[#This Row],[Quantity]]-Table520[[#This Row],[Quantity2]]</f>
        <v>13407.769186046513</v>
      </c>
      <c r="K10" s="238">
        <v>86</v>
      </c>
      <c r="L10" s="239">
        <v>3592.230813953488</v>
      </c>
      <c r="M10" s="230">
        <f>Table520[[#This Row],[Quantity]]*Table520[[#This Row],[Rate]]</f>
        <v>308931.84999999998</v>
      </c>
      <c r="N10" s="240"/>
      <c r="O10" s="230"/>
      <c r="P10" s="239">
        <v>3415.6932558139533</v>
      </c>
      <c r="Q10" s="230">
        <f>Table520[[#This Row],[Quantity3]]*Table520[[#This Row],[Rate]]</f>
        <v>293749.62</v>
      </c>
      <c r="R10" s="239">
        <v>1272.0211627906976</v>
      </c>
      <c r="S10" s="230">
        <f>Table520[[#This Row],[Quantity25]]*Table520[[#This Row],[Rate]]</f>
        <v>109393.81999999999</v>
      </c>
      <c r="T10" s="217">
        <v>459.9968604651163</v>
      </c>
      <c r="U10" s="230">
        <f>Table520[[#This Row],[Amount37]]*Table520[[#This Row],[Rate]]</f>
        <v>39559.730000000003</v>
      </c>
      <c r="V10" s="217">
        <v>460.05790697674422</v>
      </c>
      <c r="W10" s="230">
        <f>Table520[[#This Row],[Amount39]]*Table520[[#This Row],[Rate]]</f>
        <v>39564.980000000003</v>
      </c>
      <c r="X10" s="230"/>
    </row>
    <row r="11" spans="1:25">
      <c r="A11" s="406" t="s">
        <v>146</v>
      </c>
      <c r="B11" s="429" t="s">
        <v>155</v>
      </c>
      <c r="C11" s="422">
        <v>9040</v>
      </c>
      <c r="D11" s="412">
        <f>C11-Table520[[#This Row],[Total Quantity]]-I26-I41</f>
        <v>8904</v>
      </c>
      <c r="G11" s="164" t="s">
        <v>146</v>
      </c>
      <c r="H11" s="236" t="s">
        <v>155</v>
      </c>
      <c r="I11" s="424"/>
      <c r="J11" s="427"/>
      <c r="K11" s="238"/>
      <c r="L11" s="239"/>
      <c r="M11" s="231"/>
      <c r="N11" s="240"/>
      <c r="O11" s="231"/>
      <c r="P11" s="239"/>
      <c r="Q11" s="231"/>
      <c r="R11" s="240"/>
      <c r="S11" s="231"/>
      <c r="W11">
        <f>Table520[[#This Row],[Amount39]]*Table520[[#This Row],[Rate]]</f>
        <v>0</v>
      </c>
      <c r="X11" s="230"/>
    </row>
    <row r="12" spans="1:25">
      <c r="A12" s="408" t="s">
        <v>144</v>
      </c>
      <c r="B12" s="430" t="s">
        <v>156</v>
      </c>
      <c r="C12" s="423">
        <v>19600</v>
      </c>
      <c r="D12" s="411" t="e">
        <f>C12-Table520[[#This Row],[Total Quantity]]-I27-I42</f>
        <v>#VALUE!</v>
      </c>
      <c r="G12" s="164" t="s">
        <v>144</v>
      </c>
      <c r="H12" s="236" t="s">
        <v>156</v>
      </c>
      <c r="I12" s="424"/>
      <c r="J12" s="427"/>
      <c r="K12" s="238"/>
      <c r="L12" s="239"/>
      <c r="M12" s="231"/>
      <c r="N12" s="240"/>
      <c r="O12" s="231"/>
      <c r="P12" s="239"/>
      <c r="Q12" s="231"/>
      <c r="R12" s="240"/>
      <c r="S12" s="231"/>
      <c r="W12">
        <f>Table520[[#This Row],[Amount39]]*Table520[[#This Row],[Rate]]</f>
        <v>0</v>
      </c>
      <c r="X12" s="230"/>
    </row>
    <row r="13" spans="1:25">
      <c r="A13" s="406" t="s">
        <v>142</v>
      </c>
      <c r="B13" s="429" t="s">
        <v>157</v>
      </c>
      <c r="C13" s="422">
        <v>33970</v>
      </c>
      <c r="D13" s="411">
        <f>C13-Table520[[#This Row],[Total Quantity]]-I28-I43</f>
        <v>31930</v>
      </c>
      <c r="G13" s="164" t="s">
        <v>142</v>
      </c>
      <c r="H13" s="236" t="s">
        <v>157</v>
      </c>
      <c r="I13" s="424"/>
      <c r="J13" s="427"/>
      <c r="K13" s="238"/>
      <c r="L13" s="239"/>
      <c r="M13" s="231"/>
      <c r="N13" s="240"/>
      <c r="O13" s="234"/>
      <c r="P13" s="239"/>
      <c r="Q13" s="231"/>
      <c r="R13" s="240"/>
      <c r="S13" s="231"/>
      <c r="W13">
        <f>Table520[[#This Row],[Amount39]]*Table520[[#This Row],[Rate]]</f>
        <v>0</v>
      </c>
    </row>
    <row r="14" spans="1:25">
      <c r="A14" s="408" t="s">
        <v>145</v>
      </c>
      <c r="B14" s="431" t="s">
        <v>158</v>
      </c>
      <c r="C14" s="423">
        <v>36820</v>
      </c>
      <c r="D14" s="411">
        <f>C14-Table520[[#This Row],[Total Quantity]]-I29-I44</f>
        <v>32780</v>
      </c>
      <c r="G14" s="164" t="s">
        <v>145</v>
      </c>
      <c r="H14" s="237" t="s">
        <v>158</v>
      </c>
      <c r="I14" s="424"/>
      <c r="J14" s="427"/>
      <c r="K14" s="238"/>
      <c r="L14" s="239"/>
      <c r="M14" s="231"/>
      <c r="N14" s="240"/>
      <c r="O14" s="234"/>
      <c r="P14" s="239"/>
      <c r="Q14" s="231"/>
      <c r="R14" s="240"/>
      <c r="S14" s="231"/>
      <c r="W14">
        <f>Table520[[#This Row],[Amount39]]*Table520[[#This Row],[Rate]]</f>
        <v>0</v>
      </c>
    </row>
    <row r="15" spans="1:25">
      <c r="A15" s="413" t="s">
        <v>149</v>
      </c>
      <c r="B15" s="432" t="s">
        <v>159</v>
      </c>
      <c r="C15" s="422">
        <v>7140</v>
      </c>
      <c r="D15" s="411">
        <f>C15-Table520[[#This Row],[Total Quantity]]-I30-I45</f>
        <v>3968</v>
      </c>
      <c r="G15" t="s">
        <v>149</v>
      </c>
      <c r="H15" s="237" t="s">
        <v>159</v>
      </c>
      <c r="I15" s="424"/>
      <c r="J15" s="427"/>
      <c r="K15" s="238"/>
      <c r="L15" s="238"/>
      <c r="M15" s="234"/>
      <c r="N15" s="238"/>
      <c r="O15" s="234"/>
      <c r="P15" s="238"/>
      <c r="Q15" s="234"/>
      <c r="R15" s="238"/>
      <c r="S15" s="234"/>
      <c r="W15">
        <f>Table520[[#This Row],[Amount39]]*Table520[[#This Row],[Rate]]</f>
        <v>0</v>
      </c>
    </row>
    <row r="16" spans="1:25">
      <c r="A16" s="414" t="s">
        <v>150</v>
      </c>
      <c r="B16" s="431" t="s">
        <v>160</v>
      </c>
      <c r="C16" s="423">
        <v>7140</v>
      </c>
      <c r="D16" s="411">
        <f>C16-Table520[[#This Row],[Total Quantity]]-I31-I46</f>
        <v>829</v>
      </c>
      <c r="G16" t="s">
        <v>150</v>
      </c>
      <c r="H16" s="237" t="s">
        <v>160</v>
      </c>
      <c r="I16" s="424"/>
      <c r="J16" s="427"/>
      <c r="K16" s="238"/>
      <c r="L16" s="238"/>
      <c r="M16" s="234"/>
      <c r="N16" s="238"/>
      <c r="O16" s="234"/>
      <c r="P16" s="238"/>
      <c r="Q16" s="234"/>
      <c r="R16" s="238"/>
      <c r="S16" s="234"/>
      <c r="W16">
        <f>Table520[[#This Row],[Amount39]]*Table520[[#This Row],[Rate]]</f>
        <v>0</v>
      </c>
    </row>
    <row r="17" spans="7:23">
      <c r="G17" s="241"/>
      <c r="H17" s="242"/>
      <c r="I17" s="424"/>
      <c r="J17" s="427"/>
      <c r="K17" s="243" t="s">
        <v>25</v>
      </c>
      <c r="L17" s="244">
        <f t="shared" ref="L17:W17" si="0">SUM(L7:L16)</f>
        <v>11967.59515481985</v>
      </c>
      <c r="M17" s="244">
        <f t="shared" si="0"/>
        <v>1726555</v>
      </c>
      <c r="N17" s="244">
        <f t="shared" si="0"/>
        <v>0</v>
      </c>
      <c r="O17" s="244">
        <f t="shared" si="0"/>
        <v>0</v>
      </c>
      <c r="P17" s="244">
        <f t="shared" si="0"/>
        <v>11379.456240720014</v>
      </c>
      <c r="Q17" s="244">
        <f t="shared" si="0"/>
        <v>1641704.6800000002</v>
      </c>
      <c r="R17" s="244">
        <f t="shared" si="0"/>
        <v>4237.7661790518496</v>
      </c>
      <c r="S17" s="244">
        <f t="shared" si="0"/>
        <v>611379</v>
      </c>
      <c r="U17" s="244">
        <f t="shared" si="0"/>
        <v>221091</v>
      </c>
      <c r="W17" s="244">
        <f t="shared" si="0"/>
        <v>221120.33000000002</v>
      </c>
    </row>
    <row r="18" spans="7:23">
      <c r="G18" s="179"/>
      <c r="H18" s="974"/>
      <c r="I18" s="975"/>
      <c r="J18" s="976">
        <f>Table520[[#This Row],[Total Quantity]]-Table520[[#This Row],[Quantity]]-Table520[[#This Row],[Quantity2]]</f>
        <v>0</v>
      </c>
      <c r="K18" s="977"/>
      <c r="L18" s="416"/>
      <c r="M18" s="978">
        <f>Table520[[#This Row],[Quantity2]]*Table520[[#This Row],[Rate]]</f>
        <v>0</v>
      </c>
      <c r="N18" s="979"/>
      <c r="O18" s="980"/>
      <c r="P18" s="179"/>
      <c r="Q18" s="179"/>
      <c r="R18" s="179"/>
      <c r="S18" s="980"/>
      <c r="T18" s="179"/>
      <c r="U18" s="179"/>
      <c r="V18" s="981"/>
      <c r="W18" s="982"/>
    </row>
    <row r="19" spans="7:23">
      <c r="G19" s="179"/>
      <c r="H19" s="953"/>
      <c r="I19" s="975"/>
      <c r="J19" s="976">
        <f>Table520[[#This Row],[Total Quantity]]-Table520[[#This Row],[Quantity]]-Table520[[#This Row],[Quantity2]]</f>
        <v>0</v>
      </c>
      <c r="K19" s="983"/>
      <c r="L19" s="416"/>
      <c r="M19" s="978">
        <f>Table520[[#This Row],[Quantity2]]*Table520[[#This Row],[Rate]]</f>
        <v>0</v>
      </c>
      <c r="N19" s="979"/>
      <c r="O19" s="980"/>
      <c r="P19" s="179"/>
      <c r="Q19" s="179"/>
      <c r="R19" s="179"/>
      <c r="S19" s="980"/>
      <c r="T19" s="179"/>
      <c r="U19" s="179"/>
      <c r="V19" s="981"/>
      <c r="W19" s="982"/>
    </row>
    <row r="20" spans="7:23">
      <c r="G20" s="179"/>
      <c r="H20" s="953"/>
      <c r="I20" s="975"/>
      <c r="J20" s="976">
        <f>Table520[[#This Row],[Total Quantity]]-Table520[[#This Row],[Quantity]]-Table520[[#This Row],[Quantity2]]</f>
        <v>0</v>
      </c>
      <c r="K20" s="416"/>
      <c r="L20" s="416"/>
      <c r="M20" s="978">
        <f>Table520[[#This Row],[Quantity2]]*Table520[[#This Row],[Rate]]</f>
        <v>0</v>
      </c>
      <c r="N20" s="979"/>
      <c r="O20" s="980"/>
      <c r="P20" s="179"/>
      <c r="Q20" s="179"/>
      <c r="R20" s="179"/>
      <c r="S20" s="980"/>
      <c r="T20" s="179"/>
      <c r="U20" s="179"/>
      <c r="V20" s="981"/>
      <c r="W20" s="982"/>
    </row>
    <row r="21" spans="7:23">
      <c r="G21" s="179"/>
      <c r="H21" s="953"/>
      <c r="I21" s="975"/>
      <c r="J21" s="976">
        <f>Table520[[#This Row],[Total Quantity]]-Table520[[#This Row],[Quantity]]-Table520[[#This Row],[Quantity2]]</f>
        <v>0</v>
      </c>
      <c r="K21" s="416"/>
      <c r="L21" s="416"/>
      <c r="M21" s="978">
        <f>Table520[[#This Row],[Quantity2]]*Table520[[#This Row],[Rate]]</f>
        <v>0</v>
      </c>
      <c r="N21" s="979"/>
      <c r="O21" s="980"/>
      <c r="P21" s="179"/>
      <c r="Q21" s="179"/>
      <c r="R21" s="179"/>
      <c r="S21" s="980"/>
      <c r="T21" s="179"/>
      <c r="U21" s="179"/>
      <c r="V21" s="981"/>
      <c r="W21" s="982"/>
    </row>
    <row r="23" spans="7:23">
      <c r="H23" s="236"/>
      <c r="I23" s="238"/>
      <c r="J23" s="238"/>
      <c r="L23" s="238"/>
    </row>
    <row r="24" spans="7:23">
      <c r="G24" t="s">
        <v>326</v>
      </c>
      <c r="H24" s="236"/>
      <c r="I24" s="238"/>
      <c r="J24" s="418"/>
      <c r="L24" s="1285" t="s">
        <v>161</v>
      </c>
      <c r="M24" s="1286"/>
      <c r="N24" s="1284" t="s">
        <v>171</v>
      </c>
      <c r="O24" s="1285"/>
      <c r="P24" s="1285" t="s">
        <v>222</v>
      </c>
      <c r="Q24" s="1286"/>
      <c r="R24" s="1284" t="s">
        <v>225</v>
      </c>
      <c r="S24" s="1285"/>
      <c r="T24" s="1284" t="s">
        <v>271</v>
      </c>
      <c r="U24" s="1285"/>
    </row>
    <row r="25" spans="7:23">
      <c r="G25" t="s">
        <v>141</v>
      </c>
      <c r="H25" s="236" t="s">
        <v>147</v>
      </c>
      <c r="I25" s="236" t="s">
        <v>217</v>
      </c>
      <c r="J25" s="236" t="s">
        <v>219</v>
      </c>
      <c r="K25" s="238" t="s">
        <v>148</v>
      </c>
      <c r="L25" s="238" t="s">
        <v>163</v>
      </c>
      <c r="M25" s="239" t="s">
        <v>162</v>
      </c>
      <c r="N25" s="238" t="s">
        <v>169</v>
      </c>
      <c r="O25" s="239" t="s">
        <v>170</v>
      </c>
      <c r="P25" s="238" t="s">
        <v>266</v>
      </c>
      <c r="Q25" s="239" t="s">
        <v>268</v>
      </c>
      <c r="R25" s="238" t="s">
        <v>269</v>
      </c>
      <c r="S25" s="239" t="s">
        <v>270</v>
      </c>
      <c r="T25" t="s">
        <v>345</v>
      </c>
      <c r="U25" t="s">
        <v>358</v>
      </c>
    </row>
    <row r="26" spans="7:23">
      <c r="G26" s="164" t="s">
        <v>143</v>
      </c>
      <c r="H26" s="236" t="s">
        <v>151</v>
      </c>
      <c r="I26" s="422">
        <v>136</v>
      </c>
      <c r="J26" s="425">
        <f>Table52022[[#This Row],[Total Quantity]]-Table52022[[#This Row],[Quantity]]-Table52022[[#This Row],[Quantity2]]</f>
        <v>95.205020920502093</v>
      </c>
      <c r="K26" s="238">
        <v>239</v>
      </c>
      <c r="L26" s="238"/>
      <c r="M26" s="230"/>
      <c r="N26" s="238">
        <v>40.794979079497907</v>
      </c>
      <c r="O26" s="230">
        <f>Table52022[[#This Row],[Quantity2]]*Table52022[[#This Row],[Rate]]</f>
        <v>9750</v>
      </c>
      <c r="P26" s="238">
        <v>47.594142259414227</v>
      </c>
      <c r="Q26" s="230">
        <f>Table52022[[#This Row],[Quantity3]]*Table52022[[#This Row],[Rate]]</f>
        <v>11375</v>
      </c>
      <c r="R26" s="238">
        <v>47.594142259414227</v>
      </c>
      <c r="S26" s="230">
        <f>Table52022[[#This Row],[Quantity25]]*Table52022[[#This Row],[Rate]]</f>
        <v>11375</v>
      </c>
    </row>
    <row r="27" spans="7:23">
      <c r="G27" s="164" t="s">
        <v>144</v>
      </c>
      <c r="H27" s="236" t="s">
        <v>152</v>
      </c>
      <c r="I27" s="423">
        <v>419</v>
      </c>
      <c r="J27" s="426">
        <f>Table52022[[#This Row],[Total Quantity]]-Table52022[[#This Row],[Quantity]]-Table52022[[#This Row],[Quantity2]]</f>
        <v>293.19354838709677</v>
      </c>
      <c r="K27" s="238">
        <v>155</v>
      </c>
      <c r="L27" s="238"/>
      <c r="M27" s="230"/>
      <c r="N27" s="238">
        <v>125.80645161290323</v>
      </c>
      <c r="O27" s="230">
        <f>Table52022[[#This Row],[Quantity2]]*Table52022[[#This Row],[Rate]]</f>
        <v>19500</v>
      </c>
      <c r="P27" s="238">
        <v>146.7741935483871</v>
      </c>
      <c r="Q27" s="230">
        <f>Table52022[[#This Row],[Quantity3]]*Table52022[[#This Row],[Rate]]</f>
        <v>22750</v>
      </c>
      <c r="R27" s="238">
        <v>146.7741935483871</v>
      </c>
      <c r="S27" s="230">
        <f>Table52022[[#This Row],[Quantity25]]*Table52022[[#This Row],[Rate]]</f>
        <v>22750</v>
      </c>
    </row>
    <row r="28" spans="7:23">
      <c r="G28" s="164" t="s">
        <v>142</v>
      </c>
      <c r="H28" s="236" t="s">
        <v>153</v>
      </c>
      <c r="I28" s="424">
        <v>1831</v>
      </c>
      <c r="J28" s="427">
        <f>Table52022[[#This Row],[Total Quantity]]-Table52022[[#This Row],[Quantity]]-Table52022[[#This Row],[Quantity2]]</f>
        <v>1281.7042253521126</v>
      </c>
      <c r="K28" s="238">
        <v>142</v>
      </c>
      <c r="L28" s="238"/>
      <c r="M28" s="230"/>
      <c r="N28" s="238">
        <v>549.29577464788736</v>
      </c>
      <c r="O28" s="230">
        <f>Table52022[[#This Row],[Quantity2]]*Table52022[[#This Row],[Rate]]</f>
        <v>78000</v>
      </c>
      <c r="P28" s="238">
        <v>640.84507042253517</v>
      </c>
      <c r="Q28" s="230">
        <f>Table52022[[#This Row],[Quantity3]]*Table52022[[#This Row],[Rate]]</f>
        <v>91000</v>
      </c>
      <c r="R28" s="238">
        <v>640.84507042253517</v>
      </c>
      <c r="S28" s="230">
        <f>Table52022[[#This Row],[Quantity25]]*Table52022[[#This Row],[Rate]]</f>
        <v>91000</v>
      </c>
    </row>
    <row r="29" spans="7:23">
      <c r="G29" s="164" t="s">
        <v>145</v>
      </c>
      <c r="H29" s="236" t="s">
        <v>154</v>
      </c>
      <c r="I29" s="424">
        <v>3401</v>
      </c>
      <c r="J29" s="427">
        <f>Table52022[[#This Row],[Total Quantity]]-Table52022[[#This Row],[Quantity]]-Table52022[[#This Row],[Quantity2]]</f>
        <v>2380.6511627906975</v>
      </c>
      <c r="K29" s="238">
        <v>86</v>
      </c>
      <c r="L29" s="239"/>
      <c r="M29" s="230"/>
      <c r="N29" s="240">
        <v>1020.3488372093024</v>
      </c>
      <c r="O29" s="230">
        <f>Table52022[[#This Row],[Quantity2]]*Table52022[[#This Row],[Rate]]</f>
        <v>87750</v>
      </c>
      <c r="P29" s="239">
        <v>1190.4069767441861</v>
      </c>
      <c r="Q29" s="230">
        <f>Table52022[[#This Row],[Quantity3]]*Table52022[[#This Row],[Rate]]</f>
        <v>102375</v>
      </c>
      <c r="R29" s="239">
        <v>1190.4069767441861</v>
      </c>
      <c r="S29" s="230">
        <f>Table52022[[#This Row],[Quantity25]]*Table52022[[#This Row],[Rate]]</f>
        <v>102375</v>
      </c>
    </row>
    <row r="30" spans="7:23">
      <c r="G30" s="164" t="s">
        <v>146</v>
      </c>
      <c r="H30" s="236" t="s">
        <v>155</v>
      </c>
      <c r="I30" s="424"/>
      <c r="J30" s="427"/>
      <c r="K30" s="238"/>
      <c r="L30" s="239"/>
      <c r="M30" s="231"/>
      <c r="N30" s="240"/>
      <c r="O30" s="231"/>
      <c r="P30" s="239"/>
      <c r="Q30" s="230">
        <f>Table52022[[#This Row],[Quantity3]]*Table52022[[#This Row],[Rate]]</f>
        <v>0</v>
      </c>
      <c r="R30" s="240"/>
      <c r="S30" s="231"/>
    </row>
    <row r="31" spans="7:23">
      <c r="G31" s="164" t="s">
        <v>144</v>
      </c>
      <c r="H31" s="236" t="s">
        <v>156</v>
      </c>
      <c r="I31" s="424"/>
      <c r="J31" s="427"/>
      <c r="K31" s="238"/>
      <c r="L31" s="239"/>
      <c r="M31" s="231"/>
      <c r="N31" s="240"/>
      <c r="O31" s="231"/>
      <c r="P31" s="239"/>
      <c r="Q31" s="231"/>
      <c r="R31" s="240"/>
      <c r="S31" s="231"/>
    </row>
    <row r="32" spans="7:23">
      <c r="G32" s="164" t="s">
        <v>142</v>
      </c>
      <c r="H32" s="236" t="s">
        <v>157</v>
      </c>
      <c r="I32" s="424"/>
      <c r="J32" s="427"/>
      <c r="K32" s="238"/>
      <c r="L32" s="239"/>
      <c r="M32" s="231"/>
      <c r="N32" s="240"/>
      <c r="O32" s="234"/>
      <c r="P32" s="239"/>
      <c r="Q32" s="231"/>
      <c r="R32" s="240"/>
      <c r="S32" s="231"/>
    </row>
    <row r="33" spans="7:25">
      <c r="G33" s="164" t="s">
        <v>145</v>
      </c>
      <c r="H33" s="237" t="s">
        <v>158</v>
      </c>
      <c r="I33" s="424"/>
      <c r="J33" s="427"/>
      <c r="K33" s="238"/>
      <c r="L33" s="239"/>
      <c r="M33" s="231"/>
      <c r="N33" s="240"/>
      <c r="O33" s="234"/>
      <c r="P33" s="239"/>
      <c r="Q33" s="231"/>
      <c r="R33" s="240"/>
      <c r="S33" s="231"/>
    </row>
    <row r="34" spans="7:25">
      <c r="G34" t="s">
        <v>149</v>
      </c>
      <c r="H34" s="237" t="s">
        <v>159</v>
      </c>
      <c r="I34" s="424"/>
      <c r="J34" s="427"/>
      <c r="K34" s="238"/>
      <c r="L34" s="238"/>
      <c r="M34" s="234"/>
      <c r="N34" s="238"/>
      <c r="O34" s="234"/>
      <c r="P34" s="238"/>
      <c r="Q34" s="234"/>
      <c r="R34" s="238"/>
      <c r="S34" s="234"/>
    </row>
    <row r="35" spans="7:25">
      <c r="G35" t="s">
        <v>150</v>
      </c>
      <c r="H35" s="237" t="s">
        <v>160</v>
      </c>
      <c r="I35" s="424"/>
      <c r="J35" s="427"/>
      <c r="K35" s="238"/>
      <c r="L35" s="238"/>
      <c r="M35" s="234"/>
      <c r="N35" s="238"/>
      <c r="O35" s="234"/>
      <c r="P35" s="238"/>
      <c r="Q35" s="234"/>
      <c r="R35" s="238"/>
      <c r="S35" s="234"/>
    </row>
    <row r="36" spans="7:25">
      <c r="G36" s="241"/>
      <c r="H36" s="242"/>
      <c r="I36" s="424"/>
      <c r="J36" s="427"/>
      <c r="K36" s="243" t="s">
        <v>25</v>
      </c>
      <c r="L36" s="244"/>
      <c r="M36" s="244"/>
      <c r="N36" s="244">
        <f t="shared" ref="N36:S36" si="1">SUM(N26:N35)</f>
        <v>1736.246042549591</v>
      </c>
      <c r="O36" s="244">
        <f t="shared" si="1"/>
        <v>195000</v>
      </c>
      <c r="P36" s="244">
        <f t="shared" si="1"/>
        <v>2025.6203829745225</v>
      </c>
      <c r="Q36" s="244">
        <f t="shared" si="1"/>
        <v>227500</v>
      </c>
      <c r="R36" s="244">
        <f t="shared" si="1"/>
        <v>2025.6203829745225</v>
      </c>
      <c r="S36" s="244">
        <f t="shared" si="1"/>
        <v>227500</v>
      </c>
    </row>
    <row r="40" spans="7:25">
      <c r="H40" s="236"/>
      <c r="I40" s="238"/>
      <c r="J40" s="238"/>
      <c r="L40" s="238"/>
    </row>
    <row r="41" spans="7:25">
      <c r="G41" t="s">
        <v>359</v>
      </c>
      <c r="H41" s="236"/>
      <c r="I41" s="238"/>
      <c r="J41" s="418"/>
      <c r="L41" s="1285" t="s">
        <v>161</v>
      </c>
      <c r="M41" s="1286"/>
      <c r="N41" s="1284" t="s">
        <v>171</v>
      </c>
      <c r="O41" s="1285"/>
      <c r="P41" s="1285" t="s">
        <v>222</v>
      </c>
      <c r="Q41" s="1286"/>
      <c r="R41" s="1284" t="s">
        <v>225</v>
      </c>
      <c r="S41" s="1285"/>
      <c r="T41" s="1309" t="s">
        <v>271</v>
      </c>
      <c r="U41" s="1310"/>
      <c r="V41" s="1309" t="s">
        <v>291</v>
      </c>
      <c r="W41" s="1310"/>
      <c r="X41" s="1309" t="s">
        <v>292</v>
      </c>
      <c r="Y41" s="1310"/>
    </row>
    <row r="42" spans="7:25">
      <c r="G42" t="s">
        <v>141</v>
      </c>
      <c r="H42" s="236" t="s">
        <v>147</v>
      </c>
      <c r="I42" s="236" t="s">
        <v>217</v>
      </c>
      <c r="J42" s="236" t="s">
        <v>219</v>
      </c>
      <c r="K42" s="238" t="s">
        <v>148</v>
      </c>
      <c r="L42" s="238" t="s">
        <v>163</v>
      </c>
      <c r="M42" s="239" t="s">
        <v>162</v>
      </c>
      <c r="N42" s="238" t="s">
        <v>169</v>
      </c>
      <c r="O42" s="239" t="s">
        <v>170</v>
      </c>
      <c r="P42" s="238" t="s">
        <v>266</v>
      </c>
      <c r="Q42" s="239" t="s">
        <v>268</v>
      </c>
      <c r="R42" s="238" t="s">
        <v>269</v>
      </c>
      <c r="S42" s="239" t="s">
        <v>270</v>
      </c>
      <c r="T42" s="258" t="s">
        <v>378</v>
      </c>
      <c r="U42" s="258" t="s">
        <v>379</v>
      </c>
      <c r="V42" s="258" t="s">
        <v>409</v>
      </c>
      <c r="W42" s="258" t="s">
        <v>410</v>
      </c>
      <c r="X42" s="258" t="s">
        <v>413</v>
      </c>
      <c r="Y42" s="258" t="s">
        <v>412</v>
      </c>
    </row>
    <row r="43" spans="7:25">
      <c r="G43" s="164" t="s">
        <v>143</v>
      </c>
      <c r="H43" s="236" t="s">
        <v>151</v>
      </c>
      <c r="I43" s="422">
        <v>209</v>
      </c>
      <c r="J43" s="425">
        <f>Table5202228[[#This Row],[Total Quantity]]-Table5202228[[#This Row],[Quantity]]-Table5202228[[#This Row],[Quantity2]]</f>
        <v>209</v>
      </c>
      <c r="K43" s="238">
        <v>239</v>
      </c>
      <c r="L43" s="238"/>
      <c r="M43" s="230"/>
      <c r="N43" s="238"/>
      <c r="O43" s="230"/>
      <c r="P43" s="238"/>
      <c r="Q43" s="230"/>
      <c r="R43" s="238"/>
      <c r="S43" s="230"/>
      <c r="T43" s="258">
        <v>22.1</v>
      </c>
      <c r="U43" s="966">
        <f>Table5202228[[#This Row],[quantity4]]*Table5202228[[#This Row],[Rate]]</f>
        <v>5281.9000000000005</v>
      </c>
      <c r="V43" s="963">
        <v>83.64</v>
      </c>
      <c r="W43" s="964">
        <f>Table5202228[[#This Row],[quantity5]]*Table5202228[[#This Row],[Rate]]</f>
        <v>19989.96</v>
      </c>
      <c r="X43" s="965">
        <v>104.54543933054394</v>
      </c>
      <c r="Y43" s="966">
        <f>Table5202228[[#This Row],[quantity6]]*Table5202228[[#This Row],[Rate]]</f>
        <v>24986.36</v>
      </c>
    </row>
    <row r="44" spans="7:25">
      <c r="G44" s="164" t="s">
        <v>144</v>
      </c>
      <c r="H44" s="236" t="s">
        <v>152</v>
      </c>
      <c r="I44" s="423">
        <v>639</v>
      </c>
      <c r="J44" s="426">
        <f>Table5202228[[#This Row],[Total Quantity]]-Table5202228[[#This Row],[Quantity]]-Table5202228[[#This Row],[Quantity2]]</f>
        <v>639</v>
      </c>
      <c r="K44" s="238">
        <v>155</v>
      </c>
      <c r="L44" s="238"/>
      <c r="M44" s="230"/>
      <c r="N44" s="238"/>
      <c r="O44" s="230"/>
      <c r="P44" s="238"/>
      <c r="Q44" s="230"/>
      <c r="R44" s="238"/>
      <c r="S44" s="230"/>
      <c r="T44" s="258">
        <v>66.2</v>
      </c>
      <c r="U44" s="966">
        <f>Table5202228[[#This Row],[quantity4]]*Table5202228[[#This Row],[Rate]]</f>
        <v>10261</v>
      </c>
      <c r="V44" s="967">
        <v>255.56</v>
      </c>
      <c r="W44" s="964">
        <f>Table5202228[[#This Row],[quantity5]]*Table5202228[[#This Row],[Rate]]</f>
        <v>39611.800000000003</v>
      </c>
      <c r="X44" s="965">
        <v>319.44445161290321</v>
      </c>
      <c r="Y44" s="966">
        <f>Table5202228[[#This Row],[quantity6]]*Table5202228[[#This Row],[Rate]]</f>
        <v>49513.89</v>
      </c>
    </row>
    <row r="45" spans="7:25">
      <c r="G45" s="164" t="s">
        <v>142</v>
      </c>
      <c r="H45" s="236" t="s">
        <v>153</v>
      </c>
      <c r="I45" s="424">
        <v>3172</v>
      </c>
      <c r="J45" s="427">
        <f>Table5202228[[#This Row],[Total Quantity]]-Table5202228[[#This Row],[Quantity]]-Table5202228[[#This Row],[Quantity2]]</f>
        <v>3172</v>
      </c>
      <c r="K45" s="238">
        <v>142</v>
      </c>
      <c r="L45" s="238"/>
      <c r="M45" s="230"/>
      <c r="N45" s="238"/>
      <c r="O45" s="230"/>
      <c r="P45" s="238"/>
      <c r="Q45" s="230"/>
      <c r="R45" s="238"/>
      <c r="S45" s="232"/>
      <c r="T45" s="258">
        <v>317.03590000000003</v>
      </c>
      <c r="U45" s="966">
        <f>Table5202228[[#This Row],[quantity4]]*Table5202228[[#This Row],[Rate]]</f>
        <v>45019.097800000003</v>
      </c>
      <c r="V45" s="963">
        <v>1268.97</v>
      </c>
      <c r="W45" s="964">
        <f>Table5202228[[#This Row],[quantity5]]*Table5202228[[#This Row],[Rate]]</f>
        <v>180193.74</v>
      </c>
      <c r="X45" s="965">
        <v>2771.631690140845</v>
      </c>
      <c r="Y45" s="966">
        <f>Table5202228[[#This Row],[quantity6]]*Table5202228[[#This Row],[Rate]]</f>
        <v>393571.7</v>
      </c>
    </row>
    <row r="46" spans="7:25">
      <c r="G46" s="164" t="s">
        <v>145</v>
      </c>
      <c r="H46" s="236" t="s">
        <v>154</v>
      </c>
      <c r="I46" s="424">
        <v>6311</v>
      </c>
      <c r="J46" s="427">
        <f>Table5202228[[#This Row],[Total Quantity]]-Table5202228[[#This Row],[Quantity]]-Table5202228[[#This Row],[Quantity2]]</f>
        <v>6311</v>
      </c>
      <c r="K46" s="238">
        <v>86</v>
      </c>
      <c r="L46" s="239"/>
      <c r="M46" s="230"/>
      <c r="N46" s="240"/>
      <c r="O46" s="230"/>
      <c r="P46" s="239"/>
      <c r="Q46" s="230"/>
      <c r="R46" s="240"/>
      <c r="S46" s="231"/>
      <c r="T46" s="258">
        <v>633</v>
      </c>
      <c r="U46" s="966">
        <f>Table5202228[[#This Row],[quantity4]]*Table5202228[[#This Row],[Rate]]</f>
        <v>54438</v>
      </c>
      <c r="V46" s="963">
        <v>2524.39</v>
      </c>
      <c r="W46" s="964">
        <f>Table5202228[[#This Row],[quantity5]]*Table5202228[[#This Row],[Rate]]</f>
        <v>217097.53999999998</v>
      </c>
      <c r="X46" s="965">
        <v>1243.3494186046512</v>
      </c>
      <c r="Y46" s="966">
        <f>Table5202228[[#This Row],[quantity6]]*Table5202228[[#This Row],[Rate]]</f>
        <v>106928.05</v>
      </c>
    </row>
    <row r="47" spans="7:25" hidden="1">
      <c r="G47" s="164" t="s">
        <v>146</v>
      </c>
      <c r="H47" s="236" t="s">
        <v>155</v>
      </c>
      <c r="I47" s="424"/>
      <c r="J47" s="427"/>
      <c r="K47" s="238"/>
      <c r="L47" s="239"/>
      <c r="M47" s="231"/>
      <c r="N47" s="240"/>
      <c r="O47" s="231"/>
      <c r="P47" s="239"/>
      <c r="Q47" s="231"/>
      <c r="R47" s="240"/>
      <c r="S47" s="231"/>
      <c r="T47" s="258"/>
      <c r="U47" s="258">
        <f>Table5202228[[#This Row],[quantity4]]*Table5202228[[#This Row],[Rate]]</f>
        <v>0</v>
      </c>
      <c r="V47" s="967"/>
      <c r="W47" s="968">
        <f t="shared" ref="W47:W52" si="2">SUM(W37:W40)</f>
        <v>0</v>
      </c>
      <c r="X47" s="965" t="e">
        <f t="shared" ref="X47:X52" si="3">AB34/N34</f>
        <v>#DIV/0!</v>
      </c>
      <c r="Y47" s="258"/>
    </row>
    <row r="48" spans="7:25" hidden="1">
      <c r="G48" s="164" t="s">
        <v>144</v>
      </c>
      <c r="H48" s="236" t="s">
        <v>156</v>
      </c>
      <c r="I48" s="424"/>
      <c r="J48" s="427"/>
      <c r="K48" s="238"/>
      <c r="L48" s="239"/>
      <c r="M48" s="231"/>
      <c r="N48" s="240"/>
      <c r="O48" s="231"/>
      <c r="P48" s="239"/>
      <c r="Q48" s="231"/>
      <c r="R48" s="240"/>
      <c r="S48" s="231"/>
      <c r="T48" s="258"/>
      <c r="U48" s="258">
        <f>Table5202228[[#This Row],[quantity4]]*Table5202228[[#This Row],[Rate]]</f>
        <v>0</v>
      </c>
      <c r="V48" s="963"/>
      <c r="W48" s="969">
        <f t="shared" si="2"/>
        <v>0</v>
      </c>
      <c r="X48" s="965" t="e">
        <f t="shared" si="3"/>
        <v>#DIV/0!</v>
      </c>
      <c r="Y48" s="258"/>
    </row>
    <row r="49" spans="7:25" hidden="1">
      <c r="G49" s="164" t="s">
        <v>142</v>
      </c>
      <c r="H49" s="236" t="s">
        <v>157</v>
      </c>
      <c r="I49" s="424"/>
      <c r="J49" s="427"/>
      <c r="K49" s="238"/>
      <c r="L49" s="239"/>
      <c r="M49" s="231"/>
      <c r="N49" s="240"/>
      <c r="O49" s="234"/>
      <c r="P49" s="239"/>
      <c r="Q49" s="231"/>
      <c r="R49" s="240"/>
      <c r="S49" s="231"/>
      <c r="T49" s="258"/>
      <c r="U49" s="258">
        <f>Table5202228[[#This Row],[quantity4]]*Table5202228[[#This Row],[Rate]]</f>
        <v>0</v>
      </c>
      <c r="V49" s="963"/>
      <c r="W49" s="969">
        <f t="shared" si="2"/>
        <v>0</v>
      </c>
      <c r="X49" s="965">
        <f t="shared" si="3"/>
        <v>0</v>
      </c>
      <c r="Y49" s="258"/>
    </row>
    <row r="50" spans="7:25" hidden="1">
      <c r="G50" s="164" t="s">
        <v>145</v>
      </c>
      <c r="H50" s="237" t="s">
        <v>158</v>
      </c>
      <c r="I50" s="424"/>
      <c r="J50" s="427"/>
      <c r="K50" s="238"/>
      <c r="L50" s="239"/>
      <c r="M50" s="231"/>
      <c r="N50" s="240"/>
      <c r="O50" s="234"/>
      <c r="P50" s="239"/>
      <c r="Q50" s="231"/>
      <c r="R50" s="240"/>
      <c r="S50" s="231"/>
      <c r="T50" s="258"/>
      <c r="U50" s="258">
        <f>Table5202228[[#This Row],[quantity4]]*Table5202228[[#This Row],[Rate]]</f>
        <v>0</v>
      </c>
      <c r="V50" s="967"/>
      <c r="W50" s="968">
        <f t="shared" si="2"/>
        <v>19989.96</v>
      </c>
      <c r="X50" s="965" t="e">
        <f t="shared" si="3"/>
        <v>#DIV/0!</v>
      </c>
      <c r="Y50" s="258"/>
    </row>
    <row r="51" spans="7:25" hidden="1">
      <c r="G51" t="s">
        <v>149</v>
      </c>
      <c r="H51" s="237" t="s">
        <v>159</v>
      </c>
      <c r="I51" s="424"/>
      <c r="J51" s="427"/>
      <c r="K51" s="238"/>
      <c r="L51" s="238"/>
      <c r="M51" s="234"/>
      <c r="N51" s="238"/>
      <c r="O51" s="234"/>
      <c r="P51" s="238"/>
      <c r="Q51" s="234"/>
      <c r="R51" s="238"/>
      <c r="S51" s="234"/>
      <c r="T51" s="258"/>
      <c r="U51" s="258"/>
      <c r="V51" s="963"/>
      <c r="W51" s="969">
        <f t="shared" si="2"/>
        <v>59601.760000000002</v>
      </c>
      <c r="X51" s="965" t="e">
        <f t="shared" si="3"/>
        <v>#DIV/0!</v>
      </c>
      <c r="Y51" s="258"/>
    </row>
    <row r="52" spans="7:25" hidden="1">
      <c r="G52" t="s">
        <v>150</v>
      </c>
      <c r="H52" s="237" t="s">
        <v>160</v>
      </c>
      <c r="I52" s="424"/>
      <c r="J52" s="427"/>
      <c r="K52" s="238"/>
      <c r="L52" s="238"/>
      <c r="M52" s="234"/>
      <c r="N52" s="238"/>
      <c r="O52" s="234"/>
      <c r="P52" s="238"/>
      <c r="Q52" s="234"/>
      <c r="R52" s="238"/>
      <c r="S52" s="234"/>
      <c r="T52" s="258"/>
      <c r="U52" s="258"/>
      <c r="V52" s="963"/>
      <c r="W52" s="969">
        <f t="shared" si="2"/>
        <v>239795.5</v>
      </c>
      <c r="X52" s="965" t="e">
        <f t="shared" si="3"/>
        <v>#DIV/0!</v>
      </c>
      <c r="Y52" s="258"/>
    </row>
    <row r="53" spans="7:25">
      <c r="G53" s="241"/>
      <c r="H53" s="242"/>
      <c r="I53" s="424"/>
      <c r="J53" s="427"/>
      <c r="K53" s="243" t="s">
        <v>25</v>
      </c>
      <c r="L53" s="244"/>
      <c r="M53" s="244"/>
      <c r="N53" s="244"/>
      <c r="O53" s="244"/>
      <c r="P53" s="244"/>
      <c r="Q53" s="244"/>
      <c r="R53" s="244">
        <f>SUM(R43:R52)</f>
        <v>0</v>
      </c>
      <c r="S53" s="244">
        <f>SUM(S43:S52)</f>
        <v>0</v>
      </c>
      <c r="T53" s="258"/>
      <c r="U53" s="266">
        <f>SUM(U43:U52)</f>
        <v>114999.99780000001</v>
      </c>
      <c r="V53" s="967"/>
      <c r="W53" s="266"/>
      <c r="X53" s="965"/>
      <c r="Y53" s="258"/>
    </row>
    <row r="54" spans="7:25">
      <c r="H54" s="236"/>
      <c r="I54" s="947"/>
      <c r="J54" s="949"/>
      <c r="K54" s="236"/>
      <c r="L54" s="236"/>
      <c r="M54" s="950"/>
      <c r="N54" s="948"/>
      <c r="O54" s="950"/>
      <c r="S54" s="950"/>
      <c r="V54" s="970"/>
      <c r="W54" s="971">
        <f>SUBTOTAL(109,W43:W46)</f>
        <v>456893.04</v>
      </c>
      <c r="X54" s="258"/>
      <c r="Y54" s="258">
        <f>SUM(Y43:Y46)</f>
        <v>575000</v>
      </c>
    </row>
    <row r="55" spans="7:25">
      <c r="W55">
        <v>23000</v>
      </c>
      <c r="X55">
        <f>W55/K43</f>
        <v>96.23430962343096</v>
      </c>
    </row>
    <row r="56" spans="7:25">
      <c r="U56">
        <f>Y43/K43</f>
        <v>104.54543933054394</v>
      </c>
      <c r="W56">
        <v>46000</v>
      </c>
      <c r="X56">
        <f t="shared" ref="X56:X58" si="4">W56/K44</f>
        <v>296.77419354838707</v>
      </c>
    </row>
    <row r="57" spans="7:25">
      <c r="U57">
        <f t="shared" ref="U57:U59" si="5">Y44/K44</f>
        <v>319.44445161290321</v>
      </c>
      <c r="W57">
        <v>184000</v>
      </c>
      <c r="X57">
        <f t="shared" si="4"/>
        <v>1295.7746478873239</v>
      </c>
    </row>
    <row r="58" spans="7:25">
      <c r="U58">
        <f t="shared" si="5"/>
        <v>2771.631690140845</v>
      </c>
      <c r="W58">
        <v>207000</v>
      </c>
      <c r="X58">
        <f t="shared" si="4"/>
        <v>2406.9767441860463</v>
      </c>
    </row>
    <row r="59" spans="7:25">
      <c r="G59" t="str">
        <f>Invoices!C77</f>
        <v>Project support services 4</v>
      </c>
      <c r="H59" s="236"/>
      <c r="I59" s="238"/>
      <c r="J59" s="418"/>
      <c r="L59" s="1285" t="s">
        <v>321</v>
      </c>
      <c r="M59" s="1286"/>
      <c r="N59" s="1285" t="s">
        <v>376</v>
      </c>
      <c r="O59" s="1286"/>
      <c r="U59">
        <f t="shared" si="5"/>
        <v>1243.3494186046512</v>
      </c>
    </row>
    <row r="60" spans="7:25">
      <c r="G60" t="s">
        <v>141</v>
      </c>
      <c r="H60" s="236" t="s">
        <v>147</v>
      </c>
      <c r="I60" s="236" t="s">
        <v>217</v>
      </c>
      <c r="J60" s="236" t="s">
        <v>219</v>
      </c>
      <c r="K60" s="238" t="s">
        <v>148</v>
      </c>
      <c r="L60" s="238" t="s">
        <v>163</v>
      </c>
      <c r="M60" s="239" t="s">
        <v>162</v>
      </c>
      <c r="N60" s="238" t="s">
        <v>163</v>
      </c>
      <c r="O60" s="239" t="s">
        <v>162</v>
      </c>
    </row>
    <row r="61" spans="7:25">
      <c r="G61" s="164" t="s">
        <v>143</v>
      </c>
      <c r="H61" s="236" t="s">
        <v>151</v>
      </c>
      <c r="I61" s="422">
        <v>1765</v>
      </c>
      <c r="J61" s="425"/>
      <c r="K61" s="238">
        <v>239</v>
      </c>
      <c r="L61" s="238">
        <v>588.33000000000004</v>
      </c>
      <c r="M61" s="230">
        <f>L61*K61</f>
        <v>140610.87</v>
      </c>
      <c r="N61">
        <v>735.42</v>
      </c>
      <c r="O61">
        <f>N61*K61</f>
        <v>175765.38</v>
      </c>
    </row>
    <row r="62" spans="7:25">
      <c r="G62" s="164" t="s">
        <v>144</v>
      </c>
      <c r="H62" s="236" t="s">
        <v>152</v>
      </c>
      <c r="I62" s="423">
        <v>2787</v>
      </c>
      <c r="J62" s="425"/>
      <c r="K62" s="238">
        <v>155</v>
      </c>
      <c r="L62" s="238">
        <v>929</v>
      </c>
      <c r="M62" s="230">
        <f>L62*K62</f>
        <v>143995</v>
      </c>
      <c r="N62">
        <v>1161.25</v>
      </c>
      <c r="O62">
        <f>N62*K62</f>
        <v>179993.75</v>
      </c>
    </row>
    <row r="63" spans="7:25">
      <c r="G63" s="164" t="s">
        <v>142</v>
      </c>
      <c r="H63" s="236" t="s">
        <v>153</v>
      </c>
      <c r="I63" s="424"/>
      <c r="J63" s="425"/>
      <c r="K63" s="238">
        <v>0</v>
      </c>
      <c r="L63" s="238"/>
      <c r="M63" s="230"/>
    </row>
    <row r="64" spans="7:25">
      <c r="G64" s="164" t="s">
        <v>145</v>
      </c>
      <c r="H64" s="236" t="s">
        <v>154</v>
      </c>
      <c r="I64" s="424"/>
      <c r="J64" s="425"/>
      <c r="K64" s="238">
        <v>0</v>
      </c>
      <c r="L64" s="239"/>
      <c r="M64" s="230"/>
    </row>
    <row r="65" spans="7:15">
      <c r="G65" s="241"/>
      <c r="H65" s="242"/>
      <c r="I65" s="424"/>
      <c r="J65" s="427"/>
      <c r="K65" s="243" t="s">
        <v>25</v>
      </c>
      <c r="L65" s="244"/>
      <c r="M65" s="244">
        <v>284606.76</v>
      </c>
      <c r="O65" s="244">
        <f>SUM(O61:O64)</f>
        <v>355759.13</v>
      </c>
    </row>
    <row r="85" spans="22:22">
      <c r="V85" t="s">
        <v>411</v>
      </c>
    </row>
  </sheetData>
  <mergeCells count="20">
    <mergeCell ref="X41:Y41"/>
    <mergeCell ref="L41:M41"/>
    <mergeCell ref="N41:O41"/>
    <mergeCell ref="P41:Q41"/>
    <mergeCell ref="R41:S41"/>
    <mergeCell ref="T41:U41"/>
    <mergeCell ref="P24:Q24"/>
    <mergeCell ref="R24:S24"/>
    <mergeCell ref="L59:M59"/>
    <mergeCell ref="V5:W5"/>
    <mergeCell ref="V41:W41"/>
    <mergeCell ref="T5:U5"/>
    <mergeCell ref="T24:U24"/>
    <mergeCell ref="L5:M5"/>
    <mergeCell ref="N5:O5"/>
    <mergeCell ref="P5:Q5"/>
    <mergeCell ref="R5:S5"/>
    <mergeCell ref="L24:M24"/>
    <mergeCell ref="N24:O24"/>
    <mergeCell ref="N59:O59"/>
  </mergeCells>
  <printOptions horizontalCentered="1" verticalCentered="1"/>
  <pageMargins left="0.7" right="0.7" top="0.75" bottom="0.75" header="0.3" footer="0.3"/>
  <pageSetup orientation="landscape" r:id="rId1"/>
  <tableParts count="3"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6:S51"/>
  <sheetViews>
    <sheetView topLeftCell="A7" zoomScale="70" zoomScaleNormal="70" workbookViewId="0">
      <selection activeCell="S27" sqref="S27"/>
    </sheetView>
  </sheetViews>
  <sheetFormatPr defaultRowHeight="14.4"/>
  <cols>
    <col min="2" max="2" width="18.44140625" customWidth="1"/>
    <col min="3" max="3" width="19.88671875" customWidth="1"/>
    <col min="7" max="7" width="43.6640625" customWidth="1"/>
    <col min="9" max="9" width="17.88671875" customWidth="1"/>
    <col min="10" max="10" width="19.6640625" customWidth="1"/>
    <col min="11" max="11" width="10.6640625" customWidth="1"/>
    <col min="13" max="13" width="15.6640625" customWidth="1"/>
    <col min="15" max="15" width="12.88671875" bestFit="1" customWidth="1"/>
    <col min="16" max="16" width="17.33203125" bestFit="1" customWidth="1"/>
    <col min="17" max="17" width="19" customWidth="1"/>
    <col min="18" max="18" width="16.44140625" customWidth="1"/>
    <col min="19" max="19" width="22.109375" customWidth="1"/>
  </cols>
  <sheetData>
    <row r="6" spans="7:19">
      <c r="L6" s="1285" t="s">
        <v>161</v>
      </c>
      <c r="M6" s="1286"/>
      <c r="N6" s="1285" t="s">
        <v>171</v>
      </c>
      <c r="O6" s="1286"/>
      <c r="P6" s="1285" t="s">
        <v>222</v>
      </c>
      <c r="Q6" s="1286"/>
      <c r="R6" s="1285" t="s">
        <v>225</v>
      </c>
      <c r="S6" s="1286"/>
    </row>
    <row r="7" spans="7:19">
      <c r="G7" s="405" t="s">
        <v>141</v>
      </c>
      <c r="H7" s="916" t="s">
        <v>147</v>
      </c>
      <c r="I7" s="916" t="s">
        <v>217</v>
      </c>
      <c r="J7" s="916" t="s">
        <v>219</v>
      </c>
      <c r="K7" s="918" t="s">
        <v>148</v>
      </c>
      <c r="L7" s="918" t="s">
        <v>163</v>
      </c>
      <c r="M7" s="917" t="s">
        <v>162</v>
      </c>
      <c r="N7" s="918" t="s">
        <v>163</v>
      </c>
      <c r="O7" s="917" t="s">
        <v>162</v>
      </c>
      <c r="P7" s="918" t="s">
        <v>163</v>
      </c>
      <c r="Q7" s="917" t="s">
        <v>162</v>
      </c>
      <c r="R7" s="918" t="s">
        <v>163</v>
      </c>
      <c r="S7" s="917" t="s">
        <v>162</v>
      </c>
    </row>
    <row r="8" spans="7:19">
      <c r="G8" s="406" t="s">
        <v>655</v>
      </c>
      <c r="H8" s="429" t="s">
        <v>151</v>
      </c>
      <c r="I8" s="429">
        <v>440.08</v>
      </c>
      <c r="J8" s="919"/>
      <c r="K8" s="919">
        <v>619</v>
      </c>
      <c r="L8" s="919"/>
      <c r="M8" s="406"/>
      <c r="N8" s="429"/>
      <c r="O8" s="919"/>
      <c r="P8" s="944">
        <v>67.162788000000006</v>
      </c>
      <c r="Q8" s="919">
        <f>P8*K8</f>
        <v>41573.765772000006</v>
      </c>
      <c r="R8" s="944">
        <v>216.58882740000001</v>
      </c>
      <c r="S8" s="919">
        <f>R8*K8</f>
        <v>134068.4841606</v>
      </c>
    </row>
    <row r="9" spans="7:19">
      <c r="G9" s="408" t="s">
        <v>144</v>
      </c>
      <c r="H9" s="429" t="s">
        <v>152</v>
      </c>
      <c r="I9" s="429">
        <v>586</v>
      </c>
      <c r="J9" s="919"/>
      <c r="K9" s="919">
        <v>475</v>
      </c>
      <c r="L9" s="919"/>
      <c r="M9" s="406"/>
      <c r="N9" s="429"/>
      <c r="O9" s="919"/>
      <c r="P9" s="736">
        <v>89.448622</v>
      </c>
      <c r="Q9" s="919">
        <f t="shared" ref="Q9:Q17" si="0">P9*K9</f>
        <v>42488.095450000001</v>
      </c>
      <c r="R9" s="736">
        <v>288.40376400000002</v>
      </c>
      <c r="S9" s="919">
        <f t="shared" ref="S9:S17" si="1">R9*K9</f>
        <v>136991.78790000002</v>
      </c>
    </row>
    <row r="10" spans="7:19">
      <c r="G10" s="406" t="s">
        <v>142</v>
      </c>
      <c r="H10" s="429" t="s">
        <v>153</v>
      </c>
      <c r="I10" s="429">
        <v>880</v>
      </c>
      <c r="J10" s="919"/>
      <c r="K10" s="919">
        <v>379</v>
      </c>
      <c r="L10" s="919"/>
      <c r="M10" s="406"/>
      <c r="N10" s="429"/>
      <c r="O10" s="919"/>
      <c r="P10" s="944">
        <v>134.32557600000001</v>
      </c>
      <c r="Q10" s="919">
        <f t="shared" si="0"/>
        <v>50909.393304000005</v>
      </c>
      <c r="R10" s="944">
        <v>433.097803</v>
      </c>
      <c r="S10" s="919">
        <f t="shared" si="1"/>
        <v>164144.06733699999</v>
      </c>
    </row>
    <row r="11" spans="7:19">
      <c r="G11" s="408" t="s">
        <v>145</v>
      </c>
      <c r="H11" s="429" t="s">
        <v>154</v>
      </c>
      <c r="I11" s="429">
        <v>1320</v>
      </c>
      <c r="J11" s="919"/>
      <c r="K11" s="919">
        <v>351</v>
      </c>
      <c r="L11" s="919"/>
      <c r="M11" s="406"/>
      <c r="N11" s="429"/>
      <c r="O11" s="919"/>
      <c r="P11" s="736">
        <v>201.510108</v>
      </c>
      <c r="Q11" s="919">
        <f t="shared" si="0"/>
        <v>70730.047908000008</v>
      </c>
      <c r="R11" s="736">
        <v>649.646704</v>
      </c>
      <c r="S11" s="919">
        <f t="shared" si="1"/>
        <v>228025.99310399999</v>
      </c>
    </row>
    <row r="12" spans="7:19">
      <c r="G12" s="406" t="s">
        <v>143</v>
      </c>
      <c r="H12" s="429" t="s">
        <v>155</v>
      </c>
      <c r="I12" s="919">
        <v>2500</v>
      </c>
      <c r="K12" s="919">
        <v>351</v>
      </c>
      <c r="L12" s="919">
        <v>802.21621082621084</v>
      </c>
      <c r="M12" s="919">
        <f>L12*K12</f>
        <v>281577.89</v>
      </c>
      <c r="N12" s="944">
        <v>944.87570000000005</v>
      </c>
      <c r="O12" s="944">
        <f>L12*K12</f>
        <v>281577.89</v>
      </c>
      <c r="P12" s="944">
        <v>381.60675099999997</v>
      </c>
      <c r="Q12" s="919">
        <f t="shared" si="0"/>
        <v>133943.96960099999</v>
      </c>
      <c r="R12" s="944">
        <v>371.30133499999999</v>
      </c>
      <c r="S12" s="919">
        <f t="shared" si="1"/>
        <v>130326.768585</v>
      </c>
    </row>
    <row r="13" spans="7:19">
      <c r="G13" s="408" t="s">
        <v>144</v>
      </c>
      <c r="H13" s="430" t="s">
        <v>156</v>
      </c>
      <c r="I13" s="732">
        <v>3000</v>
      </c>
      <c r="J13" s="732"/>
      <c r="K13" s="732">
        <v>303</v>
      </c>
      <c r="L13" s="732">
        <v>398.44511551155114</v>
      </c>
      <c r="M13" s="919">
        <f t="shared" ref="M13:M17" si="2">L13*K13</f>
        <v>120728.87</v>
      </c>
      <c r="N13" s="736">
        <v>469.30130000000003</v>
      </c>
      <c r="O13" s="944">
        <f t="shared" ref="O13:O17" si="3">N13*K13</f>
        <v>142198.29390000002</v>
      </c>
      <c r="P13" s="736">
        <v>457.92810100000003</v>
      </c>
      <c r="Q13" s="919">
        <f t="shared" si="0"/>
        <v>138752.214603</v>
      </c>
      <c r="R13" s="736">
        <v>1476.46982</v>
      </c>
      <c r="S13" s="919">
        <f t="shared" si="1"/>
        <v>447370.35545999999</v>
      </c>
    </row>
    <row r="14" spans="7:19">
      <c r="G14" s="406" t="s">
        <v>142</v>
      </c>
      <c r="H14" s="429" t="s">
        <v>157</v>
      </c>
      <c r="I14" s="919">
        <v>4000</v>
      </c>
      <c r="J14" s="919"/>
      <c r="K14" s="919">
        <v>274</v>
      </c>
      <c r="L14" s="919">
        <v>341.12930656934304</v>
      </c>
      <c r="M14" s="919">
        <f t="shared" si="2"/>
        <v>93469.43</v>
      </c>
      <c r="N14" s="944">
        <v>401.79289999999997</v>
      </c>
      <c r="O14" s="944">
        <f t="shared" si="3"/>
        <v>110091.2546</v>
      </c>
      <c r="P14" s="944">
        <v>610.57080099999996</v>
      </c>
      <c r="Q14" s="919">
        <f t="shared" si="0"/>
        <v>167296.39947399998</v>
      </c>
      <c r="R14" s="944">
        <v>1968.6263759999999</v>
      </c>
      <c r="S14" s="919">
        <f t="shared" si="1"/>
        <v>539403.62702399993</v>
      </c>
    </row>
    <row r="15" spans="7:19">
      <c r="G15" s="408" t="s">
        <v>145</v>
      </c>
      <c r="H15" s="430" t="s">
        <v>158</v>
      </c>
      <c r="I15" s="732">
        <v>6000</v>
      </c>
      <c r="J15" s="732"/>
      <c r="K15" s="732">
        <v>169</v>
      </c>
      <c r="L15" s="732">
        <v>718.78408284023669</v>
      </c>
      <c r="M15" s="919">
        <f t="shared" si="2"/>
        <v>121474.51</v>
      </c>
      <c r="N15" s="736">
        <v>846.60670000000005</v>
      </c>
      <c r="O15" s="944">
        <f t="shared" si="3"/>
        <v>143076.53230000002</v>
      </c>
      <c r="P15" s="736">
        <v>915.85620100000006</v>
      </c>
      <c r="Q15" s="919">
        <f t="shared" si="0"/>
        <v>154779.697969</v>
      </c>
      <c r="R15" s="736">
        <v>2952.9395639999998</v>
      </c>
      <c r="S15" s="919">
        <f t="shared" si="1"/>
        <v>499046.78631599998</v>
      </c>
    </row>
    <row r="16" spans="7:19">
      <c r="G16" s="413" t="s">
        <v>353</v>
      </c>
      <c r="H16" s="432" t="s">
        <v>159</v>
      </c>
      <c r="I16" s="919">
        <v>3000</v>
      </c>
      <c r="J16" s="919"/>
      <c r="K16" s="919">
        <v>365</v>
      </c>
      <c r="L16" s="919">
        <v>34.880794520547944</v>
      </c>
      <c r="M16" s="919">
        <f t="shared" si="2"/>
        <v>12731.49</v>
      </c>
      <c r="N16" s="944">
        <v>41.0837</v>
      </c>
      <c r="O16" s="944">
        <f t="shared" si="3"/>
        <v>14995.550499999999</v>
      </c>
      <c r="P16" s="944">
        <v>457.92810100000003</v>
      </c>
      <c r="Q16" s="919">
        <f t="shared" si="0"/>
        <v>167143.756865</v>
      </c>
      <c r="R16" s="944">
        <v>2302.6085290000001</v>
      </c>
      <c r="S16" s="919">
        <f t="shared" si="1"/>
        <v>840452.11308500008</v>
      </c>
    </row>
    <row r="17" spans="2:19">
      <c r="G17" s="414" t="s">
        <v>354</v>
      </c>
      <c r="H17" s="431" t="s">
        <v>160</v>
      </c>
      <c r="I17" s="732">
        <v>3000</v>
      </c>
      <c r="J17" s="732"/>
      <c r="K17" s="732">
        <v>269</v>
      </c>
      <c r="L17" s="732">
        <v>108.05869888475837</v>
      </c>
      <c r="M17" s="919">
        <f t="shared" si="2"/>
        <v>29067.79</v>
      </c>
      <c r="N17" s="736">
        <v>127.27509999999999</v>
      </c>
      <c r="O17" s="944">
        <f t="shared" si="3"/>
        <v>34237.001899999996</v>
      </c>
      <c r="P17" s="944">
        <v>457.92810100000003</v>
      </c>
      <c r="Q17" s="919">
        <f t="shared" si="0"/>
        <v>123182.65916900001</v>
      </c>
      <c r="R17" s="944">
        <v>1476.4697819999999</v>
      </c>
      <c r="S17" s="919">
        <f t="shared" si="1"/>
        <v>397170.37135799997</v>
      </c>
    </row>
    <row r="18" spans="2:19">
      <c r="G18" s="413" t="s">
        <v>356</v>
      </c>
      <c r="H18" s="432"/>
      <c r="I18" s="735"/>
      <c r="J18" s="735"/>
      <c r="K18" s="735"/>
      <c r="L18" s="735"/>
      <c r="M18" s="943">
        <f>SUM(M12:M17)</f>
        <v>659049.98</v>
      </c>
      <c r="O18" s="943">
        <f>SUM(O12:O17)</f>
        <v>726176.52320000005</v>
      </c>
      <c r="Q18" s="866">
        <f>SUM(Q8:Q17)</f>
        <v>1090800.0001149999</v>
      </c>
      <c r="S18" s="866">
        <f>SUM(S8:S17)</f>
        <v>3517000.3543296</v>
      </c>
    </row>
    <row r="20" spans="2:19">
      <c r="F20" t="s">
        <v>421</v>
      </c>
    </row>
    <row r="22" spans="2:19">
      <c r="B22" s="732"/>
      <c r="C22" s="732"/>
    </row>
    <row r="30" spans="2:19">
      <c r="S30" s="231"/>
    </row>
    <row r="31" spans="2:19">
      <c r="S31" s="231"/>
    </row>
    <row r="41" spans="1:3">
      <c r="A41" s="916" t="s">
        <v>147</v>
      </c>
      <c r="B41" s="946" t="s">
        <v>217</v>
      </c>
      <c r="C41" s="946" t="s">
        <v>219</v>
      </c>
    </row>
    <row r="42" spans="1:3">
      <c r="A42" s="429" t="s">
        <v>151</v>
      </c>
      <c r="B42" s="919">
        <v>1500</v>
      </c>
      <c r="C42" s="919"/>
    </row>
    <row r="43" spans="1:3">
      <c r="A43" s="430" t="s">
        <v>152</v>
      </c>
      <c r="B43" s="732">
        <v>2000</v>
      </c>
      <c r="C43" s="732"/>
    </row>
    <row r="44" spans="1:3">
      <c r="A44" s="429" t="s">
        <v>153</v>
      </c>
      <c r="B44" s="919">
        <v>3000</v>
      </c>
      <c r="C44" s="919"/>
    </row>
    <row r="45" spans="1:3">
      <c r="A45" s="430" t="s">
        <v>154</v>
      </c>
      <c r="B45" s="732">
        <v>4500</v>
      </c>
      <c r="C45" s="732"/>
    </row>
    <row r="46" spans="1:3">
      <c r="A46" s="429" t="s">
        <v>155</v>
      </c>
      <c r="B46" s="919">
        <v>2500</v>
      </c>
      <c r="C46" s="919"/>
    </row>
    <row r="47" spans="1:3">
      <c r="A47" s="430" t="s">
        <v>156</v>
      </c>
      <c r="B47" s="732">
        <v>3000</v>
      </c>
      <c r="C47" s="732"/>
    </row>
    <row r="48" spans="1:3">
      <c r="A48" s="429" t="s">
        <v>157</v>
      </c>
      <c r="B48" s="919">
        <v>4000</v>
      </c>
      <c r="C48" s="919"/>
    </row>
    <row r="49" spans="1:3">
      <c r="A49" s="430" t="s">
        <v>158</v>
      </c>
      <c r="B49" s="732">
        <v>6000</v>
      </c>
      <c r="C49" s="732"/>
    </row>
    <row r="50" spans="1:3">
      <c r="A50" s="432" t="s">
        <v>159</v>
      </c>
      <c r="B50" s="919">
        <v>3000</v>
      </c>
      <c r="C50" s="919"/>
    </row>
    <row r="51" spans="1:3">
      <c r="A51" s="431" t="s">
        <v>160</v>
      </c>
      <c r="B51" s="732">
        <v>3000</v>
      </c>
      <c r="C51" s="732"/>
    </row>
  </sheetData>
  <mergeCells count="4">
    <mergeCell ref="L6:M6"/>
    <mergeCell ref="N6:O6"/>
    <mergeCell ref="P6:Q6"/>
    <mergeCell ref="R6:S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K9:O28"/>
  <sheetViews>
    <sheetView topLeftCell="E4" workbookViewId="0">
      <selection activeCell="K23" sqref="K23"/>
    </sheetView>
  </sheetViews>
  <sheetFormatPr defaultRowHeight="14.4"/>
  <cols>
    <col min="11" max="11" width="70.44140625" bestFit="1" customWidth="1"/>
    <col min="14" max="14" width="13.33203125" bestFit="1" customWidth="1"/>
  </cols>
  <sheetData>
    <row r="9" spans="11:15" ht="15.6">
      <c r="K9" s="139" t="s">
        <v>118</v>
      </c>
      <c r="L9" s="741"/>
      <c r="M9" s="741"/>
      <c r="N9" s="230">
        <v>4360270</v>
      </c>
      <c r="O9" s="742">
        <v>1</v>
      </c>
    </row>
    <row r="10" spans="11:15" ht="15.6">
      <c r="K10" s="139" t="s">
        <v>120</v>
      </c>
      <c r="L10" s="141"/>
      <c r="M10" s="141"/>
      <c r="N10" s="230">
        <v>744150</v>
      </c>
      <c r="O10" s="742">
        <v>1</v>
      </c>
    </row>
    <row r="11" spans="11:15" ht="15.6">
      <c r="K11" s="139" t="s">
        <v>121</v>
      </c>
      <c r="L11" s="141"/>
      <c r="M11" s="141"/>
      <c r="N11" s="230">
        <v>744150</v>
      </c>
      <c r="O11" s="742">
        <v>1</v>
      </c>
    </row>
    <row r="12" spans="11:15" ht="15.6">
      <c r="K12" s="139" t="s">
        <v>173</v>
      </c>
      <c r="L12" s="141"/>
      <c r="M12" s="141"/>
      <c r="N12" s="230">
        <v>153002</v>
      </c>
      <c r="O12" s="742">
        <v>1</v>
      </c>
    </row>
    <row r="13" spans="11:15" ht="15.6">
      <c r="K13" s="139" t="s">
        <v>221</v>
      </c>
      <c r="L13" s="141"/>
      <c r="M13" s="141"/>
      <c r="N13" s="230">
        <v>156177</v>
      </c>
      <c r="O13" s="742">
        <v>1</v>
      </c>
    </row>
    <row r="14" spans="11:15" ht="15.6">
      <c r="K14" s="139" t="s">
        <v>226</v>
      </c>
      <c r="L14" s="141"/>
      <c r="M14" s="141"/>
      <c r="N14" s="230">
        <v>1656100</v>
      </c>
      <c r="O14" s="742">
        <v>1</v>
      </c>
    </row>
    <row r="15" spans="11:15" ht="15.6">
      <c r="K15" s="139" t="s">
        <v>297</v>
      </c>
      <c r="L15" s="141"/>
      <c r="M15" s="141"/>
      <c r="N15" s="230">
        <v>2560090</v>
      </c>
      <c r="O15" s="742">
        <v>1</v>
      </c>
    </row>
    <row r="16" spans="11:15" ht="15.6">
      <c r="K16" s="139" t="s">
        <v>299</v>
      </c>
      <c r="L16" s="141"/>
      <c r="M16" s="141"/>
      <c r="N16" s="230">
        <v>2310000</v>
      </c>
      <c r="O16" s="742">
        <v>0.3</v>
      </c>
    </row>
    <row r="17" spans="11:15" ht="15.6">
      <c r="K17" s="139" t="s">
        <v>302</v>
      </c>
      <c r="L17" s="141"/>
      <c r="M17" s="141"/>
      <c r="N17" s="230">
        <v>350000</v>
      </c>
      <c r="O17" s="742">
        <v>1</v>
      </c>
    </row>
    <row r="18" spans="11:15" ht="15.6">
      <c r="K18" s="139" t="s">
        <v>314</v>
      </c>
      <c r="L18" s="141"/>
      <c r="M18" s="141"/>
      <c r="N18" s="230">
        <v>700000</v>
      </c>
      <c r="O18" s="742">
        <v>0.3</v>
      </c>
    </row>
    <row r="19" spans="11:15" ht="15.6">
      <c r="K19" s="139" t="s">
        <v>325</v>
      </c>
      <c r="L19" s="141"/>
      <c r="M19" s="141"/>
      <c r="N19" s="230">
        <v>170000</v>
      </c>
      <c r="O19" s="742">
        <v>1</v>
      </c>
    </row>
    <row r="20" spans="11:15" ht="15.6">
      <c r="K20" s="139" t="s">
        <v>359</v>
      </c>
      <c r="L20" s="141"/>
      <c r="M20" s="141"/>
      <c r="N20" s="230">
        <v>1150000</v>
      </c>
      <c r="O20" s="742">
        <v>0.05</v>
      </c>
    </row>
    <row r="21" spans="11:15">
      <c r="K21" t="s">
        <v>363</v>
      </c>
      <c r="N21" s="230">
        <v>1798340</v>
      </c>
      <c r="O21" s="742">
        <v>0</v>
      </c>
    </row>
    <row r="27" spans="11:15">
      <c r="K27" t="s">
        <v>304</v>
      </c>
      <c r="N27">
        <v>4421850</v>
      </c>
      <c r="O27" s="742">
        <v>1</v>
      </c>
    </row>
    <row r="28" spans="11:15">
      <c r="K28" t="s">
        <v>309</v>
      </c>
      <c r="N28">
        <v>650000</v>
      </c>
      <c r="O28" s="74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C4:AS51"/>
  <sheetViews>
    <sheetView topLeftCell="A22" workbookViewId="0">
      <selection activeCell="C23" sqref="C23"/>
    </sheetView>
  </sheetViews>
  <sheetFormatPr defaultRowHeight="14.4"/>
  <cols>
    <col min="3" max="3" width="69.6640625" customWidth="1"/>
    <col min="4" max="4" width="20.109375" customWidth="1"/>
    <col min="5" max="5" width="21.6640625" style="697" customWidth="1"/>
    <col min="6" max="6" width="19.88671875" customWidth="1"/>
    <col min="7" max="7" width="21.5546875" customWidth="1"/>
    <col min="8" max="45" width="19.88671875" customWidth="1"/>
  </cols>
  <sheetData>
    <row r="4" spans="3:45">
      <c r="C4" t="s">
        <v>559</v>
      </c>
      <c r="D4" s="236"/>
      <c r="E4" s="1243"/>
      <c r="F4" s="1284" t="s">
        <v>161</v>
      </c>
      <c r="G4" s="1285"/>
      <c r="H4" s="1284" t="s">
        <v>171</v>
      </c>
      <c r="I4" s="1285"/>
      <c r="J4" s="1284" t="s">
        <v>222</v>
      </c>
      <c r="K4" s="1285"/>
      <c r="L4" s="1284" t="s">
        <v>225</v>
      </c>
      <c r="M4" s="1285"/>
      <c r="N4" s="1284" t="s">
        <v>271</v>
      </c>
      <c r="O4" s="1285"/>
      <c r="P4" s="1284" t="s">
        <v>272</v>
      </c>
      <c r="Q4" s="1285"/>
      <c r="R4" s="1284" t="s">
        <v>291</v>
      </c>
      <c r="S4" s="1285"/>
      <c r="T4" s="1284" t="s">
        <v>292</v>
      </c>
      <c r="U4" s="1285"/>
      <c r="V4" s="1284" t="s">
        <v>321</v>
      </c>
      <c r="W4" s="1285"/>
      <c r="X4" s="1284" t="s">
        <v>376</v>
      </c>
      <c r="Y4" s="1285"/>
      <c r="Z4" s="1284" t="s">
        <v>338</v>
      </c>
      <c r="AA4" s="1285"/>
      <c r="AB4" s="1284" t="s">
        <v>377</v>
      </c>
      <c r="AC4" s="1285"/>
      <c r="AD4" s="1284" t="s">
        <v>602</v>
      </c>
      <c r="AE4" s="1285"/>
      <c r="AF4" s="1284" t="s">
        <v>403</v>
      </c>
      <c r="AG4" s="1285"/>
      <c r="AH4" s="1284" t="s">
        <v>407</v>
      </c>
      <c r="AI4" s="1285"/>
      <c r="AJ4" s="1284" t="s">
        <v>530</v>
      </c>
      <c r="AK4" s="1285"/>
      <c r="AL4" s="1284" t="s">
        <v>603</v>
      </c>
      <c r="AM4" s="1285"/>
      <c r="AN4" s="1284" t="s">
        <v>604</v>
      </c>
      <c r="AO4" s="1285"/>
      <c r="AP4" s="1284" t="s">
        <v>605</v>
      </c>
      <c r="AQ4" s="1285"/>
      <c r="AR4" s="1284" t="s">
        <v>606</v>
      </c>
      <c r="AS4" s="1285"/>
    </row>
    <row r="5" spans="3:45">
      <c r="C5" t="s">
        <v>141</v>
      </c>
      <c r="D5" s="236" t="s">
        <v>147</v>
      </c>
      <c r="E5" s="1243" t="s">
        <v>148</v>
      </c>
      <c r="F5" s="238" t="s">
        <v>163</v>
      </c>
      <c r="G5" s="239" t="s">
        <v>162</v>
      </c>
      <c r="H5" s="238" t="s">
        <v>169</v>
      </c>
      <c r="I5" s="239" t="s">
        <v>170</v>
      </c>
      <c r="J5" s="238" t="s">
        <v>607</v>
      </c>
      <c r="K5" s="239" t="s">
        <v>608</v>
      </c>
      <c r="L5" s="238" t="s">
        <v>609</v>
      </c>
      <c r="M5" s="239" t="s">
        <v>610</v>
      </c>
      <c r="N5" s="238" t="s">
        <v>611</v>
      </c>
      <c r="O5" s="239" t="s">
        <v>612</v>
      </c>
      <c r="P5" s="238" t="s">
        <v>613</v>
      </c>
      <c r="Q5" s="239" t="s">
        <v>614</v>
      </c>
      <c r="R5" s="238" t="s">
        <v>615</v>
      </c>
      <c r="S5" s="239" t="s">
        <v>616</v>
      </c>
      <c r="T5" s="238" t="s">
        <v>617</v>
      </c>
      <c r="U5" s="239" t="s">
        <v>618</v>
      </c>
      <c r="V5" s="238" t="s">
        <v>619</v>
      </c>
      <c r="W5" s="239" t="s">
        <v>620</v>
      </c>
      <c r="X5" s="238" t="s">
        <v>621</v>
      </c>
      <c r="Y5" s="239" t="s">
        <v>622</v>
      </c>
      <c r="Z5" s="238" t="s">
        <v>623</v>
      </c>
      <c r="AA5" s="239" t="s">
        <v>624</v>
      </c>
      <c r="AB5" s="238" t="s">
        <v>208</v>
      </c>
      <c r="AC5" s="239" t="s">
        <v>625</v>
      </c>
      <c r="AD5" s="238" t="s">
        <v>626</v>
      </c>
      <c r="AE5" s="239" t="s">
        <v>627</v>
      </c>
      <c r="AF5" s="238" t="s">
        <v>528</v>
      </c>
      <c r="AG5" s="239" t="s">
        <v>628</v>
      </c>
      <c r="AH5" s="238" t="s">
        <v>629</v>
      </c>
      <c r="AI5" s="239" t="s">
        <v>630</v>
      </c>
      <c r="AJ5" s="238" t="s">
        <v>631</v>
      </c>
      <c r="AK5" s="239" t="s">
        <v>632</v>
      </c>
      <c r="AL5" s="238" t="s">
        <v>323</v>
      </c>
      <c r="AM5" s="239" t="s">
        <v>209</v>
      </c>
      <c r="AN5" s="238" t="s">
        <v>633</v>
      </c>
      <c r="AO5" s="239" t="s">
        <v>224</v>
      </c>
      <c r="AP5" s="238" t="s">
        <v>634</v>
      </c>
      <c r="AQ5" s="239" t="s">
        <v>345</v>
      </c>
      <c r="AR5" s="238" t="s">
        <v>635</v>
      </c>
      <c r="AS5" s="239" t="s">
        <v>380</v>
      </c>
    </row>
    <row r="6" spans="3:45">
      <c r="C6" t="s">
        <v>560</v>
      </c>
      <c r="E6" s="697">
        <v>427775</v>
      </c>
      <c r="F6" s="1244">
        <v>1</v>
      </c>
      <c r="G6">
        <f>Table32[[#This Row],[Quantity]]*Table32[[#This Row],[Rate]]</f>
        <v>427775</v>
      </c>
    </row>
    <row r="7" spans="3:45">
      <c r="C7" t="s">
        <v>561</v>
      </c>
      <c r="E7" s="697">
        <v>1711103</v>
      </c>
      <c r="H7" s="1244">
        <v>0.5</v>
      </c>
      <c r="I7">
        <f>Table32[[#This Row],[Quantity2]]*Table32[[#This Row],[Rate]]</f>
        <v>855551.5</v>
      </c>
      <c r="J7" s="1244">
        <v>0.5</v>
      </c>
      <c r="K7">
        <f>Table32[[#This Row],[Rate]]*Table32[[#This Row],[Quantity4]]</f>
        <v>855551.5</v>
      </c>
    </row>
    <row r="8" spans="3:45">
      <c r="C8" t="s">
        <v>562</v>
      </c>
      <c r="E8" s="697">
        <v>1308994</v>
      </c>
      <c r="H8" s="1244">
        <v>0.5</v>
      </c>
      <c r="I8">
        <f>Table32[[#This Row],[Quantity2]]*Table32[[#This Row],[Rate]]</f>
        <v>654497</v>
      </c>
      <c r="J8" s="1244">
        <v>0.5</v>
      </c>
      <c r="K8">
        <f>Table32[[#This Row],[Rate]]*Table32[[#This Row],[Quantity4]]</f>
        <v>654497</v>
      </c>
    </row>
    <row r="9" spans="3:45">
      <c r="C9" t="s">
        <v>563</v>
      </c>
      <c r="E9" s="697">
        <v>1963490</v>
      </c>
    </row>
    <row r="10" spans="3:45">
      <c r="C10" t="s">
        <v>564</v>
      </c>
      <c r="E10" s="697">
        <v>3272485.06</v>
      </c>
    </row>
    <row r="11" spans="3:45">
      <c r="C11" t="s">
        <v>565</v>
      </c>
      <c r="E11" s="697">
        <v>875679.41</v>
      </c>
    </row>
    <row r="12" spans="3:45">
      <c r="C12" t="s">
        <v>566</v>
      </c>
      <c r="E12" s="697">
        <v>559394</v>
      </c>
    </row>
    <row r="13" spans="3:45">
      <c r="C13" t="s">
        <v>567</v>
      </c>
      <c r="E13" s="697">
        <v>116181.66</v>
      </c>
    </row>
    <row r="14" spans="3:45">
      <c r="C14" t="s">
        <v>568</v>
      </c>
      <c r="E14" s="697">
        <v>507769.59999999998</v>
      </c>
    </row>
    <row r="15" spans="3:45">
      <c r="C15" t="s">
        <v>569</v>
      </c>
      <c r="E15" s="697">
        <v>911450</v>
      </c>
    </row>
    <row r="16" spans="3:45">
      <c r="C16" t="s">
        <v>570</v>
      </c>
      <c r="E16" s="697">
        <v>1367173.49</v>
      </c>
    </row>
    <row r="17" spans="3:15">
      <c r="C17" t="s">
        <v>571</v>
      </c>
      <c r="E17" s="697">
        <v>132241.99</v>
      </c>
      <c r="J17" s="1244">
        <v>0.5</v>
      </c>
      <c r="K17">
        <f>Table32[[#This Row],[Rate]]*Table32[[#This Row],[Quantity4]]</f>
        <v>66120.994999999995</v>
      </c>
      <c r="L17" s="1244">
        <v>0.5</v>
      </c>
      <c r="M17">
        <f>Table32[[#This Row],[Rate]]*Table32[[#This Row],[Quantity4]]</f>
        <v>66120.994999999995</v>
      </c>
    </row>
    <row r="18" spans="3:15">
      <c r="C18" t="s">
        <v>572</v>
      </c>
      <c r="E18" s="697">
        <v>66121</v>
      </c>
      <c r="J18" s="1244">
        <v>0.5</v>
      </c>
      <c r="K18">
        <f>Table32[[#This Row],[Rate]]*Table32[[#This Row],[Quantity4]]</f>
        <v>33060.5</v>
      </c>
      <c r="L18" s="1244">
        <v>0.5</v>
      </c>
      <c r="M18">
        <f>Table32[[#This Row],[Rate]]*Table32[[#This Row],[Quantity4]]</f>
        <v>33060.5</v>
      </c>
    </row>
    <row r="19" spans="3:15">
      <c r="C19" t="s">
        <v>573</v>
      </c>
      <c r="E19" s="697">
        <v>145466.19</v>
      </c>
      <c r="J19" s="1244">
        <v>0.5</v>
      </c>
      <c r="K19">
        <f>Table32[[#This Row],[Rate]]*Table32[[#This Row],[Quantity4]]</f>
        <v>72733.095000000001</v>
      </c>
      <c r="L19" s="1244">
        <v>0.5</v>
      </c>
      <c r="M19">
        <f>Table32[[#This Row],[Rate]]*Table32[[#This Row],[Quantity4]]</f>
        <v>72733.095000000001</v>
      </c>
    </row>
    <row r="20" spans="3:15">
      <c r="C20" t="s">
        <v>574</v>
      </c>
      <c r="E20" s="697">
        <v>119017.79</v>
      </c>
      <c r="L20" s="1244">
        <v>1</v>
      </c>
      <c r="M20">
        <f>Table32[[#This Row],[Quantity6]]*Table32[[#This Row],[Rate]]</f>
        <v>119017.79</v>
      </c>
    </row>
    <row r="21" spans="3:15">
      <c r="C21" t="s">
        <v>575</v>
      </c>
      <c r="E21" s="697">
        <v>105793.59</v>
      </c>
    </row>
    <row r="22" spans="3:15">
      <c r="C22" t="s">
        <v>576</v>
      </c>
      <c r="E22" s="697">
        <v>119017.79</v>
      </c>
    </row>
    <row r="23" spans="3:15">
      <c r="C23" t="s">
        <v>577</v>
      </c>
      <c r="E23" s="697">
        <v>264483.98</v>
      </c>
    </row>
    <row r="24" spans="3:15">
      <c r="C24" t="s">
        <v>578</v>
      </c>
      <c r="E24" s="697">
        <v>264483.98</v>
      </c>
    </row>
    <row r="25" spans="3:15">
      <c r="C25" t="s">
        <v>579</v>
      </c>
      <c r="E25" s="697">
        <v>105793.59</v>
      </c>
    </row>
    <row r="26" spans="3:15">
      <c r="C26" t="s">
        <v>580</v>
      </c>
      <c r="E26" s="697">
        <v>2724043.45</v>
      </c>
    </row>
    <row r="27" spans="3:15">
      <c r="C27" t="s">
        <v>581</v>
      </c>
      <c r="E27" s="697">
        <v>2292108.71</v>
      </c>
    </row>
    <row r="28" spans="3:15">
      <c r="C28" t="s">
        <v>582</v>
      </c>
      <c r="E28" s="697">
        <v>2566577.5699999998</v>
      </c>
    </row>
    <row r="29" spans="3:15">
      <c r="C29" t="s">
        <v>583</v>
      </c>
      <c r="E29" s="697">
        <v>2872428</v>
      </c>
    </row>
    <row r="30" spans="3:15">
      <c r="C30" t="s">
        <v>584</v>
      </c>
      <c r="E30" s="697">
        <v>2872428</v>
      </c>
    </row>
    <row r="31" spans="3:15">
      <c r="C31" t="s">
        <v>585</v>
      </c>
      <c r="E31" s="697">
        <v>514671</v>
      </c>
      <c r="N31" s="1244">
        <v>1</v>
      </c>
      <c r="O31">
        <f>Table32[[#This Row],[Quantity8]]*Table32[[#This Row],[Rate]]</f>
        <v>514671</v>
      </c>
    </row>
    <row r="32" spans="3:15">
      <c r="C32" t="s">
        <v>586</v>
      </c>
      <c r="E32" s="697">
        <v>278780.95</v>
      </c>
    </row>
    <row r="33" spans="3:7">
      <c r="C33" t="s">
        <v>587</v>
      </c>
      <c r="E33" s="697">
        <v>2111313</v>
      </c>
    </row>
    <row r="34" spans="3:7">
      <c r="C34" t="s">
        <v>588</v>
      </c>
      <c r="E34" s="697">
        <v>2111314.21</v>
      </c>
    </row>
    <row r="35" spans="3:7">
      <c r="C35" t="s">
        <v>589</v>
      </c>
      <c r="E35" s="697">
        <v>1126033.9199999999</v>
      </c>
    </row>
    <row r="36" spans="3:7">
      <c r="C36" t="s">
        <v>590</v>
      </c>
      <c r="E36" s="697">
        <v>2815084.81</v>
      </c>
    </row>
    <row r="37" spans="3:7">
      <c r="C37" t="s">
        <v>591</v>
      </c>
      <c r="E37" s="697">
        <v>3800364.49</v>
      </c>
    </row>
    <row r="38" spans="3:7">
      <c r="C38" t="s">
        <v>592</v>
      </c>
      <c r="E38" s="697">
        <v>1407542.4</v>
      </c>
    </row>
    <row r="39" spans="3:7">
      <c r="C39" t="s">
        <v>593</v>
      </c>
      <c r="E39" s="697">
        <v>430055</v>
      </c>
      <c r="F39" s="1244">
        <v>1</v>
      </c>
      <c r="G39">
        <f>Table32[[#This Row],[Quantity]]*Table32[[#This Row],[Rate]]</f>
        <v>430055</v>
      </c>
    </row>
    <row r="40" spans="3:7">
      <c r="C40" t="s">
        <v>594</v>
      </c>
      <c r="E40" s="697">
        <v>98912.97</v>
      </c>
    </row>
    <row r="41" spans="3:7">
      <c r="C41" t="s">
        <v>353</v>
      </c>
      <c r="E41" s="697">
        <v>892.5</v>
      </c>
    </row>
    <row r="42" spans="3:7">
      <c r="C42" t="s">
        <v>595</v>
      </c>
      <c r="E42" s="697">
        <v>720</v>
      </c>
    </row>
    <row r="43" spans="3:7">
      <c r="C43" t="s">
        <v>596</v>
      </c>
      <c r="E43" s="697">
        <v>720</v>
      </c>
    </row>
    <row r="44" spans="3:7">
      <c r="C44" t="s">
        <v>597</v>
      </c>
      <c r="E44" s="697">
        <v>600</v>
      </c>
    </row>
    <row r="45" spans="3:7">
      <c r="C45" t="s">
        <v>598</v>
      </c>
      <c r="E45" s="697">
        <v>720</v>
      </c>
    </row>
    <row r="46" spans="3:7">
      <c r="C46" t="s">
        <v>599</v>
      </c>
      <c r="E46" s="697">
        <v>600</v>
      </c>
    </row>
    <row r="47" spans="3:7">
      <c r="C47" t="s">
        <v>600</v>
      </c>
      <c r="E47" s="697">
        <v>600</v>
      </c>
    </row>
    <row r="49" spans="3:15">
      <c r="C49" s="256" t="s">
        <v>25</v>
      </c>
      <c r="G49">
        <f>SUM(G6:G48)</f>
        <v>857830</v>
      </c>
      <c r="I49" s="217">
        <f>SUM(I6:I48)</f>
        <v>1510048.5</v>
      </c>
      <c r="K49" s="217">
        <f>SUM(K6:K48)</f>
        <v>1681963.09</v>
      </c>
      <c r="M49" s="217">
        <f>SUM(M6:M48)</f>
        <v>290932.38</v>
      </c>
      <c r="O49" s="217">
        <f>SUM(O6:O48)</f>
        <v>514671</v>
      </c>
    </row>
    <row r="50" spans="3:15">
      <c r="C50" s="256" t="s">
        <v>24</v>
      </c>
      <c r="G50">
        <f>G49*15%</f>
        <v>128674.5</v>
      </c>
      <c r="I50" s="217">
        <f>I49*15%</f>
        <v>226507.27499999999</v>
      </c>
      <c r="K50" s="217">
        <f>K49*15%</f>
        <v>252294.46350000001</v>
      </c>
      <c r="M50" s="217">
        <f>M49*15%</f>
        <v>43639.856999999996</v>
      </c>
      <c r="O50" s="217">
        <f>O49*15%</f>
        <v>77200.649999999994</v>
      </c>
    </row>
    <row r="51" spans="3:15">
      <c r="C51" s="256" t="s">
        <v>601</v>
      </c>
      <c r="G51">
        <f>G49+G50</f>
        <v>986504.5</v>
      </c>
      <c r="I51" s="217">
        <f>I49+I50</f>
        <v>1736555.7749999999</v>
      </c>
      <c r="K51" s="217">
        <f>K49+K50</f>
        <v>1934257.5535000002</v>
      </c>
      <c r="M51" s="217">
        <f>M49+M50</f>
        <v>334572.23700000002</v>
      </c>
      <c r="O51" s="217">
        <f>O49+O50</f>
        <v>591871.65</v>
      </c>
    </row>
  </sheetData>
  <mergeCells count="20">
    <mergeCell ref="AP4:AQ4"/>
    <mergeCell ref="AR4:AS4"/>
    <mergeCell ref="AD4:AE4"/>
    <mergeCell ref="AF4:AG4"/>
    <mergeCell ref="AH4:AI4"/>
    <mergeCell ref="AJ4:AK4"/>
    <mergeCell ref="AL4:AM4"/>
    <mergeCell ref="AN4:AO4"/>
    <mergeCell ref="AB4:AC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H4:AT12"/>
  <sheetViews>
    <sheetView zoomScaleNormal="100" workbookViewId="0">
      <selection activeCell="O16" sqref="O16:AP18"/>
    </sheetView>
  </sheetViews>
  <sheetFormatPr defaultRowHeight="14.4"/>
  <cols>
    <col min="9" max="9" width="10.5546875" bestFit="1" customWidth="1"/>
    <col min="10" max="10" width="22.88671875" customWidth="1"/>
    <col min="12" max="12" width="43.6640625" customWidth="1"/>
    <col min="13" max="13" width="9.109375" customWidth="1"/>
    <col min="14" max="14" width="14" customWidth="1"/>
    <col min="15" max="15" width="21.5546875" customWidth="1"/>
    <col min="16" max="17" width="14" customWidth="1"/>
    <col min="18" max="18" width="19.5546875" customWidth="1"/>
    <col min="20" max="20" width="17.44140625" customWidth="1"/>
    <col min="22" max="22" width="13.6640625" customWidth="1"/>
    <col min="23" max="23" width="13.33203125" style="230" bestFit="1" customWidth="1"/>
    <col min="24" max="24" width="14" customWidth="1"/>
    <col min="26" max="26" width="13.33203125" customWidth="1"/>
    <col min="28" max="28" width="13.44140625" customWidth="1"/>
    <col min="30" max="30" width="11.5546875" bestFit="1" customWidth="1"/>
    <col min="31" max="31" width="15.33203125" bestFit="1" customWidth="1"/>
    <col min="32" max="32" width="12.5546875" customWidth="1"/>
  </cols>
  <sheetData>
    <row r="4" spans="8:46">
      <c r="L4" t="s">
        <v>388</v>
      </c>
      <c r="Q4" s="1285" t="s">
        <v>161</v>
      </c>
      <c r="R4" s="1286"/>
      <c r="S4" s="1285" t="s">
        <v>171</v>
      </c>
      <c r="T4" s="1286"/>
      <c r="U4" s="1285" t="s">
        <v>222</v>
      </c>
      <c r="V4" s="1286"/>
      <c r="W4" s="1285" t="s">
        <v>225</v>
      </c>
      <c r="X4" s="1286"/>
      <c r="Y4" s="1285" t="s">
        <v>271</v>
      </c>
      <c r="Z4" s="1286"/>
      <c r="AA4" s="1285" t="s">
        <v>272</v>
      </c>
      <c r="AB4" s="1286"/>
      <c r="AC4" s="1285" t="s">
        <v>291</v>
      </c>
      <c r="AD4" s="1286"/>
      <c r="AE4" s="1285" t="s">
        <v>292</v>
      </c>
      <c r="AF4" s="1286"/>
      <c r="AG4" s="1285" t="s">
        <v>321</v>
      </c>
      <c r="AH4" s="1286"/>
      <c r="AI4" s="1285" t="s">
        <v>376</v>
      </c>
      <c r="AJ4" s="1286"/>
      <c r="AK4" s="1285" t="s">
        <v>338</v>
      </c>
      <c r="AL4" s="1286"/>
      <c r="AM4" s="1285" t="s">
        <v>377</v>
      </c>
      <c r="AN4" s="1286"/>
      <c r="AO4" s="1285" t="s">
        <v>602</v>
      </c>
      <c r="AP4" s="1286"/>
      <c r="AQ4" s="1285" t="s">
        <v>403</v>
      </c>
      <c r="AR4" s="1286"/>
      <c r="AS4" s="1285" t="s">
        <v>407</v>
      </c>
      <c r="AT4" s="1286"/>
    </row>
    <row r="5" spans="8:46">
      <c r="H5" s="916" t="s">
        <v>147</v>
      </c>
      <c r="I5" s="916" t="s">
        <v>217</v>
      </c>
      <c r="J5" s="916" t="s">
        <v>219</v>
      </c>
      <c r="L5" s="405" t="s">
        <v>141</v>
      </c>
      <c r="M5" s="916" t="s">
        <v>147</v>
      </c>
      <c r="N5" s="916" t="s">
        <v>217</v>
      </c>
      <c r="O5" s="916" t="s">
        <v>219</v>
      </c>
      <c r="P5" s="918" t="s">
        <v>148</v>
      </c>
      <c r="Q5" s="918" t="s">
        <v>163</v>
      </c>
      <c r="R5" s="917" t="s">
        <v>162</v>
      </c>
      <c r="S5" s="918" t="s">
        <v>163</v>
      </c>
      <c r="T5" s="917" t="s">
        <v>162</v>
      </c>
      <c r="U5" s="918" t="s">
        <v>163</v>
      </c>
      <c r="V5" s="917" t="s">
        <v>162</v>
      </c>
      <c r="W5" s="918" t="s">
        <v>163</v>
      </c>
      <c r="X5" s="917" t="s">
        <v>162</v>
      </c>
      <c r="Y5" s="918" t="s">
        <v>163</v>
      </c>
      <c r="Z5" s="917" t="s">
        <v>162</v>
      </c>
      <c r="AA5" s="918" t="s">
        <v>163</v>
      </c>
      <c r="AB5" s="917" t="s">
        <v>162</v>
      </c>
      <c r="AC5" s="918" t="s">
        <v>163</v>
      </c>
      <c r="AD5" s="917" t="s">
        <v>162</v>
      </c>
      <c r="AE5" s="918" t="s">
        <v>163</v>
      </c>
      <c r="AF5" s="917" t="s">
        <v>162</v>
      </c>
      <c r="AG5" s="918" t="s">
        <v>163</v>
      </c>
      <c r="AH5" s="917" t="s">
        <v>162</v>
      </c>
      <c r="AI5" s="918" t="s">
        <v>163</v>
      </c>
      <c r="AJ5" s="917" t="s">
        <v>162</v>
      </c>
      <c r="AK5" s="918" t="s">
        <v>163</v>
      </c>
      <c r="AL5" s="917" t="s">
        <v>162</v>
      </c>
      <c r="AM5" s="918" t="s">
        <v>163</v>
      </c>
      <c r="AN5" s="917" t="s">
        <v>162</v>
      </c>
      <c r="AO5" s="918" t="s">
        <v>163</v>
      </c>
      <c r="AP5" s="917" t="s">
        <v>162</v>
      </c>
      <c r="AQ5" s="918" t="s">
        <v>163</v>
      </c>
      <c r="AR5" s="917" t="s">
        <v>162</v>
      </c>
      <c r="AS5" s="918" t="s">
        <v>163</v>
      </c>
      <c r="AT5" s="917" t="s">
        <v>162</v>
      </c>
    </row>
    <row r="6" spans="8:46" ht="15" customHeight="1">
      <c r="H6" s="429" t="s">
        <v>151</v>
      </c>
      <c r="I6" s="919">
        <v>2600</v>
      </c>
      <c r="J6" s="919">
        <f>I6-N6</f>
        <v>1210</v>
      </c>
      <c r="L6" s="406" t="s">
        <v>143</v>
      </c>
      <c r="M6" s="429" t="s">
        <v>151</v>
      </c>
      <c r="N6" s="919">
        <v>1390</v>
      </c>
      <c r="O6" s="919"/>
      <c r="P6" s="919">
        <v>600</v>
      </c>
      <c r="Q6" s="919">
        <v>139.02000000000001</v>
      </c>
      <c r="R6" s="944">
        <f>Q6*P6</f>
        <v>83412</v>
      </c>
      <c r="S6" s="944">
        <v>139.02000000000001</v>
      </c>
      <c r="T6" s="944">
        <f>S6*P6</f>
        <v>83412</v>
      </c>
      <c r="U6" s="919">
        <v>278.04000000000002</v>
      </c>
      <c r="V6" s="919">
        <f>U6*P6</f>
        <v>166824</v>
      </c>
      <c r="W6" s="919">
        <v>27.29</v>
      </c>
      <c r="X6" s="919">
        <f>W6*P6</f>
        <v>16374</v>
      </c>
      <c r="Y6" s="919">
        <v>27.29</v>
      </c>
      <c r="Z6" s="919">
        <f>Y6*P6</f>
        <v>16374</v>
      </c>
      <c r="AA6" s="919">
        <v>27.29</v>
      </c>
      <c r="AB6" s="919">
        <f>AA6*P6</f>
        <v>16374</v>
      </c>
      <c r="AC6" s="919">
        <v>196.98</v>
      </c>
      <c r="AD6" s="919">
        <f>AC6*P6</f>
        <v>118188</v>
      </c>
      <c r="AE6" s="919">
        <v>108.40727200000001</v>
      </c>
      <c r="AF6" s="919">
        <f>AE6*P6</f>
        <v>65044.363200000007</v>
      </c>
      <c r="AG6" s="919"/>
      <c r="AH6" s="919"/>
      <c r="AI6" s="919"/>
      <c r="AJ6" s="919"/>
      <c r="AK6" s="919"/>
      <c r="AL6" s="919"/>
      <c r="AM6" s="919"/>
      <c r="AN6" s="919"/>
      <c r="AO6" s="919"/>
      <c r="AP6" s="919"/>
      <c r="AQ6" s="919"/>
      <c r="AR6" s="919"/>
      <c r="AS6" s="919"/>
      <c r="AT6" s="919"/>
    </row>
    <row r="7" spans="8:46" ht="15" customHeight="1">
      <c r="H7" s="430" t="s">
        <v>152</v>
      </c>
      <c r="I7" s="732">
        <v>6500</v>
      </c>
      <c r="J7" s="732">
        <f t="shared" ref="J7:J10" si="0">I7-N7</f>
        <v>4034</v>
      </c>
      <c r="L7" s="408" t="s">
        <v>144</v>
      </c>
      <c r="M7" s="430" t="s">
        <v>152</v>
      </c>
      <c r="N7" s="732">
        <v>2466</v>
      </c>
      <c r="O7" s="732"/>
      <c r="P7" s="732">
        <v>460</v>
      </c>
      <c r="Q7" s="732">
        <v>246.58695652173913</v>
      </c>
      <c r="R7" s="944">
        <f t="shared" ref="R7:R11" si="1">Q7*P7</f>
        <v>113430</v>
      </c>
      <c r="S7" s="736">
        <v>246.58695652173913</v>
      </c>
      <c r="T7" s="944">
        <f t="shared" ref="T7:T11" si="2">S7*P7</f>
        <v>113430</v>
      </c>
      <c r="U7" s="732">
        <v>493.17400000000004</v>
      </c>
      <c r="V7" s="919">
        <f t="shared" ref="V7:V11" si="3">U7*P7</f>
        <v>226860.04</v>
      </c>
      <c r="W7" s="732">
        <v>68.23</v>
      </c>
      <c r="X7" s="919">
        <f t="shared" ref="X7:X11" si="4">W7*P7</f>
        <v>31385.800000000003</v>
      </c>
      <c r="Y7" s="732">
        <v>68.23</v>
      </c>
      <c r="Z7" s="919">
        <f t="shared" ref="Z7:Z11" si="5">Y7*P7</f>
        <v>31385.800000000003</v>
      </c>
      <c r="AA7" s="732">
        <v>68.23</v>
      </c>
      <c r="AB7" s="919">
        <f t="shared" ref="AB7:AB11" si="6">AA7*P7</f>
        <v>31385.800000000003</v>
      </c>
      <c r="AC7" s="732">
        <v>455.72</v>
      </c>
      <c r="AD7" s="919">
        <f t="shared" ref="AD7:AD11" si="7">AC7*P7</f>
        <v>209631.2</v>
      </c>
      <c r="AE7" s="732">
        <v>297.17656499999998</v>
      </c>
      <c r="AF7" s="919">
        <f t="shared" ref="AF7:AF11" si="8">AE7*P7</f>
        <v>136701.2199</v>
      </c>
      <c r="AG7" s="732"/>
      <c r="AH7" s="732"/>
      <c r="AI7" s="732"/>
      <c r="AJ7" s="732"/>
      <c r="AK7" s="732"/>
      <c r="AL7" s="732"/>
      <c r="AM7" s="732"/>
      <c r="AN7" s="732"/>
      <c r="AO7" s="732"/>
      <c r="AP7" s="732"/>
      <c r="AQ7" s="732"/>
      <c r="AR7" s="732"/>
      <c r="AS7" s="732"/>
      <c r="AT7" s="732"/>
    </row>
    <row r="8" spans="8:46" ht="15" customHeight="1">
      <c r="H8" s="429" t="s">
        <v>153</v>
      </c>
      <c r="I8" s="919">
        <v>10000</v>
      </c>
      <c r="J8" s="919">
        <f t="shared" si="0"/>
        <v>9788</v>
      </c>
      <c r="L8" s="406" t="s">
        <v>142</v>
      </c>
      <c r="M8" s="429" t="s">
        <v>153</v>
      </c>
      <c r="N8" s="919">
        <v>212</v>
      </c>
      <c r="O8" s="919"/>
      <c r="P8" s="919">
        <v>360</v>
      </c>
      <c r="Q8" s="919">
        <v>21.172222222222221</v>
      </c>
      <c r="R8" s="944">
        <f t="shared" si="1"/>
        <v>7621.9999999999991</v>
      </c>
      <c r="S8" s="944">
        <v>21.172222222222221</v>
      </c>
      <c r="T8" s="944">
        <f t="shared" si="2"/>
        <v>7621.9999999999991</v>
      </c>
      <c r="U8" s="919">
        <v>42.344000000000001</v>
      </c>
      <c r="V8" s="919">
        <f t="shared" si="3"/>
        <v>15243.84</v>
      </c>
      <c r="W8" s="919">
        <v>104.97</v>
      </c>
      <c r="X8" s="919">
        <f t="shared" si="4"/>
        <v>37789.199999999997</v>
      </c>
      <c r="Y8" s="919">
        <v>104.97</v>
      </c>
      <c r="Z8" s="919">
        <f t="shared" si="5"/>
        <v>37789.199999999997</v>
      </c>
      <c r="AA8" s="919">
        <v>104.97</v>
      </c>
      <c r="AB8" s="919">
        <f>AA8*P8</f>
        <v>37789.199999999997</v>
      </c>
      <c r="AC8" s="919">
        <v>50</v>
      </c>
      <c r="AD8" s="919">
        <f t="shared" si="7"/>
        <v>18000</v>
      </c>
      <c r="AE8" s="919">
        <v>583.01529949999997</v>
      </c>
      <c r="AF8" s="919">
        <f t="shared" si="8"/>
        <v>209885.50782</v>
      </c>
      <c r="AG8" s="919"/>
      <c r="AH8" s="919"/>
      <c r="AI8" s="919"/>
      <c r="AJ8" s="919"/>
      <c r="AK8" s="919"/>
      <c r="AL8" s="919"/>
      <c r="AM8" s="919"/>
      <c r="AN8" s="919"/>
      <c r="AO8" s="919"/>
      <c r="AP8" s="919"/>
      <c r="AQ8" s="919"/>
      <c r="AR8" s="919"/>
      <c r="AS8" s="919"/>
      <c r="AT8" s="919"/>
    </row>
    <row r="9" spans="8:46" ht="15" customHeight="1">
      <c r="H9" s="430" t="s">
        <v>154</v>
      </c>
      <c r="I9" s="732">
        <v>10000</v>
      </c>
      <c r="J9" s="732">
        <f t="shared" si="0"/>
        <v>8261</v>
      </c>
      <c r="L9" s="408" t="s">
        <v>145</v>
      </c>
      <c r="M9" s="430" t="s">
        <v>154</v>
      </c>
      <c r="N9" s="732">
        <v>1739</v>
      </c>
      <c r="O9" s="732"/>
      <c r="P9" s="732">
        <v>200</v>
      </c>
      <c r="Q9" s="732">
        <v>173.88</v>
      </c>
      <c r="R9" s="944">
        <f t="shared" si="1"/>
        <v>34776</v>
      </c>
      <c r="S9" s="736">
        <v>173.88</v>
      </c>
      <c r="T9" s="944">
        <f t="shared" si="2"/>
        <v>34776</v>
      </c>
      <c r="U9" s="732">
        <v>347.76</v>
      </c>
      <c r="V9" s="919">
        <f t="shared" si="3"/>
        <v>69552</v>
      </c>
      <c r="W9" s="919">
        <v>104.97</v>
      </c>
      <c r="X9" s="919">
        <f t="shared" si="4"/>
        <v>20994</v>
      </c>
      <c r="Y9" s="919">
        <v>104.97</v>
      </c>
      <c r="Z9" s="919">
        <f t="shared" si="5"/>
        <v>20994</v>
      </c>
      <c r="AA9" s="919">
        <v>104.97</v>
      </c>
      <c r="AB9" s="919">
        <f t="shared" si="6"/>
        <v>20994</v>
      </c>
      <c r="AC9" s="732">
        <v>739.11</v>
      </c>
      <c r="AD9" s="919">
        <f t="shared" si="7"/>
        <v>147822</v>
      </c>
      <c r="AE9" s="732">
        <v>498.83977299999998</v>
      </c>
      <c r="AF9" s="919">
        <f t="shared" si="8"/>
        <v>99767.954599999997</v>
      </c>
      <c r="AG9" s="732"/>
      <c r="AH9" s="732"/>
      <c r="AI9" s="732"/>
      <c r="AJ9" s="732"/>
      <c r="AK9" s="732"/>
      <c r="AL9" s="732"/>
      <c r="AM9" s="732"/>
      <c r="AN9" s="732"/>
      <c r="AO9" s="732"/>
      <c r="AP9" s="732"/>
      <c r="AQ9" s="732"/>
      <c r="AR9" s="732"/>
      <c r="AS9" s="732"/>
      <c r="AT9" s="732"/>
    </row>
    <row r="10" spans="8:46" ht="15" customHeight="1">
      <c r="H10" s="432" t="s">
        <v>351</v>
      </c>
      <c r="I10" s="919">
        <v>5000</v>
      </c>
      <c r="J10" s="919">
        <f t="shared" si="0"/>
        <v>4158</v>
      </c>
      <c r="L10" s="413" t="s">
        <v>353</v>
      </c>
      <c r="M10" s="432" t="s">
        <v>351</v>
      </c>
      <c r="N10" s="919">
        <v>842</v>
      </c>
      <c r="O10" s="919"/>
      <c r="P10" s="919">
        <v>695</v>
      </c>
      <c r="Q10" s="919">
        <v>84.238848920863305</v>
      </c>
      <c r="R10" s="944">
        <f t="shared" si="1"/>
        <v>58546</v>
      </c>
      <c r="S10" s="944">
        <v>84.238848920863305</v>
      </c>
      <c r="T10" s="944">
        <f t="shared" si="2"/>
        <v>58546</v>
      </c>
      <c r="U10" s="919">
        <v>168.47800000000001</v>
      </c>
      <c r="V10" s="919">
        <f t="shared" si="3"/>
        <v>117092.21</v>
      </c>
      <c r="W10" s="919">
        <v>52.48</v>
      </c>
      <c r="X10" s="919">
        <f t="shared" si="4"/>
        <v>36473.599999999999</v>
      </c>
      <c r="Y10" s="919">
        <v>52.48</v>
      </c>
      <c r="Z10" s="919">
        <f t="shared" si="5"/>
        <v>36473.599999999999</v>
      </c>
      <c r="AA10" s="732">
        <v>52.49</v>
      </c>
      <c r="AB10" s="919">
        <f t="shared" si="6"/>
        <v>36480.550000000003</v>
      </c>
      <c r="AC10" s="919">
        <v>103.04</v>
      </c>
      <c r="AD10" s="919">
        <f t="shared" si="7"/>
        <v>71612.800000000003</v>
      </c>
      <c r="AE10" s="919">
        <v>270.23609900000002</v>
      </c>
      <c r="AF10" s="919">
        <f t="shared" si="8"/>
        <v>187814.08880500001</v>
      </c>
      <c r="AG10" s="919"/>
      <c r="AH10" s="919"/>
      <c r="AI10" s="919"/>
      <c r="AJ10" s="919"/>
      <c r="AK10" s="919"/>
      <c r="AL10" s="919"/>
      <c r="AM10" s="919"/>
      <c r="AN10" s="919"/>
      <c r="AO10" s="919"/>
      <c r="AP10" s="919"/>
      <c r="AQ10" s="919"/>
      <c r="AR10" s="919"/>
      <c r="AS10" s="919"/>
      <c r="AT10" s="919"/>
    </row>
    <row r="11" spans="8:46" ht="15" customHeight="1">
      <c r="H11" s="431" t="s">
        <v>352</v>
      </c>
      <c r="I11" s="732">
        <v>3500</v>
      </c>
      <c r="J11" s="732">
        <f>I11-N11</f>
        <v>3451</v>
      </c>
      <c r="L11" s="414" t="s">
        <v>354</v>
      </c>
      <c r="M11" s="431" t="s">
        <v>352</v>
      </c>
      <c r="N11" s="732">
        <v>49</v>
      </c>
      <c r="O11" s="732"/>
      <c r="P11" s="732">
        <v>390</v>
      </c>
      <c r="Q11" s="732">
        <v>4.9410256410256412</v>
      </c>
      <c r="R11" s="944">
        <f t="shared" si="1"/>
        <v>1927</v>
      </c>
      <c r="S11" s="736">
        <v>4.9410256410256412</v>
      </c>
      <c r="T11" s="944">
        <f t="shared" si="2"/>
        <v>1927</v>
      </c>
      <c r="U11" s="732">
        <v>9.8819999999999997</v>
      </c>
      <c r="V11" s="919">
        <f t="shared" si="3"/>
        <v>3853.98</v>
      </c>
      <c r="W11" s="732">
        <v>36.74</v>
      </c>
      <c r="X11" s="919">
        <f t="shared" si="4"/>
        <v>14328.6</v>
      </c>
      <c r="Y11" s="732">
        <v>36.74</v>
      </c>
      <c r="Z11" s="919">
        <f t="shared" si="5"/>
        <v>14328.6</v>
      </c>
      <c r="AA11" s="732">
        <v>36.74</v>
      </c>
      <c r="AB11" s="919">
        <f t="shared" si="6"/>
        <v>14328.6</v>
      </c>
      <c r="AC11" s="732">
        <v>10.77</v>
      </c>
      <c r="AD11" s="919">
        <f t="shared" si="7"/>
        <v>4200.3</v>
      </c>
      <c r="AE11" s="732">
        <v>205.23212100000001</v>
      </c>
      <c r="AF11" s="919">
        <f t="shared" si="8"/>
        <v>80040.527190000008</v>
      </c>
      <c r="AG11" s="732"/>
      <c r="AH11" s="732"/>
      <c r="AI11" s="732"/>
      <c r="AJ11" s="732"/>
      <c r="AK11" s="732"/>
      <c r="AL11" s="732"/>
      <c r="AM11" s="732"/>
      <c r="AN11" s="732"/>
      <c r="AO11" s="732"/>
      <c r="AP11" s="732"/>
      <c r="AQ11" s="732"/>
      <c r="AR11" s="732"/>
      <c r="AS11" s="732"/>
      <c r="AT11" s="732"/>
    </row>
    <row r="12" spans="8:46" ht="15" customHeight="1">
      <c r="H12" s="413" t="s">
        <v>356</v>
      </c>
      <c r="I12" s="942">
        <f>SUM(I6:I11)</f>
        <v>37600</v>
      </c>
      <c r="J12" s="919"/>
      <c r="L12" s="413" t="s">
        <v>356</v>
      </c>
      <c r="M12" s="432"/>
      <c r="N12" s="735"/>
      <c r="O12" s="735"/>
      <c r="P12" s="735"/>
      <c r="Q12" s="735"/>
      <c r="R12" s="945">
        <f>SUM(R6:R11)</f>
        <v>299713</v>
      </c>
      <c r="S12" s="943"/>
      <c r="T12" s="945">
        <f>SUM(T6:T11)</f>
        <v>299713</v>
      </c>
      <c r="U12" s="919"/>
      <c r="V12" s="945">
        <f>SUM(V6:V11)</f>
        <v>599426.07000000007</v>
      </c>
      <c r="W12" s="735"/>
      <c r="X12" s="945">
        <f>SUM(X6:X11)</f>
        <v>157345.20000000001</v>
      </c>
      <c r="Y12" s="735"/>
      <c r="Z12" s="945">
        <f>SUM(Z6:Z11)</f>
        <v>157345.20000000001</v>
      </c>
      <c r="AA12" s="735"/>
      <c r="AB12" s="945">
        <v>134870.85</v>
      </c>
      <c r="AC12" s="735"/>
      <c r="AD12" s="945">
        <f>SUM(AD6:AD11)</f>
        <v>569454.30000000005</v>
      </c>
      <c r="AE12" s="735"/>
      <c r="AF12" s="1250">
        <f>SUM(AF6:AF11)</f>
        <v>779253.66151500004</v>
      </c>
      <c r="AG12" s="735"/>
      <c r="AH12" s="735"/>
      <c r="AI12" s="735"/>
      <c r="AJ12" s="735"/>
      <c r="AK12" s="735"/>
      <c r="AL12" s="735"/>
      <c r="AM12" s="735"/>
      <c r="AN12" s="735"/>
      <c r="AO12" s="735"/>
      <c r="AP12" s="735"/>
      <c r="AQ12" s="735"/>
      <c r="AR12" s="735"/>
      <c r="AS12" s="735"/>
      <c r="AT12" s="735"/>
    </row>
  </sheetData>
  <mergeCells count="15">
    <mergeCell ref="AK4:AL4"/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Q4:R4"/>
    <mergeCell ref="S4:T4"/>
    <mergeCell ref="U4:V4"/>
    <mergeCell ref="W4:X4"/>
    <mergeCell ref="Y4:Z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D121"/>
  <sheetViews>
    <sheetView topLeftCell="A97" workbookViewId="0">
      <selection activeCell="C7" sqref="C7"/>
    </sheetView>
  </sheetViews>
  <sheetFormatPr defaultRowHeight="14.4"/>
  <cols>
    <col min="1" max="1" width="13" bestFit="1" customWidth="1"/>
    <col min="2" max="2" width="15.44140625" bestFit="1" customWidth="1"/>
    <col min="3" max="3" width="15.88671875" bestFit="1" customWidth="1"/>
    <col min="4" max="4" width="18.33203125" bestFit="1" customWidth="1"/>
  </cols>
  <sheetData>
    <row r="1" spans="1:4" ht="16.2" thickBot="1">
      <c r="A1" t="s">
        <v>543</v>
      </c>
      <c r="B1" s="398" t="s">
        <v>1</v>
      </c>
      <c r="C1" s="399" t="s">
        <v>44</v>
      </c>
      <c r="D1" s="400" t="s">
        <v>45</v>
      </c>
    </row>
    <row r="2" spans="1:4" ht="15.6" thickTop="1" thickBot="1">
      <c r="B2" s="401" t="s">
        <v>12</v>
      </c>
      <c r="C2" s="402">
        <v>45225</v>
      </c>
      <c r="D2" s="403">
        <v>416905</v>
      </c>
    </row>
    <row r="3" spans="1:4" ht="15.6" thickTop="1" thickBot="1">
      <c r="B3" s="401" t="s">
        <v>12</v>
      </c>
      <c r="C3" s="402">
        <v>45225</v>
      </c>
      <c r="D3" s="403">
        <v>1403611</v>
      </c>
    </row>
    <row r="4" spans="1:4" ht="15.6" thickTop="1" thickBot="1">
      <c r="B4" s="401" t="s">
        <v>12</v>
      </c>
      <c r="C4" s="402">
        <v>45225</v>
      </c>
      <c r="D4" s="403">
        <v>1377997</v>
      </c>
    </row>
    <row r="5" spans="1:4" ht="15.6" thickTop="1" thickBot="1">
      <c r="B5" s="401" t="s">
        <v>12</v>
      </c>
      <c r="C5" s="402">
        <v>45370</v>
      </c>
      <c r="D5" s="403">
        <v>682683</v>
      </c>
    </row>
    <row r="6" spans="1:4" ht="15.6" thickTop="1" thickBot="1">
      <c r="B6" s="401" t="s">
        <v>12</v>
      </c>
      <c r="C6" s="402">
        <v>45398</v>
      </c>
      <c r="D6" s="403">
        <v>368699</v>
      </c>
    </row>
    <row r="7" spans="1:4" ht="15.6" thickTop="1" thickBot="1">
      <c r="B7" s="401" t="s">
        <v>12</v>
      </c>
      <c r="C7" s="402">
        <v>45398</v>
      </c>
      <c r="D7" s="403">
        <v>1297326</v>
      </c>
    </row>
    <row r="8" spans="1:4" ht="15.6" thickTop="1" thickBot="1">
      <c r="B8" s="401" t="s">
        <v>12</v>
      </c>
      <c r="C8" s="402">
        <v>45435</v>
      </c>
      <c r="D8" s="403">
        <v>1379810.1</v>
      </c>
    </row>
    <row r="9" spans="1:4" ht="15.6" thickTop="1" thickBot="1">
      <c r="B9" s="401" t="s">
        <v>12</v>
      </c>
      <c r="C9" s="402">
        <v>45435</v>
      </c>
      <c r="D9" s="403">
        <v>125226</v>
      </c>
    </row>
    <row r="10" spans="1:4" ht="15.6" thickTop="1" thickBot="1">
      <c r="B10" s="401" t="s">
        <v>12</v>
      </c>
      <c r="C10" s="402">
        <v>45451</v>
      </c>
      <c r="D10" s="403">
        <v>2539503</v>
      </c>
    </row>
    <row r="11" spans="1:4" ht="15.6" thickTop="1" thickBot="1">
      <c r="B11" s="401" t="s">
        <v>12</v>
      </c>
      <c r="C11" s="402">
        <v>45451</v>
      </c>
      <c r="D11" s="403">
        <v>58000</v>
      </c>
    </row>
    <row r="12" spans="1:4" ht="15.6" thickTop="1" thickBot="1">
      <c r="B12" s="401" t="s">
        <v>12</v>
      </c>
      <c r="C12" s="402">
        <v>45471</v>
      </c>
      <c r="D12" s="403">
        <v>2062506.53</v>
      </c>
    </row>
    <row r="13" spans="1:4" ht="15.6" thickTop="1" thickBot="1">
      <c r="B13" s="401" t="s">
        <v>12</v>
      </c>
      <c r="C13" s="402">
        <v>45471</v>
      </c>
      <c r="D13" s="403">
        <v>115999.89</v>
      </c>
    </row>
    <row r="14" spans="1:4" ht="15.6" thickTop="1" thickBot="1">
      <c r="B14" s="401" t="s">
        <v>12</v>
      </c>
      <c r="C14" s="402">
        <v>45537</v>
      </c>
      <c r="D14" s="403">
        <v>279032</v>
      </c>
    </row>
    <row r="15" spans="1:4" ht="15.6" thickTop="1" thickBot="1">
      <c r="B15" s="401" t="s">
        <v>12</v>
      </c>
      <c r="C15" s="402">
        <v>45540</v>
      </c>
      <c r="D15" s="403">
        <v>1602086</v>
      </c>
    </row>
    <row r="16" spans="1:4" ht="15.6" thickTop="1" thickBot="1">
      <c r="B16" s="401" t="s">
        <v>12</v>
      </c>
      <c r="C16" s="402">
        <v>45572</v>
      </c>
      <c r="D16" s="686">
        <v>302500.8</v>
      </c>
    </row>
    <row r="17" spans="2:4" ht="15.6" thickTop="1" thickBot="1">
      <c r="B17" s="401" t="s">
        <v>12</v>
      </c>
      <c r="C17" s="402">
        <v>45572</v>
      </c>
      <c r="D17" s="686">
        <v>499280</v>
      </c>
    </row>
    <row r="18" spans="2:4" ht="15.6" thickTop="1" thickBot="1">
      <c r="B18" s="401" t="s">
        <v>12</v>
      </c>
      <c r="C18" s="402">
        <v>45650</v>
      </c>
      <c r="D18" s="686">
        <v>533499.19999999995</v>
      </c>
    </row>
    <row r="19" spans="2:4" ht="15.6" thickTop="1" thickBot="1">
      <c r="B19" s="401" t="s">
        <v>12</v>
      </c>
      <c r="C19" s="402">
        <v>45650</v>
      </c>
      <c r="D19" s="686">
        <v>264505</v>
      </c>
    </row>
    <row r="20" spans="2:4" ht="15.6" thickTop="1" thickBot="1">
      <c r="B20" s="401" t="s">
        <v>12</v>
      </c>
      <c r="C20" s="402">
        <v>45693</v>
      </c>
      <c r="D20" s="686">
        <v>500302</v>
      </c>
    </row>
    <row r="21" spans="2:4" ht="15.6" thickTop="1" thickBot="1">
      <c r="B21" s="401" t="s">
        <v>12</v>
      </c>
      <c r="C21" s="402">
        <v>45720</v>
      </c>
      <c r="D21" s="686">
        <v>255076</v>
      </c>
    </row>
    <row r="22" spans="2:4" ht="15.6" thickTop="1" thickBot="1">
      <c r="B22" s="401" t="s">
        <v>14</v>
      </c>
      <c r="C22" s="402">
        <v>44187</v>
      </c>
      <c r="D22" s="403" t="e">
        <f>Invoices!#REF!</f>
        <v>#REF!</v>
      </c>
    </row>
    <row r="23" spans="2:4" ht="15.6" thickTop="1" thickBot="1">
      <c r="B23" s="401" t="s">
        <v>14</v>
      </c>
      <c r="C23" s="402">
        <v>44187</v>
      </c>
      <c r="D23" s="403" t="e">
        <f>Invoices!#REF!</f>
        <v>#REF!</v>
      </c>
    </row>
    <row r="24" spans="2:4" ht="15.6" thickTop="1" thickBot="1">
      <c r="B24" s="401" t="s">
        <v>14</v>
      </c>
      <c r="C24" s="402">
        <v>44187</v>
      </c>
      <c r="D24" s="403" t="e">
        <f>Invoices!#REF!</f>
        <v>#REF!</v>
      </c>
    </row>
    <row r="25" spans="2:4" ht="15.6" thickTop="1" thickBot="1">
      <c r="B25" s="401" t="s">
        <v>14</v>
      </c>
      <c r="C25" s="402">
        <v>44187</v>
      </c>
      <c r="D25" s="403" t="e">
        <f>Invoices!#REF!</f>
        <v>#REF!</v>
      </c>
    </row>
    <row r="26" spans="2:4" ht="15.6" thickTop="1" thickBot="1">
      <c r="B26" s="401" t="s">
        <v>14</v>
      </c>
      <c r="C26" s="402">
        <v>44291</v>
      </c>
      <c r="D26" s="403" t="e">
        <f>Invoices!#REF!</f>
        <v>#REF!</v>
      </c>
    </row>
    <row r="27" spans="2:4" ht="15.6" thickTop="1" thickBot="1">
      <c r="B27" s="401" t="s">
        <v>14</v>
      </c>
      <c r="C27" s="402">
        <v>44364</v>
      </c>
      <c r="D27" s="403" t="e">
        <f>Invoices!#REF!</f>
        <v>#REF!</v>
      </c>
    </row>
    <row r="28" spans="2:4" ht="15.6" thickTop="1" thickBot="1">
      <c r="B28" s="401" t="s">
        <v>14</v>
      </c>
      <c r="C28" s="402">
        <v>44364</v>
      </c>
      <c r="D28" s="403" t="e">
        <f>Invoices!#REF!</f>
        <v>#REF!</v>
      </c>
    </row>
    <row r="29" spans="2:4" ht="15.6" thickTop="1" thickBot="1">
      <c r="B29" s="401" t="s">
        <v>14</v>
      </c>
      <c r="C29" s="402">
        <v>44364</v>
      </c>
      <c r="D29" s="403" t="e">
        <f>Invoices!#REF!</f>
        <v>#REF!</v>
      </c>
    </row>
    <row r="30" spans="2:4" ht="15.6" thickTop="1" thickBot="1">
      <c r="B30" s="401" t="s">
        <v>14</v>
      </c>
      <c r="C30" s="402">
        <v>44636</v>
      </c>
      <c r="D30" s="403" t="e">
        <f>Invoices!#REF!</f>
        <v>#REF!</v>
      </c>
    </row>
    <row r="31" spans="2:4" ht="15.6" thickTop="1" thickBot="1">
      <c r="B31" s="401" t="s">
        <v>14</v>
      </c>
      <c r="C31" s="402">
        <v>44879</v>
      </c>
      <c r="D31" s="403" t="e">
        <f>Invoices!#REF!</f>
        <v>#REF!</v>
      </c>
    </row>
    <row r="32" spans="2:4" ht="15.6" thickTop="1" thickBot="1">
      <c r="B32" s="401" t="s">
        <v>14</v>
      </c>
      <c r="C32" s="402">
        <v>44928</v>
      </c>
      <c r="D32" s="403" t="e">
        <f>Invoices!#REF!</f>
        <v>#REF!</v>
      </c>
    </row>
    <row r="33" spans="2:4" ht="15.6" thickTop="1" thickBot="1">
      <c r="B33" s="401" t="s">
        <v>14</v>
      </c>
      <c r="C33" s="402">
        <v>45110</v>
      </c>
      <c r="D33" s="403" t="e">
        <f>Invoices!#REF!</f>
        <v>#REF!</v>
      </c>
    </row>
    <row r="34" spans="2:4" ht="15.6" thickTop="1" thickBot="1">
      <c r="B34" s="401" t="s">
        <v>14</v>
      </c>
      <c r="C34" s="402">
        <v>45091</v>
      </c>
      <c r="D34" s="403" t="e">
        <f>Invoices!#REF!</f>
        <v>#REF!</v>
      </c>
    </row>
    <row r="35" spans="2:4" ht="15.6" thickTop="1" thickBot="1">
      <c r="B35" s="401" t="s">
        <v>14</v>
      </c>
      <c r="C35" s="402">
        <v>45091</v>
      </c>
      <c r="D35" s="403" t="e">
        <f>Invoices!#REF!</f>
        <v>#REF!</v>
      </c>
    </row>
    <row r="36" spans="2:4" ht="15.6" thickTop="1" thickBot="1">
      <c r="B36" s="401" t="s">
        <v>14</v>
      </c>
      <c r="C36" s="402">
        <v>45091</v>
      </c>
      <c r="D36" s="403" t="e">
        <f>Invoices!#REF!</f>
        <v>#REF!</v>
      </c>
    </row>
    <row r="37" spans="2:4" ht="15.6" thickTop="1" thickBot="1">
      <c r="B37" s="401" t="s">
        <v>14</v>
      </c>
      <c r="C37" s="402">
        <v>45091</v>
      </c>
      <c r="D37" s="403" t="e">
        <f>Invoices!#REF!</f>
        <v>#REF!</v>
      </c>
    </row>
    <row r="38" spans="2:4" ht="15.6" thickTop="1" thickBot="1">
      <c r="B38" s="401" t="s">
        <v>14</v>
      </c>
      <c r="C38" s="402">
        <v>45211</v>
      </c>
      <c r="D38" s="403" t="e">
        <f>Invoices!#REF!</f>
        <v>#REF!</v>
      </c>
    </row>
    <row r="39" spans="2:4" ht="15.6" thickTop="1" thickBot="1">
      <c r="B39" s="401" t="s">
        <v>14</v>
      </c>
      <c r="C39" s="402">
        <v>45211</v>
      </c>
      <c r="D39" s="403" t="e">
        <f>Invoices!#REF!</f>
        <v>#REF!</v>
      </c>
    </row>
    <row r="40" spans="2:4" ht="15.6" thickTop="1" thickBot="1">
      <c r="B40" s="401" t="s">
        <v>14</v>
      </c>
      <c r="C40" s="402">
        <v>45211</v>
      </c>
      <c r="D40" s="403" t="e">
        <f>Invoices!#REF!</f>
        <v>#REF!</v>
      </c>
    </row>
    <row r="41" spans="2:4" ht="15.6" thickTop="1" thickBot="1">
      <c r="B41" s="401" t="s">
        <v>14</v>
      </c>
      <c r="C41" s="402">
        <v>45211</v>
      </c>
      <c r="D41" s="403" t="e">
        <f>Invoices!#REF!</f>
        <v>#REF!</v>
      </c>
    </row>
    <row r="42" spans="2:4" ht="15.6" thickTop="1" thickBot="1">
      <c r="B42" s="401" t="s">
        <v>14</v>
      </c>
      <c r="C42" s="402">
        <v>45211</v>
      </c>
      <c r="D42" s="403" t="e">
        <f>Invoices!#REF!</f>
        <v>#REF!</v>
      </c>
    </row>
    <row r="43" spans="2:4" ht="15.6" thickTop="1" thickBot="1">
      <c r="B43" s="401" t="s">
        <v>14</v>
      </c>
      <c r="C43" s="402">
        <v>45250</v>
      </c>
      <c r="D43" s="403" t="e">
        <f>Invoices!#REF!</f>
        <v>#REF!</v>
      </c>
    </row>
    <row r="44" spans="2:4" ht="15.6" thickTop="1" thickBot="1">
      <c r="B44" s="401" t="s">
        <v>14</v>
      </c>
      <c r="C44" s="402">
        <v>45250</v>
      </c>
      <c r="D44" s="403" t="e">
        <f>Invoices!#REF!</f>
        <v>#REF!</v>
      </c>
    </row>
    <row r="45" spans="2:4" ht="15.6" thickTop="1" thickBot="1">
      <c r="B45" s="401" t="s">
        <v>14</v>
      </c>
      <c r="C45" s="402">
        <v>45250</v>
      </c>
      <c r="D45" s="403" t="e">
        <f>Invoices!#REF!</f>
        <v>#REF!</v>
      </c>
    </row>
    <row r="46" spans="2:4" ht="15.6" thickTop="1" thickBot="1">
      <c r="B46" s="401" t="s">
        <v>14</v>
      </c>
      <c r="C46" s="402">
        <v>45250</v>
      </c>
      <c r="D46" s="403" t="e">
        <f>Invoices!#REF!</f>
        <v>#REF!</v>
      </c>
    </row>
    <row r="47" spans="2:4" ht="15.6" thickTop="1" thickBot="1">
      <c r="B47" s="401" t="s">
        <v>14</v>
      </c>
      <c r="C47" s="402">
        <v>45250</v>
      </c>
      <c r="D47" s="403" t="e">
        <f>Invoices!#REF!</f>
        <v>#REF!</v>
      </c>
    </row>
    <row r="48" spans="2:4" ht="15.6" thickTop="1" thickBot="1">
      <c r="B48" s="401" t="s">
        <v>14</v>
      </c>
      <c r="C48" s="402">
        <v>45250</v>
      </c>
      <c r="D48" s="403" t="e">
        <f>Invoices!#REF!</f>
        <v>#REF!</v>
      </c>
    </row>
    <row r="49" spans="2:4" ht="15.6" thickTop="1" thickBot="1">
      <c r="B49" s="401" t="s">
        <v>14</v>
      </c>
      <c r="C49" s="402">
        <v>45250</v>
      </c>
      <c r="D49" s="403" t="e">
        <f>Invoices!#REF!</f>
        <v>#REF!</v>
      </c>
    </row>
    <row r="50" spans="2:4" ht="15.6" thickTop="1" thickBot="1">
      <c r="B50" s="401" t="s">
        <v>14</v>
      </c>
      <c r="C50" s="402">
        <v>45272</v>
      </c>
      <c r="D50" s="403" t="e">
        <f>Invoices!#REF!</f>
        <v>#REF!</v>
      </c>
    </row>
    <row r="51" spans="2:4" ht="15.6" thickTop="1" thickBot="1">
      <c r="B51" s="401" t="s">
        <v>14</v>
      </c>
      <c r="C51" s="402">
        <v>45306</v>
      </c>
      <c r="D51" s="403" t="e">
        <f>Invoices!#REF!</f>
        <v>#REF!</v>
      </c>
    </row>
    <row r="52" spans="2:4" ht="15.6" thickTop="1" thickBot="1">
      <c r="B52" s="401" t="s">
        <v>14</v>
      </c>
      <c r="C52" s="402">
        <v>45349</v>
      </c>
      <c r="D52" s="403">
        <v>786764.5</v>
      </c>
    </row>
    <row r="53" spans="2:4" ht="15.6" thickTop="1" thickBot="1">
      <c r="B53" s="401" t="s">
        <v>14</v>
      </c>
      <c r="C53" s="402">
        <v>45349</v>
      </c>
      <c r="D53" s="403" t="e">
        <f>[1]!Table11011121314151617181920212223[[#Totals],[Invoice 12 Amount]]</f>
        <v>#REF!</v>
      </c>
    </row>
    <row r="54" spans="2:4" ht="15.6" thickTop="1" thickBot="1">
      <c r="B54" s="401" t="s">
        <v>14</v>
      </c>
      <c r="C54" s="402">
        <v>45375</v>
      </c>
      <c r="D54" s="403">
        <v>2085544</v>
      </c>
    </row>
    <row r="55" spans="2:4" ht="15.6" thickTop="1" thickBot="1">
      <c r="B55" s="401" t="s">
        <v>14</v>
      </c>
      <c r="C55" s="402">
        <v>45410</v>
      </c>
      <c r="D55" s="403">
        <v>1163476.5</v>
      </c>
    </row>
    <row r="56" spans="2:4" ht="15.6" thickTop="1" thickBot="1">
      <c r="B56" s="401" t="s">
        <v>14</v>
      </c>
      <c r="C56" s="402">
        <v>45445</v>
      </c>
      <c r="D56" s="403">
        <v>600023</v>
      </c>
    </row>
    <row r="57" spans="2:4" ht="15.6" thickTop="1" thickBot="1">
      <c r="B57" s="401" t="s">
        <v>14</v>
      </c>
      <c r="C57" s="402">
        <v>45445</v>
      </c>
      <c r="D57" s="403">
        <v>1674941</v>
      </c>
    </row>
    <row r="58" spans="2:4" ht="15.6" thickTop="1" thickBot="1">
      <c r="B58" s="401" t="s">
        <v>14</v>
      </c>
      <c r="C58" s="402">
        <v>45473</v>
      </c>
      <c r="D58" s="403">
        <v>657935</v>
      </c>
    </row>
    <row r="59" spans="2:4" ht="15.6" thickTop="1" thickBot="1">
      <c r="B59" s="401" t="s">
        <v>14</v>
      </c>
      <c r="C59" s="402">
        <v>45501</v>
      </c>
      <c r="D59" s="403">
        <v>553430</v>
      </c>
    </row>
    <row r="60" spans="2:4" ht="15.6" thickTop="1" thickBot="1">
      <c r="B60" s="401" t="s">
        <v>14</v>
      </c>
      <c r="C60" s="402">
        <v>45518</v>
      </c>
      <c r="D60" s="403">
        <v>262152.5</v>
      </c>
    </row>
    <row r="61" spans="2:4" ht="15.6" thickTop="1" thickBot="1">
      <c r="B61" s="401" t="s">
        <v>14</v>
      </c>
      <c r="C61" s="402">
        <v>45533</v>
      </c>
      <c r="D61" s="403">
        <v>2295002</v>
      </c>
    </row>
    <row r="62" spans="2:4" ht="15.6" thickTop="1" thickBot="1">
      <c r="B62" s="401" t="s">
        <v>15</v>
      </c>
      <c r="C62" s="402">
        <v>44360</v>
      </c>
      <c r="D62" s="403">
        <v>495517</v>
      </c>
    </row>
    <row r="63" spans="2:4" ht="15.6" thickTop="1" thickBot="1">
      <c r="B63" s="401" t="s">
        <v>15</v>
      </c>
      <c r="C63" s="402">
        <v>44360</v>
      </c>
      <c r="D63" s="403">
        <v>111657</v>
      </c>
    </row>
    <row r="64" spans="2:4" ht="15.6" thickTop="1" thickBot="1">
      <c r="B64" s="401" t="s">
        <v>15</v>
      </c>
      <c r="C64" s="402">
        <v>44360</v>
      </c>
      <c r="D64" s="403">
        <v>418279.5</v>
      </c>
    </row>
    <row r="65" spans="2:4" ht="15.6" thickTop="1" thickBot="1">
      <c r="B65" s="401" t="s">
        <v>15</v>
      </c>
      <c r="C65" s="402">
        <v>44438</v>
      </c>
      <c r="D65" s="403">
        <v>217982</v>
      </c>
    </row>
    <row r="66" spans="2:4" ht="15.6" thickTop="1" thickBot="1">
      <c r="B66" s="401" t="s">
        <v>15</v>
      </c>
      <c r="C66" s="402">
        <v>44520</v>
      </c>
      <c r="D66" s="403">
        <v>237379.5</v>
      </c>
    </row>
    <row r="67" spans="2:4" ht="15.6" thickTop="1" thickBot="1">
      <c r="B67" s="401" t="s">
        <v>15</v>
      </c>
      <c r="C67" s="402">
        <v>44598</v>
      </c>
      <c r="D67" s="403">
        <v>181823</v>
      </c>
    </row>
    <row r="68" spans="2:4" ht="15.6" thickTop="1" thickBot="1">
      <c r="B68" s="401" t="s">
        <v>15</v>
      </c>
      <c r="C68" s="402">
        <v>44598</v>
      </c>
      <c r="D68" s="403">
        <v>679023</v>
      </c>
    </row>
    <row r="69" spans="2:4" ht="15.6" thickTop="1" thickBot="1">
      <c r="B69" s="401" t="s">
        <v>15</v>
      </c>
      <c r="C69" s="402">
        <v>45208</v>
      </c>
      <c r="D69" s="403">
        <v>323830</v>
      </c>
    </row>
    <row r="70" spans="2:4" ht="15.6" thickTop="1" thickBot="1">
      <c r="B70" s="401" t="s">
        <v>15</v>
      </c>
      <c r="C70" s="402">
        <v>45222</v>
      </c>
      <c r="D70" s="403">
        <v>258818</v>
      </c>
    </row>
    <row r="71" spans="2:4" ht="15.6" thickTop="1" thickBot="1">
      <c r="B71" s="401" t="s">
        <v>15</v>
      </c>
      <c r="C71" s="402">
        <v>45473</v>
      </c>
      <c r="D71" s="403">
        <v>165354.75</v>
      </c>
    </row>
    <row r="72" spans="2:4" ht="15.6" thickTop="1" thickBot="1">
      <c r="B72" s="401" t="s">
        <v>15</v>
      </c>
      <c r="C72" s="402">
        <v>45502</v>
      </c>
      <c r="D72" s="403">
        <v>413061.5</v>
      </c>
    </row>
    <row r="73" spans="2:4" ht="15.6" thickTop="1" thickBot="1">
      <c r="B73" s="401" t="s">
        <v>42</v>
      </c>
      <c r="C73" s="402">
        <v>44962</v>
      </c>
      <c r="D73" s="403">
        <v>514566.67</v>
      </c>
    </row>
    <row r="74" spans="2:4" ht="15.6" thickTop="1" thickBot="1">
      <c r="B74" s="401" t="s">
        <v>42</v>
      </c>
      <c r="C74" s="402">
        <v>44962</v>
      </c>
      <c r="D74" s="403">
        <v>500566.67</v>
      </c>
    </row>
    <row r="75" spans="2:4" ht="15.6" thickTop="1" thickBot="1">
      <c r="B75" s="401" t="s">
        <v>42</v>
      </c>
      <c r="C75" s="402">
        <v>44986</v>
      </c>
      <c r="D75" s="403">
        <v>685816.67</v>
      </c>
    </row>
    <row r="76" spans="2:4" ht="15.6" thickTop="1" thickBot="1">
      <c r="B76" s="401" t="s">
        <v>42</v>
      </c>
      <c r="C76" s="402">
        <v>45005</v>
      </c>
      <c r="D76" s="403">
        <v>918349.94</v>
      </c>
    </row>
    <row r="77" spans="2:4" ht="15.6" thickTop="1" thickBot="1">
      <c r="B77" s="401" t="s">
        <v>42</v>
      </c>
      <c r="C77" s="402">
        <v>45013</v>
      </c>
      <c r="D77" s="403">
        <v>1036516.67</v>
      </c>
    </row>
    <row r="78" spans="2:4" ht="15.6" thickTop="1" thickBot="1">
      <c r="B78" s="401" t="s">
        <v>42</v>
      </c>
      <c r="C78" s="402">
        <v>45027</v>
      </c>
      <c r="D78" s="403">
        <v>1133966.67</v>
      </c>
    </row>
    <row r="79" spans="2:4" ht="15.6" thickTop="1" thickBot="1">
      <c r="B79" s="401" t="s">
        <v>42</v>
      </c>
      <c r="C79" s="402">
        <v>45033</v>
      </c>
      <c r="D79" s="403">
        <v>1203150</v>
      </c>
    </row>
    <row r="80" spans="2:4" ht="15.6" thickTop="1" thickBot="1">
      <c r="B80" s="401" t="s">
        <v>42</v>
      </c>
      <c r="C80" s="402">
        <v>45068</v>
      </c>
      <c r="D80" s="403">
        <v>1201600</v>
      </c>
    </row>
    <row r="81" spans="2:4" ht="15.6" thickTop="1" thickBot="1">
      <c r="B81" s="401" t="s">
        <v>42</v>
      </c>
      <c r="C81" s="402">
        <v>45096</v>
      </c>
      <c r="D81" s="403">
        <v>1339233.33</v>
      </c>
    </row>
    <row r="82" spans="2:4" ht="15.6" thickTop="1" thickBot="1">
      <c r="B82" s="401" t="s">
        <v>42</v>
      </c>
      <c r="C82" s="402">
        <v>45126</v>
      </c>
      <c r="D82" s="403">
        <v>1345166.67</v>
      </c>
    </row>
    <row r="83" spans="2:4" ht="15.6" thickTop="1" thickBot="1">
      <c r="B83" s="401" t="s">
        <v>42</v>
      </c>
      <c r="C83" s="402">
        <v>45146</v>
      </c>
      <c r="D83" s="403">
        <v>1193033.33</v>
      </c>
    </row>
    <row r="84" spans="2:4" ht="15.6" thickTop="1" thickBot="1">
      <c r="B84" s="401" t="s">
        <v>42</v>
      </c>
      <c r="C84" s="402">
        <v>45190</v>
      </c>
      <c r="D84" s="403">
        <v>1324433.33</v>
      </c>
    </row>
    <row r="85" spans="2:4" ht="15.6" thickTop="1" thickBot="1">
      <c r="B85" s="401" t="s">
        <v>42</v>
      </c>
      <c r="C85" s="402">
        <v>45222</v>
      </c>
      <c r="D85" s="403">
        <v>1300700</v>
      </c>
    </row>
    <row r="86" spans="2:4" ht="15.6" thickTop="1" thickBot="1">
      <c r="B86" s="401" t="s">
        <v>42</v>
      </c>
      <c r="C86" s="402">
        <v>45249</v>
      </c>
      <c r="D86" s="403">
        <v>1311066.67</v>
      </c>
    </row>
    <row r="87" spans="2:4" ht="15.6" thickTop="1" thickBot="1">
      <c r="B87" s="401" t="s">
        <v>42</v>
      </c>
      <c r="C87" s="402">
        <v>45266</v>
      </c>
      <c r="D87" s="403">
        <v>1331150</v>
      </c>
    </row>
    <row r="88" spans="2:4" ht="15.6" thickTop="1" thickBot="1">
      <c r="B88" s="401" t="s">
        <v>42</v>
      </c>
      <c r="C88" s="402">
        <v>45314</v>
      </c>
      <c r="D88" s="403">
        <v>1279800</v>
      </c>
    </row>
    <row r="89" spans="2:4" ht="15.6" thickTop="1" thickBot="1">
      <c r="B89" s="404" t="s">
        <v>42</v>
      </c>
      <c r="C89" s="402">
        <v>45335</v>
      </c>
      <c r="D89" s="403">
        <v>1090316.67</v>
      </c>
    </row>
    <row r="90" spans="2:4" ht="15.6" thickTop="1" thickBot="1">
      <c r="B90" s="404" t="s">
        <v>42</v>
      </c>
      <c r="C90" s="402">
        <v>45351</v>
      </c>
      <c r="D90" s="403">
        <v>1156216.67</v>
      </c>
    </row>
    <row r="91" spans="2:4" ht="15.6" thickTop="1" thickBot="1">
      <c r="B91" s="404" t="s">
        <v>42</v>
      </c>
      <c r="C91" s="402">
        <v>45384</v>
      </c>
      <c r="D91" s="403">
        <v>1097216.67</v>
      </c>
    </row>
    <row r="92" spans="2:4" ht="15.6" thickTop="1" thickBot="1">
      <c r="B92" s="404" t="s">
        <v>42</v>
      </c>
      <c r="C92" s="402">
        <v>45424</v>
      </c>
      <c r="D92" s="403">
        <v>1061966.67</v>
      </c>
    </row>
    <row r="93" spans="2:4" ht="15.6" thickTop="1" thickBot="1">
      <c r="B93" s="404" t="s">
        <v>42</v>
      </c>
      <c r="C93" s="402">
        <v>45448</v>
      </c>
      <c r="D93" s="403">
        <v>1052866.67</v>
      </c>
    </row>
    <row r="94" spans="2:4" ht="15.6" thickTop="1" thickBot="1">
      <c r="B94" s="404" t="s">
        <v>42</v>
      </c>
      <c r="C94" s="402">
        <v>45480</v>
      </c>
      <c r="D94" s="403">
        <v>993666.67</v>
      </c>
    </row>
    <row r="95" spans="2:4" ht="15.6" thickTop="1" thickBot="1">
      <c r="B95" s="404" t="s">
        <v>42</v>
      </c>
      <c r="C95" s="402">
        <v>45518</v>
      </c>
      <c r="D95" s="403">
        <v>930183.33</v>
      </c>
    </row>
    <row r="96" spans="2:4" ht="15" thickTop="1">
      <c r="B96" s="404" t="s">
        <v>42</v>
      </c>
      <c r="C96" s="402">
        <v>45538</v>
      </c>
      <c r="D96" s="403">
        <v>949500</v>
      </c>
    </row>
    <row r="97" spans="2:4">
      <c r="B97" s="146" t="s">
        <v>235</v>
      </c>
      <c r="C97" s="402">
        <v>45496</v>
      </c>
      <c r="D97" s="403">
        <v>1395290.5</v>
      </c>
    </row>
    <row r="98" spans="2:4">
      <c r="B98" s="146" t="s">
        <v>235</v>
      </c>
      <c r="C98" s="402">
        <v>45532</v>
      </c>
      <c r="D98" s="403">
        <v>1874916.3899949999</v>
      </c>
    </row>
    <row r="99" spans="2:4">
      <c r="B99" s="146" t="s">
        <v>235</v>
      </c>
      <c r="C99" s="402">
        <v>45532</v>
      </c>
      <c r="D99" s="403">
        <v>372075</v>
      </c>
    </row>
    <row r="100" spans="2:4">
      <c r="B100" s="146" t="s">
        <v>235</v>
      </c>
      <c r="C100" s="402">
        <v>45532</v>
      </c>
      <c r="D100" s="403">
        <v>107101.54000000001</v>
      </c>
    </row>
    <row r="101" spans="2:4" ht="15.6">
      <c r="B101" s="146" t="s">
        <v>235</v>
      </c>
      <c r="C101" s="318">
        <v>45586</v>
      </c>
      <c r="D101" s="686">
        <v>45900.66</v>
      </c>
    </row>
    <row r="102" spans="2:4" ht="15.6">
      <c r="B102" s="146" t="s">
        <v>235</v>
      </c>
      <c r="C102" s="318">
        <v>45586</v>
      </c>
      <c r="D102" s="686">
        <v>109323.9</v>
      </c>
    </row>
    <row r="103" spans="2:4" ht="15.6">
      <c r="B103" s="146" t="s">
        <v>235</v>
      </c>
      <c r="C103" s="685">
        <v>45596</v>
      </c>
      <c r="D103" s="686">
        <v>372075</v>
      </c>
    </row>
    <row r="104" spans="2:4" ht="15.6">
      <c r="B104" s="146" t="s">
        <v>235</v>
      </c>
      <c r="C104" s="685">
        <v>45626</v>
      </c>
      <c r="D104" s="686">
        <v>872049.61</v>
      </c>
    </row>
    <row r="105" spans="2:4" ht="15.6">
      <c r="B105" s="146" t="s">
        <v>235</v>
      </c>
      <c r="C105" s="685">
        <v>45626</v>
      </c>
      <c r="D105" s="686">
        <v>46853.1</v>
      </c>
    </row>
    <row r="106" spans="2:4" ht="15.6">
      <c r="B106" s="146" t="s">
        <v>235</v>
      </c>
      <c r="C106" s="685">
        <v>45626</v>
      </c>
      <c r="D106" s="686">
        <v>248415</v>
      </c>
    </row>
    <row r="107" spans="2:4" ht="15.6">
      <c r="B107" s="146" t="s">
        <v>235</v>
      </c>
      <c r="C107" s="685">
        <v>45651</v>
      </c>
      <c r="D107" s="686">
        <v>218013.5</v>
      </c>
    </row>
    <row r="108" spans="2:4" ht="15.6">
      <c r="B108" s="146" t="s">
        <v>235</v>
      </c>
      <c r="C108" s="685">
        <v>45651</v>
      </c>
      <c r="D108" s="686">
        <v>828050</v>
      </c>
    </row>
    <row r="109" spans="2:4" ht="15.6">
      <c r="B109" s="146" t="s">
        <v>235</v>
      </c>
      <c r="C109" s="685">
        <v>45688</v>
      </c>
      <c r="D109" s="686">
        <v>372075</v>
      </c>
    </row>
    <row r="110" spans="2:4" ht="15.6">
      <c r="B110" s="146" t="s">
        <v>235</v>
      </c>
      <c r="C110" s="685">
        <v>45688</v>
      </c>
      <c r="D110" s="686">
        <v>579635</v>
      </c>
    </row>
    <row r="111" spans="2:4" ht="15.6">
      <c r="B111" s="146" t="s">
        <v>235</v>
      </c>
      <c r="C111" s="685">
        <v>45688</v>
      </c>
      <c r="D111" s="686">
        <v>384013.5</v>
      </c>
    </row>
    <row r="112" spans="2:4" ht="16.2" thickBot="1">
      <c r="B112" s="146" t="s">
        <v>235</v>
      </c>
      <c r="C112" s="685">
        <v>45718</v>
      </c>
      <c r="D112" s="686">
        <v>175000</v>
      </c>
    </row>
    <row r="113" spans="2:4" ht="15.6" thickTop="1" thickBot="1">
      <c r="B113" s="404" t="s">
        <v>122</v>
      </c>
      <c r="C113" s="402">
        <v>45480</v>
      </c>
      <c r="D113" s="403">
        <v>2361050.1</v>
      </c>
    </row>
    <row r="114" spans="2:4" ht="15.6" thickTop="1" thickBot="1">
      <c r="B114" s="404" t="s">
        <v>122</v>
      </c>
      <c r="C114" s="402">
        <v>45511</v>
      </c>
      <c r="D114" s="403">
        <v>3157746.66</v>
      </c>
    </row>
    <row r="115" spans="2:4" ht="15.6" thickTop="1" thickBot="1">
      <c r="B115" s="404" t="s">
        <v>122</v>
      </c>
      <c r="C115" s="402">
        <v>45535</v>
      </c>
      <c r="D115" s="403">
        <v>3983985.909</v>
      </c>
    </row>
    <row r="116" spans="2:4" ht="16.8" thickTop="1" thickBot="1">
      <c r="B116" s="404" t="s">
        <v>122</v>
      </c>
      <c r="C116" s="685">
        <v>45567</v>
      </c>
      <c r="D116" s="686">
        <v>3449998.2960000001</v>
      </c>
    </row>
    <row r="117" spans="2:4" ht="16.8" thickTop="1" thickBot="1">
      <c r="B117" s="404" t="s">
        <v>122</v>
      </c>
      <c r="C117" s="685">
        <v>45636</v>
      </c>
      <c r="D117" s="686">
        <v>1820099.709</v>
      </c>
    </row>
    <row r="118" spans="2:4" ht="16.8" thickTop="1" thickBot="1">
      <c r="B118" s="404" t="s">
        <v>122</v>
      </c>
      <c r="C118" s="685">
        <v>45685</v>
      </c>
      <c r="D118" s="686">
        <v>999999.99900000007</v>
      </c>
    </row>
    <row r="119" spans="2:4" ht="15.6" thickTop="1" thickBot="1">
      <c r="B119" s="404" t="s">
        <v>113</v>
      </c>
      <c r="C119" s="402">
        <v>45504</v>
      </c>
      <c r="D119" s="403">
        <v>672697.82</v>
      </c>
    </row>
    <row r="120" spans="2:4" ht="15.6" thickTop="1" thickBot="1">
      <c r="B120" s="404" t="s">
        <v>113</v>
      </c>
      <c r="C120" s="402">
        <v>45511</v>
      </c>
      <c r="D120" s="403">
        <v>1681772</v>
      </c>
    </row>
    <row r="121" spans="2:4" ht="16.2" thickTop="1">
      <c r="B121" s="687" t="s">
        <v>113</v>
      </c>
      <c r="C121" s="688">
        <v>45641</v>
      </c>
      <c r="D121" s="689">
        <v>1345449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B2194"/>
  <sheetViews>
    <sheetView topLeftCell="A2164" workbookViewId="0">
      <selection activeCell="B3" sqref="B3"/>
    </sheetView>
  </sheetViews>
  <sheetFormatPr defaultRowHeight="14.4"/>
  <cols>
    <col min="2" max="2" width="16.33203125" bestFit="1" customWidth="1"/>
  </cols>
  <sheetData>
    <row r="2" spans="2:2">
      <c r="B2" s="149" t="s">
        <v>102</v>
      </c>
    </row>
    <row r="3" spans="2:2">
      <c r="B3" s="149">
        <v>43831</v>
      </c>
    </row>
    <row r="4" spans="2:2">
      <c r="B4" s="149">
        <v>43832</v>
      </c>
    </row>
    <row r="5" spans="2:2">
      <c r="B5" s="149">
        <v>43833</v>
      </c>
    </row>
    <row r="6" spans="2:2">
      <c r="B6" s="149">
        <v>43834</v>
      </c>
    </row>
    <row r="7" spans="2:2">
      <c r="B7" s="149">
        <v>43835</v>
      </c>
    </row>
    <row r="8" spans="2:2">
      <c r="B8" s="149">
        <v>43836</v>
      </c>
    </row>
    <row r="9" spans="2:2">
      <c r="B9" s="149">
        <v>43837</v>
      </c>
    </row>
    <row r="10" spans="2:2">
      <c r="B10" s="149">
        <v>43838</v>
      </c>
    </row>
    <row r="11" spans="2:2">
      <c r="B11" s="149">
        <v>43839</v>
      </c>
    </row>
    <row r="12" spans="2:2">
      <c r="B12" s="149">
        <v>43840</v>
      </c>
    </row>
    <row r="13" spans="2:2">
      <c r="B13" s="149">
        <v>43841</v>
      </c>
    </row>
    <row r="14" spans="2:2">
      <c r="B14" s="149">
        <v>43842</v>
      </c>
    </row>
    <row r="15" spans="2:2">
      <c r="B15" s="149">
        <v>43843</v>
      </c>
    </row>
    <row r="16" spans="2:2">
      <c r="B16" s="149">
        <v>43844</v>
      </c>
    </row>
    <row r="17" spans="2:2">
      <c r="B17" s="149">
        <v>43845</v>
      </c>
    </row>
    <row r="18" spans="2:2">
      <c r="B18" s="149">
        <v>43846</v>
      </c>
    </row>
    <row r="19" spans="2:2">
      <c r="B19" s="149">
        <v>43847</v>
      </c>
    </row>
    <row r="20" spans="2:2">
      <c r="B20" s="149">
        <v>43848</v>
      </c>
    </row>
    <row r="21" spans="2:2">
      <c r="B21" s="149">
        <v>43849</v>
      </c>
    </row>
    <row r="22" spans="2:2">
      <c r="B22" s="149">
        <v>43850</v>
      </c>
    </row>
    <row r="23" spans="2:2">
      <c r="B23" s="149">
        <v>43851</v>
      </c>
    </row>
    <row r="24" spans="2:2">
      <c r="B24" s="149">
        <v>43852</v>
      </c>
    </row>
    <row r="25" spans="2:2">
      <c r="B25" s="149">
        <v>43853</v>
      </c>
    </row>
    <row r="26" spans="2:2">
      <c r="B26" s="149">
        <v>43854</v>
      </c>
    </row>
    <row r="27" spans="2:2">
      <c r="B27" s="149">
        <v>43855</v>
      </c>
    </row>
    <row r="28" spans="2:2">
      <c r="B28" s="149">
        <v>43856</v>
      </c>
    </row>
    <row r="29" spans="2:2">
      <c r="B29" s="149">
        <v>43857</v>
      </c>
    </row>
    <row r="30" spans="2:2">
      <c r="B30" s="149">
        <v>43858</v>
      </c>
    </row>
    <row r="31" spans="2:2">
      <c r="B31" s="149">
        <v>43859</v>
      </c>
    </row>
    <row r="32" spans="2:2">
      <c r="B32" s="149">
        <v>43860</v>
      </c>
    </row>
    <row r="33" spans="2:2">
      <c r="B33" s="149">
        <v>43861</v>
      </c>
    </row>
    <row r="34" spans="2:2">
      <c r="B34" s="149">
        <v>43862</v>
      </c>
    </row>
    <row r="35" spans="2:2">
      <c r="B35" s="149">
        <v>43863</v>
      </c>
    </row>
    <row r="36" spans="2:2">
      <c r="B36" s="149">
        <v>43864</v>
      </c>
    </row>
    <row r="37" spans="2:2">
      <c r="B37" s="149">
        <v>43865</v>
      </c>
    </row>
    <row r="38" spans="2:2">
      <c r="B38" s="149">
        <v>43866</v>
      </c>
    </row>
    <row r="39" spans="2:2">
      <c r="B39" s="149">
        <v>43867</v>
      </c>
    </row>
    <row r="40" spans="2:2">
      <c r="B40" s="149">
        <v>43868</v>
      </c>
    </row>
    <row r="41" spans="2:2">
      <c r="B41" s="149">
        <v>43869</v>
      </c>
    </row>
    <row r="42" spans="2:2">
      <c r="B42" s="149">
        <v>43870</v>
      </c>
    </row>
    <row r="43" spans="2:2">
      <c r="B43" s="149">
        <v>43871</v>
      </c>
    </row>
    <row r="44" spans="2:2">
      <c r="B44" s="149">
        <v>43872</v>
      </c>
    </row>
    <row r="45" spans="2:2">
      <c r="B45" s="149">
        <v>43873</v>
      </c>
    </row>
    <row r="46" spans="2:2">
      <c r="B46" s="149">
        <v>43874</v>
      </c>
    </row>
    <row r="47" spans="2:2">
      <c r="B47" s="149">
        <v>43875</v>
      </c>
    </row>
    <row r="48" spans="2:2">
      <c r="B48" s="149">
        <v>43876</v>
      </c>
    </row>
    <row r="49" spans="2:2">
      <c r="B49" s="149">
        <v>43877</v>
      </c>
    </row>
    <row r="50" spans="2:2">
      <c r="B50" s="149">
        <v>43878</v>
      </c>
    </row>
    <row r="51" spans="2:2">
      <c r="B51" s="149">
        <v>43879</v>
      </c>
    </row>
    <row r="52" spans="2:2">
      <c r="B52" s="149">
        <v>43880</v>
      </c>
    </row>
    <row r="53" spans="2:2">
      <c r="B53" s="149">
        <v>43881</v>
      </c>
    </row>
    <row r="54" spans="2:2">
      <c r="B54" s="149">
        <v>43882</v>
      </c>
    </row>
    <row r="55" spans="2:2">
      <c r="B55" s="149">
        <v>43883</v>
      </c>
    </row>
    <row r="56" spans="2:2">
      <c r="B56" s="149">
        <v>43884</v>
      </c>
    </row>
    <row r="57" spans="2:2">
      <c r="B57" s="149">
        <v>43885</v>
      </c>
    </row>
    <row r="58" spans="2:2">
      <c r="B58" s="149">
        <v>43886</v>
      </c>
    </row>
    <row r="59" spans="2:2">
      <c r="B59" s="149">
        <v>43887</v>
      </c>
    </row>
    <row r="60" spans="2:2">
      <c r="B60" s="149">
        <v>43888</v>
      </c>
    </row>
    <row r="61" spans="2:2">
      <c r="B61" s="149">
        <v>43889</v>
      </c>
    </row>
    <row r="62" spans="2:2">
      <c r="B62" s="149">
        <v>43890</v>
      </c>
    </row>
    <row r="63" spans="2:2">
      <c r="B63" s="149">
        <v>43891</v>
      </c>
    </row>
    <row r="64" spans="2:2">
      <c r="B64" s="149">
        <v>43892</v>
      </c>
    </row>
    <row r="65" spans="2:2">
      <c r="B65" s="149">
        <v>43893</v>
      </c>
    </row>
    <row r="66" spans="2:2">
      <c r="B66" s="149">
        <v>43894</v>
      </c>
    </row>
    <row r="67" spans="2:2">
      <c r="B67" s="149">
        <v>43895</v>
      </c>
    </row>
    <row r="68" spans="2:2">
      <c r="B68" s="149">
        <v>43896</v>
      </c>
    </row>
    <row r="69" spans="2:2">
      <c r="B69" s="149">
        <v>43897</v>
      </c>
    </row>
    <row r="70" spans="2:2">
      <c r="B70" s="149">
        <v>43898</v>
      </c>
    </row>
    <row r="71" spans="2:2">
      <c r="B71" s="149">
        <v>43899</v>
      </c>
    </row>
    <row r="72" spans="2:2">
      <c r="B72" s="149">
        <v>43900</v>
      </c>
    </row>
    <row r="73" spans="2:2">
      <c r="B73" s="149">
        <v>43901</v>
      </c>
    </row>
    <row r="74" spans="2:2">
      <c r="B74" s="149">
        <v>43902</v>
      </c>
    </row>
    <row r="75" spans="2:2">
      <c r="B75" s="149">
        <v>43903</v>
      </c>
    </row>
    <row r="76" spans="2:2">
      <c r="B76" s="149">
        <v>43904</v>
      </c>
    </row>
    <row r="77" spans="2:2">
      <c r="B77" s="149">
        <v>43905</v>
      </c>
    </row>
    <row r="78" spans="2:2">
      <c r="B78" s="149">
        <v>43906</v>
      </c>
    </row>
    <row r="79" spans="2:2">
      <c r="B79" s="149">
        <v>43907</v>
      </c>
    </row>
    <row r="80" spans="2:2">
      <c r="B80" s="149">
        <v>43908</v>
      </c>
    </row>
    <row r="81" spans="2:2">
      <c r="B81" s="149">
        <v>43909</v>
      </c>
    </row>
    <row r="82" spans="2:2">
      <c r="B82" s="149">
        <v>43910</v>
      </c>
    </row>
    <row r="83" spans="2:2">
      <c r="B83" s="149">
        <v>43911</v>
      </c>
    </row>
    <row r="84" spans="2:2">
      <c r="B84" s="149">
        <v>43912</v>
      </c>
    </row>
    <row r="85" spans="2:2">
      <c r="B85" s="149">
        <v>43913</v>
      </c>
    </row>
    <row r="86" spans="2:2">
      <c r="B86" s="149">
        <v>43914</v>
      </c>
    </row>
    <row r="87" spans="2:2">
      <c r="B87" s="149">
        <v>43915</v>
      </c>
    </row>
    <row r="88" spans="2:2">
      <c r="B88" s="149">
        <v>43916</v>
      </c>
    </row>
    <row r="89" spans="2:2">
      <c r="B89" s="149">
        <v>43917</v>
      </c>
    </row>
    <row r="90" spans="2:2">
      <c r="B90" s="149">
        <v>43918</v>
      </c>
    </row>
    <row r="91" spans="2:2">
      <c r="B91" s="149">
        <v>43919</v>
      </c>
    </row>
    <row r="92" spans="2:2">
      <c r="B92" s="149">
        <v>43920</v>
      </c>
    </row>
    <row r="93" spans="2:2">
      <c r="B93" s="149">
        <v>43921</v>
      </c>
    </row>
    <row r="94" spans="2:2">
      <c r="B94" s="149">
        <v>43922</v>
      </c>
    </row>
    <row r="95" spans="2:2">
      <c r="B95" s="149">
        <v>43923</v>
      </c>
    </row>
    <row r="96" spans="2:2">
      <c r="B96" s="149">
        <v>43924</v>
      </c>
    </row>
    <row r="97" spans="2:2">
      <c r="B97" s="149">
        <v>43925</v>
      </c>
    </row>
    <row r="98" spans="2:2">
      <c r="B98" s="149">
        <v>43926</v>
      </c>
    </row>
    <row r="99" spans="2:2">
      <c r="B99" s="149">
        <v>43927</v>
      </c>
    </row>
    <row r="100" spans="2:2">
      <c r="B100" s="149">
        <v>43928</v>
      </c>
    </row>
    <row r="101" spans="2:2">
      <c r="B101" s="149">
        <v>43929</v>
      </c>
    </row>
    <row r="102" spans="2:2">
      <c r="B102" s="149">
        <v>43930</v>
      </c>
    </row>
    <row r="103" spans="2:2">
      <c r="B103" s="149">
        <v>43931</v>
      </c>
    </row>
    <row r="104" spans="2:2">
      <c r="B104" s="149">
        <v>43932</v>
      </c>
    </row>
    <row r="105" spans="2:2">
      <c r="B105" s="149">
        <v>43933</v>
      </c>
    </row>
    <row r="106" spans="2:2">
      <c r="B106" s="149">
        <v>43934</v>
      </c>
    </row>
    <row r="107" spans="2:2">
      <c r="B107" s="149">
        <v>43935</v>
      </c>
    </row>
    <row r="108" spans="2:2">
      <c r="B108" s="149">
        <v>43936</v>
      </c>
    </row>
    <row r="109" spans="2:2">
      <c r="B109" s="149">
        <v>43937</v>
      </c>
    </row>
    <row r="110" spans="2:2">
      <c r="B110" s="149">
        <v>43938</v>
      </c>
    </row>
    <row r="111" spans="2:2">
      <c r="B111" s="149">
        <v>43939</v>
      </c>
    </row>
    <row r="112" spans="2:2">
      <c r="B112" s="149">
        <v>43940</v>
      </c>
    </row>
    <row r="113" spans="2:2">
      <c r="B113" s="149">
        <v>43941</v>
      </c>
    </row>
    <row r="114" spans="2:2">
      <c r="B114" s="149">
        <v>43942</v>
      </c>
    </row>
    <row r="115" spans="2:2">
      <c r="B115" s="149">
        <v>43943</v>
      </c>
    </row>
    <row r="116" spans="2:2">
      <c r="B116" s="149">
        <v>43944</v>
      </c>
    </row>
    <row r="117" spans="2:2">
      <c r="B117" s="149">
        <v>43945</v>
      </c>
    </row>
    <row r="118" spans="2:2">
      <c r="B118" s="149">
        <v>43946</v>
      </c>
    </row>
    <row r="119" spans="2:2">
      <c r="B119" s="149">
        <v>43947</v>
      </c>
    </row>
    <row r="120" spans="2:2">
      <c r="B120" s="149">
        <v>43948</v>
      </c>
    </row>
    <row r="121" spans="2:2">
      <c r="B121" s="149">
        <v>43949</v>
      </c>
    </row>
    <row r="122" spans="2:2">
      <c r="B122" s="149">
        <v>43950</v>
      </c>
    </row>
    <row r="123" spans="2:2">
      <c r="B123" s="149">
        <v>43951</v>
      </c>
    </row>
    <row r="124" spans="2:2">
      <c r="B124" s="149">
        <v>43952</v>
      </c>
    </row>
    <row r="125" spans="2:2">
      <c r="B125" s="149">
        <v>43953</v>
      </c>
    </row>
    <row r="126" spans="2:2">
      <c r="B126" s="149">
        <v>43954</v>
      </c>
    </row>
    <row r="127" spans="2:2">
      <c r="B127" s="149">
        <v>43955</v>
      </c>
    </row>
    <row r="128" spans="2:2">
      <c r="B128" s="149">
        <v>43956</v>
      </c>
    </row>
    <row r="129" spans="2:2">
      <c r="B129" s="149">
        <v>43957</v>
      </c>
    </row>
    <row r="130" spans="2:2">
      <c r="B130" s="149">
        <v>43958</v>
      </c>
    </row>
    <row r="131" spans="2:2">
      <c r="B131" s="149">
        <v>43959</v>
      </c>
    </row>
    <row r="132" spans="2:2">
      <c r="B132" s="149">
        <v>43960</v>
      </c>
    </row>
    <row r="133" spans="2:2">
      <c r="B133" s="149">
        <v>43961</v>
      </c>
    </row>
    <row r="134" spans="2:2">
      <c r="B134" s="149">
        <v>43962</v>
      </c>
    </row>
    <row r="135" spans="2:2">
      <c r="B135" s="149">
        <v>43963</v>
      </c>
    </row>
    <row r="136" spans="2:2">
      <c r="B136" s="149">
        <v>43964</v>
      </c>
    </row>
    <row r="137" spans="2:2">
      <c r="B137" s="149">
        <v>43965</v>
      </c>
    </row>
    <row r="138" spans="2:2">
      <c r="B138" s="149">
        <v>43966</v>
      </c>
    </row>
    <row r="139" spans="2:2">
      <c r="B139" s="149">
        <v>43967</v>
      </c>
    </row>
    <row r="140" spans="2:2">
      <c r="B140" s="149">
        <v>43968</v>
      </c>
    </row>
    <row r="141" spans="2:2">
      <c r="B141" s="149">
        <v>43969</v>
      </c>
    </row>
    <row r="142" spans="2:2">
      <c r="B142" s="149">
        <v>43970</v>
      </c>
    </row>
    <row r="143" spans="2:2">
      <c r="B143" s="149">
        <v>43971</v>
      </c>
    </row>
    <row r="144" spans="2:2">
      <c r="B144" s="149">
        <v>43972</v>
      </c>
    </row>
    <row r="145" spans="2:2">
      <c r="B145" s="149">
        <v>43973</v>
      </c>
    </row>
    <row r="146" spans="2:2">
      <c r="B146" s="149">
        <v>43974</v>
      </c>
    </row>
    <row r="147" spans="2:2">
      <c r="B147" s="149">
        <v>43975</v>
      </c>
    </row>
    <row r="148" spans="2:2">
      <c r="B148" s="149">
        <v>43976</v>
      </c>
    </row>
    <row r="149" spans="2:2">
      <c r="B149" s="149">
        <v>43977</v>
      </c>
    </row>
    <row r="150" spans="2:2">
      <c r="B150" s="149">
        <v>43978</v>
      </c>
    </row>
    <row r="151" spans="2:2">
      <c r="B151" s="149">
        <v>43979</v>
      </c>
    </row>
    <row r="152" spans="2:2">
      <c r="B152" s="149">
        <v>43980</v>
      </c>
    </row>
    <row r="153" spans="2:2">
      <c r="B153" s="149">
        <v>43981</v>
      </c>
    </row>
    <row r="154" spans="2:2">
      <c r="B154" s="149">
        <v>43982</v>
      </c>
    </row>
    <row r="155" spans="2:2">
      <c r="B155" s="149">
        <v>43983</v>
      </c>
    </row>
    <row r="156" spans="2:2">
      <c r="B156" s="149">
        <v>43984</v>
      </c>
    </row>
    <row r="157" spans="2:2">
      <c r="B157" s="149">
        <v>43985</v>
      </c>
    </row>
    <row r="158" spans="2:2">
      <c r="B158" s="149">
        <v>43986</v>
      </c>
    </row>
    <row r="159" spans="2:2">
      <c r="B159" s="149">
        <v>43987</v>
      </c>
    </row>
    <row r="160" spans="2:2">
      <c r="B160" s="149">
        <v>43988</v>
      </c>
    </row>
    <row r="161" spans="2:2">
      <c r="B161" s="149">
        <v>43989</v>
      </c>
    </row>
    <row r="162" spans="2:2">
      <c r="B162" s="149">
        <v>43990</v>
      </c>
    </row>
    <row r="163" spans="2:2">
      <c r="B163" s="149">
        <v>43991</v>
      </c>
    </row>
    <row r="164" spans="2:2">
      <c r="B164" s="149">
        <v>43992</v>
      </c>
    </row>
    <row r="165" spans="2:2">
      <c r="B165" s="149">
        <v>43993</v>
      </c>
    </row>
    <row r="166" spans="2:2">
      <c r="B166" s="149">
        <v>43994</v>
      </c>
    </row>
    <row r="167" spans="2:2">
      <c r="B167" s="149">
        <v>43995</v>
      </c>
    </row>
    <row r="168" spans="2:2">
      <c r="B168" s="149">
        <v>43996</v>
      </c>
    </row>
    <row r="169" spans="2:2">
      <c r="B169" s="149">
        <v>43997</v>
      </c>
    </row>
    <row r="170" spans="2:2">
      <c r="B170" s="149">
        <v>43998</v>
      </c>
    </row>
    <row r="171" spans="2:2">
      <c r="B171" s="149">
        <v>43999</v>
      </c>
    </row>
    <row r="172" spans="2:2">
      <c r="B172" s="149">
        <v>44000</v>
      </c>
    </row>
    <row r="173" spans="2:2">
      <c r="B173" s="149">
        <v>44001</v>
      </c>
    </row>
    <row r="174" spans="2:2">
      <c r="B174" s="149">
        <v>44002</v>
      </c>
    </row>
    <row r="175" spans="2:2">
      <c r="B175" s="149">
        <v>44003</v>
      </c>
    </row>
    <row r="176" spans="2:2">
      <c r="B176" s="149">
        <v>44004</v>
      </c>
    </row>
    <row r="177" spans="2:2">
      <c r="B177" s="149">
        <v>44005</v>
      </c>
    </row>
    <row r="178" spans="2:2">
      <c r="B178" s="149">
        <v>44006</v>
      </c>
    </row>
    <row r="179" spans="2:2">
      <c r="B179" s="149">
        <v>44007</v>
      </c>
    </row>
    <row r="180" spans="2:2">
      <c r="B180" s="149">
        <v>44008</v>
      </c>
    </row>
    <row r="181" spans="2:2">
      <c r="B181" s="149">
        <v>44009</v>
      </c>
    </row>
    <row r="182" spans="2:2">
      <c r="B182" s="149">
        <v>44010</v>
      </c>
    </row>
    <row r="183" spans="2:2">
      <c r="B183" s="149">
        <v>44011</v>
      </c>
    </row>
    <row r="184" spans="2:2">
      <c r="B184" s="149">
        <v>44012</v>
      </c>
    </row>
    <row r="185" spans="2:2">
      <c r="B185" s="149">
        <v>44013</v>
      </c>
    </row>
    <row r="186" spans="2:2">
      <c r="B186" s="149">
        <v>44014</v>
      </c>
    </row>
    <row r="187" spans="2:2">
      <c r="B187" s="149">
        <v>44015</v>
      </c>
    </row>
    <row r="188" spans="2:2">
      <c r="B188" s="149">
        <v>44016</v>
      </c>
    </row>
    <row r="189" spans="2:2">
      <c r="B189" s="149">
        <v>44017</v>
      </c>
    </row>
    <row r="190" spans="2:2">
      <c r="B190" s="149">
        <v>44018</v>
      </c>
    </row>
    <row r="191" spans="2:2">
      <c r="B191" s="149">
        <v>44019</v>
      </c>
    </row>
    <row r="192" spans="2:2">
      <c r="B192" s="149">
        <v>44020</v>
      </c>
    </row>
    <row r="193" spans="2:2">
      <c r="B193" s="149">
        <v>44021</v>
      </c>
    </row>
    <row r="194" spans="2:2">
      <c r="B194" s="149">
        <v>44022</v>
      </c>
    </row>
    <row r="195" spans="2:2">
      <c r="B195" s="149">
        <v>44023</v>
      </c>
    </row>
    <row r="196" spans="2:2">
      <c r="B196" s="149">
        <v>44024</v>
      </c>
    </row>
    <row r="197" spans="2:2">
      <c r="B197" s="149">
        <v>44025</v>
      </c>
    </row>
    <row r="198" spans="2:2">
      <c r="B198" s="149">
        <v>44026</v>
      </c>
    </row>
    <row r="199" spans="2:2">
      <c r="B199" s="149">
        <v>44027</v>
      </c>
    </row>
    <row r="200" spans="2:2">
      <c r="B200" s="149">
        <v>44028</v>
      </c>
    </row>
    <row r="201" spans="2:2">
      <c r="B201" s="149">
        <v>44029</v>
      </c>
    </row>
    <row r="202" spans="2:2">
      <c r="B202" s="149">
        <v>44030</v>
      </c>
    </row>
    <row r="203" spans="2:2">
      <c r="B203" s="149">
        <v>44031</v>
      </c>
    </row>
    <row r="204" spans="2:2">
      <c r="B204" s="149">
        <v>44032</v>
      </c>
    </row>
    <row r="205" spans="2:2">
      <c r="B205" s="149">
        <v>44033</v>
      </c>
    </row>
    <row r="206" spans="2:2">
      <c r="B206" s="149">
        <v>44034</v>
      </c>
    </row>
    <row r="207" spans="2:2">
      <c r="B207" s="149">
        <v>44035</v>
      </c>
    </row>
    <row r="208" spans="2:2">
      <c r="B208" s="149">
        <v>44036</v>
      </c>
    </row>
    <row r="209" spans="2:2">
      <c r="B209" s="149">
        <v>44037</v>
      </c>
    </row>
    <row r="210" spans="2:2">
      <c r="B210" s="149">
        <v>44038</v>
      </c>
    </row>
    <row r="211" spans="2:2">
      <c r="B211" s="149">
        <v>44039</v>
      </c>
    </row>
    <row r="212" spans="2:2">
      <c r="B212" s="149">
        <v>44040</v>
      </c>
    </row>
    <row r="213" spans="2:2">
      <c r="B213" s="149">
        <v>44041</v>
      </c>
    </row>
    <row r="214" spans="2:2">
      <c r="B214" s="149">
        <v>44042</v>
      </c>
    </row>
    <row r="215" spans="2:2">
      <c r="B215" s="149">
        <v>44043</v>
      </c>
    </row>
    <row r="216" spans="2:2">
      <c r="B216" s="149">
        <v>44044</v>
      </c>
    </row>
    <row r="217" spans="2:2">
      <c r="B217" s="149">
        <v>44045</v>
      </c>
    </row>
    <row r="218" spans="2:2">
      <c r="B218" s="149">
        <v>44046</v>
      </c>
    </row>
    <row r="219" spans="2:2">
      <c r="B219" s="149">
        <v>44047</v>
      </c>
    </row>
    <row r="220" spans="2:2">
      <c r="B220" s="149">
        <v>44048</v>
      </c>
    </row>
    <row r="221" spans="2:2">
      <c r="B221" s="149">
        <v>44049</v>
      </c>
    </row>
    <row r="222" spans="2:2">
      <c r="B222" s="149">
        <v>44050</v>
      </c>
    </row>
    <row r="223" spans="2:2">
      <c r="B223" s="149">
        <v>44051</v>
      </c>
    </row>
    <row r="224" spans="2:2">
      <c r="B224" s="149">
        <v>44052</v>
      </c>
    </row>
    <row r="225" spans="2:2">
      <c r="B225" s="149">
        <v>44053</v>
      </c>
    </row>
    <row r="226" spans="2:2">
      <c r="B226" s="149">
        <v>44054</v>
      </c>
    </row>
    <row r="227" spans="2:2">
      <c r="B227" s="149">
        <v>44055</v>
      </c>
    </row>
    <row r="228" spans="2:2">
      <c r="B228" s="149">
        <v>44056</v>
      </c>
    </row>
    <row r="229" spans="2:2">
      <c r="B229" s="149">
        <v>44057</v>
      </c>
    </row>
    <row r="230" spans="2:2">
      <c r="B230" s="149">
        <v>44058</v>
      </c>
    </row>
    <row r="231" spans="2:2">
      <c r="B231" s="149">
        <v>44059</v>
      </c>
    </row>
    <row r="232" spans="2:2">
      <c r="B232" s="149">
        <v>44060</v>
      </c>
    </row>
    <row r="233" spans="2:2">
      <c r="B233" s="149">
        <v>44061</v>
      </c>
    </row>
    <row r="234" spans="2:2">
      <c r="B234" s="149">
        <v>44062</v>
      </c>
    </row>
    <row r="235" spans="2:2">
      <c r="B235" s="149">
        <v>44063</v>
      </c>
    </row>
    <row r="236" spans="2:2">
      <c r="B236" s="149">
        <v>44064</v>
      </c>
    </row>
    <row r="237" spans="2:2">
      <c r="B237" s="149">
        <v>44065</v>
      </c>
    </row>
    <row r="238" spans="2:2">
      <c r="B238" s="149">
        <v>44066</v>
      </c>
    </row>
    <row r="239" spans="2:2">
      <c r="B239" s="149">
        <v>44067</v>
      </c>
    </row>
    <row r="240" spans="2:2">
      <c r="B240" s="149">
        <v>44068</v>
      </c>
    </row>
    <row r="241" spans="2:2">
      <c r="B241" s="149">
        <v>44069</v>
      </c>
    </row>
    <row r="242" spans="2:2">
      <c r="B242" s="149">
        <v>44070</v>
      </c>
    </row>
    <row r="243" spans="2:2">
      <c r="B243" s="149">
        <v>44071</v>
      </c>
    </row>
    <row r="244" spans="2:2">
      <c r="B244" s="149">
        <v>44072</v>
      </c>
    </row>
    <row r="245" spans="2:2">
      <c r="B245" s="149">
        <v>44073</v>
      </c>
    </row>
    <row r="246" spans="2:2">
      <c r="B246" s="149">
        <v>44074</v>
      </c>
    </row>
    <row r="247" spans="2:2">
      <c r="B247" s="149">
        <v>44075</v>
      </c>
    </row>
    <row r="248" spans="2:2">
      <c r="B248" s="149">
        <v>44076</v>
      </c>
    </row>
    <row r="249" spans="2:2">
      <c r="B249" s="149">
        <v>44077</v>
      </c>
    </row>
    <row r="250" spans="2:2">
      <c r="B250" s="149">
        <v>44078</v>
      </c>
    </row>
    <row r="251" spans="2:2">
      <c r="B251" s="149">
        <v>44079</v>
      </c>
    </row>
    <row r="252" spans="2:2">
      <c r="B252" s="149">
        <v>44080</v>
      </c>
    </row>
    <row r="253" spans="2:2">
      <c r="B253" s="149">
        <v>44081</v>
      </c>
    </row>
    <row r="254" spans="2:2">
      <c r="B254" s="149">
        <v>44082</v>
      </c>
    </row>
    <row r="255" spans="2:2">
      <c r="B255" s="149">
        <v>44083</v>
      </c>
    </row>
    <row r="256" spans="2:2">
      <c r="B256" s="149">
        <v>44084</v>
      </c>
    </row>
    <row r="257" spans="2:2">
      <c r="B257" s="149">
        <v>44085</v>
      </c>
    </row>
    <row r="258" spans="2:2">
      <c r="B258" s="149">
        <v>44086</v>
      </c>
    </row>
    <row r="259" spans="2:2">
      <c r="B259" s="149">
        <v>44087</v>
      </c>
    </row>
    <row r="260" spans="2:2">
      <c r="B260" s="149">
        <v>44088</v>
      </c>
    </row>
    <row r="261" spans="2:2">
      <c r="B261" s="149">
        <v>44089</v>
      </c>
    </row>
    <row r="262" spans="2:2">
      <c r="B262" s="149">
        <v>44090</v>
      </c>
    </row>
    <row r="263" spans="2:2">
      <c r="B263" s="149">
        <v>44091</v>
      </c>
    </row>
    <row r="264" spans="2:2">
      <c r="B264" s="149">
        <v>44092</v>
      </c>
    </row>
    <row r="265" spans="2:2">
      <c r="B265" s="149">
        <v>44093</v>
      </c>
    </row>
    <row r="266" spans="2:2">
      <c r="B266" s="149">
        <v>44094</v>
      </c>
    </row>
    <row r="267" spans="2:2">
      <c r="B267" s="149">
        <v>44095</v>
      </c>
    </row>
    <row r="268" spans="2:2">
      <c r="B268" s="149">
        <v>44096</v>
      </c>
    </row>
    <row r="269" spans="2:2">
      <c r="B269" s="149">
        <v>44097</v>
      </c>
    </row>
    <row r="270" spans="2:2">
      <c r="B270" s="149">
        <v>44098</v>
      </c>
    </row>
    <row r="271" spans="2:2">
      <c r="B271" s="149">
        <v>44099</v>
      </c>
    </row>
    <row r="272" spans="2:2">
      <c r="B272" s="149">
        <v>44100</v>
      </c>
    </row>
    <row r="273" spans="2:2">
      <c r="B273" s="149">
        <v>44101</v>
      </c>
    </row>
    <row r="274" spans="2:2">
      <c r="B274" s="149">
        <v>44102</v>
      </c>
    </row>
    <row r="275" spans="2:2">
      <c r="B275" s="149">
        <v>44103</v>
      </c>
    </row>
    <row r="276" spans="2:2">
      <c r="B276" s="149">
        <v>44104</v>
      </c>
    </row>
    <row r="277" spans="2:2">
      <c r="B277" s="149">
        <v>44105</v>
      </c>
    </row>
    <row r="278" spans="2:2">
      <c r="B278" s="149">
        <v>44106</v>
      </c>
    </row>
    <row r="279" spans="2:2">
      <c r="B279" s="149">
        <v>44107</v>
      </c>
    </row>
    <row r="280" spans="2:2">
      <c r="B280" s="149">
        <v>44108</v>
      </c>
    </row>
    <row r="281" spans="2:2">
      <c r="B281" s="149">
        <v>44109</v>
      </c>
    </row>
    <row r="282" spans="2:2">
      <c r="B282" s="149">
        <v>44110</v>
      </c>
    </row>
    <row r="283" spans="2:2">
      <c r="B283" s="149">
        <v>44111</v>
      </c>
    </row>
    <row r="284" spans="2:2">
      <c r="B284" s="149">
        <v>44112</v>
      </c>
    </row>
    <row r="285" spans="2:2">
      <c r="B285" s="149">
        <v>44113</v>
      </c>
    </row>
    <row r="286" spans="2:2">
      <c r="B286" s="149">
        <v>44114</v>
      </c>
    </row>
    <row r="287" spans="2:2">
      <c r="B287" s="149">
        <v>44115</v>
      </c>
    </row>
    <row r="288" spans="2:2">
      <c r="B288" s="149">
        <v>44116</v>
      </c>
    </row>
    <row r="289" spans="2:2">
      <c r="B289" s="149">
        <v>44117</v>
      </c>
    </row>
    <row r="290" spans="2:2">
      <c r="B290" s="149">
        <v>44118</v>
      </c>
    </row>
    <row r="291" spans="2:2">
      <c r="B291" s="149">
        <v>44119</v>
      </c>
    </row>
    <row r="292" spans="2:2">
      <c r="B292" s="149">
        <v>44120</v>
      </c>
    </row>
    <row r="293" spans="2:2">
      <c r="B293" s="149">
        <v>44121</v>
      </c>
    </row>
    <row r="294" spans="2:2">
      <c r="B294" s="149">
        <v>44122</v>
      </c>
    </row>
    <row r="295" spans="2:2">
      <c r="B295" s="149">
        <v>44123</v>
      </c>
    </row>
    <row r="296" spans="2:2">
      <c r="B296" s="149">
        <v>44124</v>
      </c>
    </row>
    <row r="297" spans="2:2">
      <c r="B297" s="149">
        <v>44125</v>
      </c>
    </row>
    <row r="298" spans="2:2">
      <c r="B298" s="149">
        <v>44126</v>
      </c>
    </row>
    <row r="299" spans="2:2">
      <c r="B299" s="149">
        <v>44127</v>
      </c>
    </row>
    <row r="300" spans="2:2">
      <c r="B300" s="149">
        <v>44128</v>
      </c>
    </row>
    <row r="301" spans="2:2">
      <c r="B301" s="149">
        <v>44129</v>
      </c>
    </row>
    <row r="302" spans="2:2">
      <c r="B302" s="149">
        <v>44130</v>
      </c>
    </row>
    <row r="303" spans="2:2">
      <c r="B303" s="149">
        <v>44131</v>
      </c>
    </row>
    <row r="304" spans="2:2">
      <c r="B304" s="149">
        <v>44132</v>
      </c>
    </row>
    <row r="305" spans="2:2">
      <c r="B305" s="149">
        <v>44133</v>
      </c>
    </row>
    <row r="306" spans="2:2">
      <c r="B306" s="149">
        <v>44134</v>
      </c>
    </row>
    <row r="307" spans="2:2">
      <c r="B307" s="149">
        <v>44135</v>
      </c>
    </row>
    <row r="308" spans="2:2">
      <c r="B308" s="149">
        <v>44136</v>
      </c>
    </row>
    <row r="309" spans="2:2">
      <c r="B309" s="149">
        <v>44137</v>
      </c>
    </row>
    <row r="310" spans="2:2">
      <c r="B310" s="149">
        <v>44138</v>
      </c>
    </row>
    <row r="311" spans="2:2">
      <c r="B311" s="149">
        <v>44139</v>
      </c>
    </row>
    <row r="312" spans="2:2">
      <c r="B312" s="149">
        <v>44140</v>
      </c>
    </row>
    <row r="313" spans="2:2">
      <c r="B313" s="149">
        <v>44141</v>
      </c>
    </row>
    <row r="314" spans="2:2">
      <c r="B314" s="149">
        <v>44142</v>
      </c>
    </row>
    <row r="315" spans="2:2">
      <c r="B315" s="149">
        <v>44143</v>
      </c>
    </row>
    <row r="316" spans="2:2">
      <c r="B316" s="149">
        <v>44144</v>
      </c>
    </row>
    <row r="317" spans="2:2">
      <c r="B317" s="149">
        <v>44145</v>
      </c>
    </row>
    <row r="318" spans="2:2">
      <c r="B318" s="149">
        <v>44146</v>
      </c>
    </row>
    <row r="319" spans="2:2">
      <c r="B319" s="149">
        <v>44147</v>
      </c>
    </row>
    <row r="320" spans="2:2">
      <c r="B320" s="149">
        <v>44148</v>
      </c>
    </row>
    <row r="321" spans="2:2">
      <c r="B321" s="149">
        <v>44149</v>
      </c>
    </row>
    <row r="322" spans="2:2">
      <c r="B322" s="149">
        <v>44150</v>
      </c>
    </row>
    <row r="323" spans="2:2">
      <c r="B323" s="149">
        <v>44151</v>
      </c>
    </row>
    <row r="324" spans="2:2">
      <c r="B324" s="149">
        <v>44152</v>
      </c>
    </row>
    <row r="325" spans="2:2">
      <c r="B325" s="149">
        <v>44153</v>
      </c>
    </row>
    <row r="326" spans="2:2">
      <c r="B326" s="149">
        <v>44154</v>
      </c>
    </row>
    <row r="327" spans="2:2">
      <c r="B327" s="149">
        <v>44155</v>
      </c>
    </row>
    <row r="328" spans="2:2">
      <c r="B328" s="149">
        <v>44156</v>
      </c>
    </row>
    <row r="329" spans="2:2">
      <c r="B329" s="149">
        <v>44157</v>
      </c>
    </row>
    <row r="330" spans="2:2">
      <c r="B330" s="149">
        <v>44158</v>
      </c>
    </row>
    <row r="331" spans="2:2">
      <c r="B331" s="149">
        <v>44159</v>
      </c>
    </row>
    <row r="332" spans="2:2">
      <c r="B332" s="149">
        <v>44160</v>
      </c>
    </row>
    <row r="333" spans="2:2">
      <c r="B333" s="149">
        <v>44161</v>
      </c>
    </row>
    <row r="334" spans="2:2">
      <c r="B334" s="149">
        <v>44162</v>
      </c>
    </row>
    <row r="335" spans="2:2">
      <c r="B335" s="149">
        <v>44163</v>
      </c>
    </row>
    <row r="336" spans="2:2">
      <c r="B336" s="149">
        <v>44164</v>
      </c>
    </row>
    <row r="337" spans="2:2">
      <c r="B337" s="149">
        <v>44165</v>
      </c>
    </row>
    <row r="338" spans="2:2">
      <c r="B338" s="149">
        <v>44166</v>
      </c>
    </row>
    <row r="339" spans="2:2">
      <c r="B339" s="149">
        <v>44167</v>
      </c>
    </row>
    <row r="340" spans="2:2">
      <c r="B340" s="149">
        <v>44168</v>
      </c>
    </row>
    <row r="341" spans="2:2">
      <c r="B341" s="149">
        <v>44169</v>
      </c>
    </row>
    <row r="342" spans="2:2">
      <c r="B342" s="149">
        <v>44170</v>
      </c>
    </row>
    <row r="343" spans="2:2">
      <c r="B343" s="149">
        <v>44171</v>
      </c>
    </row>
    <row r="344" spans="2:2">
      <c r="B344" s="149">
        <v>44172</v>
      </c>
    </row>
    <row r="345" spans="2:2">
      <c r="B345" s="149">
        <v>44173</v>
      </c>
    </row>
    <row r="346" spans="2:2">
      <c r="B346" s="149">
        <v>44174</v>
      </c>
    </row>
    <row r="347" spans="2:2">
      <c r="B347" s="149">
        <v>44175</v>
      </c>
    </row>
    <row r="348" spans="2:2">
      <c r="B348" s="149">
        <v>44176</v>
      </c>
    </row>
    <row r="349" spans="2:2">
      <c r="B349" s="149">
        <v>44177</v>
      </c>
    </row>
    <row r="350" spans="2:2">
      <c r="B350" s="149">
        <v>44178</v>
      </c>
    </row>
    <row r="351" spans="2:2">
      <c r="B351" s="149">
        <v>44179</v>
      </c>
    </row>
    <row r="352" spans="2:2">
      <c r="B352" s="149">
        <v>44180</v>
      </c>
    </row>
    <row r="353" spans="2:2">
      <c r="B353" s="149">
        <v>44181</v>
      </c>
    </row>
    <row r="354" spans="2:2">
      <c r="B354" s="149">
        <v>44182</v>
      </c>
    </row>
    <row r="355" spans="2:2">
      <c r="B355" s="149">
        <v>44183</v>
      </c>
    </row>
    <row r="356" spans="2:2">
      <c r="B356" s="149">
        <v>44184</v>
      </c>
    </row>
    <row r="357" spans="2:2">
      <c r="B357" s="149">
        <v>44185</v>
      </c>
    </row>
    <row r="358" spans="2:2">
      <c r="B358" s="149">
        <v>44186</v>
      </c>
    </row>
    <row r="359" spans="2:2">
      <c r="B359" s="149">
        <v>44187</v>
      </c>
    </row>
    <row r="360" spans="2:2">
      <c r="B360" s="149">
        <v>44188</v>
      </c>
    </row>
    <row r="361" spans="2:2">
      <c r="B361" s="149">
        <v>44189</v>
      </c>
    </row>
    <row r="362" spans="2:2">
      <c r="B362" s="149">
        <v>44190</v>
      </c>
    </row>
    <row r="363" spans="2:2">
      <c r="B363" s="149">
        <v>44191</v>
      </c>
    </row>
    <row r="364" spans="2:2">
      <c r="B364" s="149">
        <v>44192</v>
      </c>
    </row>
    <row r="365" spans="2:2">
      <c r="B365" s="149">
        <v>44193</v>
      </c>
    </row>
    <row r="366" spans="2:2">
      <c r="B366" s="149">
        <v>44194</v>
      </c>
    </row>
    <row r="367" spans="2:2">
      <c r="B367" s="149">
        <v>44195</v>
      </c>
    </row>
    <row r="368" spans="2:2">
      <c r="B368" s="149">
        <v>44196</v>
      </c>
    </row>
    <row r="369" spans="2:2">
      <c r="B369" s="149">
        <v>44197</v>
      </c>
    </row>
    <row r="370" spans="2:2">
      <c r="B370" s="149">
        <v>44198</v>
      </c>
    </row>
    <row r="371" spans="2:2">
      <c r="B371" s="149">
        <v>44199</v>
      </c>
    </row>
    <row r="372" spans="2:2">
      <c r="B372" s="149">
        <v>44200</v>
      </c>
    </row>
    <row r="373" spans="2:2">
      <c r="B373" s="149">
        <v>44201</v>
      </c>
    </row>
    <row r="374" spans="2:2">
      <c r="B374" s="149">
        <v>44202</v>
      </c>
    </row>
    <row r="375" spans="2:2">
      <c r="B375" s="149">
        <v>44203</v>
      </c>
    </row>
    <row r="376" spans="2:2">
      <c r="B376" s="149">
        <v>44204</v>
      </c>
    </row>
    <row r="377" spans="2:2">
      <c r="B377" s="149">
        <v>44205</v>
      </c>
    </row>
    <row r="378" spans="2:2">
      <c r="B378" s="149">
        <v>44206</v>
      </c>
    </row>
    <row r="379" spans="2:2">
      <c r="B379" s="149">
        <v>44207</v>
      </c>
    </row>
    <row r="380" spans="2:2">
      <c r="B380" s="149">
        <v>44208</v>
      </c>
    </row>
    <row r="381" spans="2:2">
      <c r="B381" s="149">
        <v>44209</v>
      </c>
    </row>
    <row r="382" spans="2:2">
      <c r="B382" s="149">
        <v>44210</v>
      </c>
    </row>
    <row r="383" spans="2:2">
      <c r="B383" s="149">
        <v>44211</v>
      </c>
    </row>
    <row r="384" spans="2:2">
      <c r="B384" s="149">
        <v>44212</v>
      </c>
    </row>
    <row r="385" spans="2:2">
      <c r="B385" s="149">
        <v>44213</v>
      </c>
    </row>
    <row r="386" spans="2:2">
      <c r="B386" s="149">
        <v>44214</v>
      </c>
    </row>
    <row r="387" spans="2:2">
      <c r="B387" s="149">
        <v>44215</v>
      </c>
    </row>
    <row r="388" spans="2:2">
      <c r="B388" s="149">
        <v>44216</v>
      </c>
    </row>
    <row r="389" spans="2:2">
      <c r="B389" s="149">
        <v>44217</v>
      </c>
    </row>
    <row r="390" spans="2:2">
      <c r="B390" s="149">
        <v>44218</v>
      </c>
    </row>
    <row r="391" spans="2:2">
      <c r="B391" s="149">
        <v>44219</v>
      </c>
    </row>
    <row r="392" spans="2:2">
      <c r="B392" s="149">
        <v>44220</v>
      </c>
    </row>
    <row r="393" spans="2:2">
      <c r="B393" s="149">
        <v>44221</v>
      </c>
    </row>
    <row r="394" spans="2:2">
      <c r="B394" s="149">
        <v>44222</v>
      </c>
    </row>
    <row r="395" spans="2:2">
      <c r="B395" s="149">
        <v>44223</v>
      </c>
    </row>
    <row r="396" spans="2:2">
      <c r="B396" s="149">
        <v>44224</v>
      </c>
    </row>
    <row r="397" spans="2:2">
      <c r="B397" s="149">
        <v>44225</v>
      </c>
    </row>
    <row r="398" spans="2:2">
      <c r="B398" s="149">
        <v>44226</v>
      </c>
    </row>
    <row r="399" spans="2:2">
      <c r="B399" s="149">
        <v>44227</v>
      </c>
    </row>
    <row r="400" spans="2:2">
      <c r="B400" s="149">
        <v>44228</v>
      </c>
    </row>
    <row r="401" spans="2:2">
      <c r="B401" s="149">
        <v>44229</v>
      </c>
    </row>
    <row r="402" spans="2:2">
      <c r="B402" s="149">
        <v>44230</v>
      </c>
    </row>
    <row r="403" spans="2:2">
      <c r="B403" s="149">
        <v>44231</v>
      </c>
    </row>
    <row r="404" spans="2:2">
      <c r="B404" s="149">
        <v>44232</v>
      </c>
    </row>
    <row r="405" spans="2:2">
      <c r="B405" s="149">
        <v>44233</v>
      </c>
    </row>
    <row r="406" spans="2:2">
      <c r="B406" s="149">
        <v>44234</v>
      </c>
    </row>
    <row r="407" spans="2:2">
      <c r="B407" s="149">
        <v>44235</v>
      </c>
    </row>
    <row r="408" spans="2:2">
      <c r="B408" s="149">
        <v>44236</v>
      </c>
    </row>
    <row r="409" spans="2:2">
      <c r="B409" s="149">
        <v>44237</v>
      </c>
    </row>
    <row r="410" spans="2:2">
      <c r="B410" s="149">
        <v>44238</v>
      </c>
    </row>
    <row r="411" spans="2:2">
      <c r="B411" s="149">
        <v>44239</v>
      </c>
    </row>
    <row r="412" spans="2:2">
      <c r="B412" s="149">
        <v>44240</v>
      </c>
    </row>
    <row r="413" spans="2:2">
      <c r="B413" s="149">
        <v>44241</v>
      </c>
    </row>
    <row r="414" spans="2:2">
      <c r="B414" s="149">
        <v>44242</v>
      </c>
    </row>
    <row r="415" spans="2:2">
      <c r="B415" s="149">
        <v>44243</v>
      </c>
    </row>
    <row r="416" spans="2:2">
      <c r="B416" s="149">
        <v>44244</v>
      </c>
    </row>
    <row r="417" spans="2:2">
      <c r="B417" s="149">
        <v>44245</v>
      </c>
    </row>
    <row r="418" spans="2:2">
      <c r="B418" s="149">
        <v>44246</v>
      </c>
    </row>
    <row r="419" spans="2:2">
      <c r="B419" s="149">
        <v>44247</v>
      </c>
    </row>
    <row r="420" spans="2:2">
      <c r="B420" s="149">
        <v>44248</v>
      </c>
    </row>
    <row r="421" spans="2:2">
      <c r="B421" s="149">
        <v>44249</v>
      </c>
    </row>
    <row r="422" spans="2:2">
      <c r="B422" s="149">
        <v>44250</v>
      </c>
    </row>
    <row r="423" spans="2:2">
      <c r="B423" s="149">
        <v>44251</v>
      </c>
    </row>
    <row r="424" spans="2:2">
      <c r="B424" s="149">
        <v>44252</v>
      </c>
    </row>
    <row r="425" spans="2:2">
      <c r="B425" s="149">
        <v>44253</v>
      </c>
    </row>
    <row r="426" spans="2:2">
      <c r="B426" s="149">
        <v>44254</v>
      </c>
    </row>
    <row r="427" spans="2:2">
      <c r="B427" s="149">
        <v>44255</v>
      </c>
    </row>
    <row r="428" spans="2:2">
      <c r="B428" s="149">
        <v>44256</v>
      </c>
    </row>
    <row r="429" spans="2:2">
      <c r="B429" s="149">
        <v>44257</v>
      </c>
    </row>
    <row r="430" spans="2:2">
      <c r="B430" s="149">
        <v>44258</v>
      </c>
    </row>
    <row r="431" spans="2:2">
      <c r="B431" s="149">
        <v>44259</v>
      </c>
    </row>
    <row r="432" spans="2:2">
      <c r="B432" s="149">
        <v>44260</v>
      </c>
    </row>
    <row r="433" spans="2:2">
      <c r="B433" s="149">
        <v>44261</v>
      </c>
    </row>
    <row r="434" spans="2:2">
      <c r="B434" s="149">
        <v>44262</v>
      </c>
    </row>
    <row r="435" spans="2:2">
      <c r="B435" s="149">
        <v>44263</v>
      </c>
    </row>
    <row r="436" spans="2:2">
      <c r="B436" s="149">
        <v>44264</v>
      </c>
    </row>
    <row r="437" spans="2:2">
      <c r="B437" s="149">
        <v>44265</v>
      </c>
    </row>
    <row r="438" spans="2:2">
      <c r="B438" s="149">
        <v>44266</v>
      </c>
    </row>
    <row r="439" spans="2:2">
      <c r="B439" s="149">
        <v>44267</v>
      </c>
    </row>
    <row r="440" spans="2:2">
      <c r="B440" s="149">
        <v>44268</v>
      </c>
    </row>
    <row r="441" spans="2:2">
      <c r="B441" s="149">
        <v>44269</v>
      </c>
    </row>
    <row r="442" spans="2:2">
      <c r="B442" s="149">
        <v>44270</v>
      </c>
    </row>
    <row r="443" spans="2:2">
      <c r="B443" s="149">
        <v>44271</v>
      </c>
    </row>
    <row r="444" spans="2:2">
      <c r="B444" s="149">
        <v>44272</v>
      </c>
    </row>
    <row r="445" spans="2:2">
      <c r="B445" s="149">
        <v>44273</v>
      </c>
    </row>
    <row r="446" spans="2:2">
      <c r="B446" s="149">
        <v>44274</v>
      </c>
    </row>
    <row r="447" spans="2:2">
      <c r="B447" s="149">
        <v>44275</v>
      </c>
    </row>
    <row r="448" spans="2:2">
      <c r="B448" s="149">
        <v>44276</v>
      </c>
    </row>
    <row r="449" spans="2:2">
      <c r="B449" s="149">
        <v>44277</v>
      </c>
    </row>
    <row r="450" spans="2:2">
      <c r="B450" s="149">
        <v>44278</v>
      </c>
    </row>
    <row r="451" spans="2:2">
      <c r="B451" s="149">
        <v>44279</v>
      </c>
    </row>
    <row r="452" spans="2:2">
      <c r="B452" s="149">
        <v>44280</v>
      </c>
    </row>
    <row r="453" spans="2:2">
      <c r="B453" s="149">
        <v>44281</v>
      </c>
    </row>
    <row r="454" spans="2:2">
      <c r="B454" s="149">
        <v>44282</v>
      </c>
    </row>
    <row r="455" spans="2:2">
      <c r="B455" s="149">
        <v>44283</v>
      </c>
    </row>
    <row r="456" spans="2:2">
      <c r="B456" s="149">
        <v>44284</v>
      </c>
    </row>
    <row r="457" spans="2:2">
      <c r="B457" s="149">
        <v>44285</v>
      </c>
    </row>
    <row r="458" spans="2:2">
      <c r="B458" s="149">
        <v>44286</v>
      </c>
    </row>
    <row r="459" spans="2:2">
      <c r="B459" s="149">
        <v>44287</v>
      </c>
    </row>
    <row r="460" spans="2:2">
      <c r="B460" s="149">
        <v>44288</v>
      </c>
    </row>
    <row r="461" spans="2:2">
      <c r="B461" s="149">
        <v>44289</v>
      </c>
    </row>
    <row r="462" spans="2:2">
      <c r="B462" s="149">
        <v>44290</v>
      </c>
    </row>
    <row r="463" spans="2:2">
      <c r="B463" s="149">
        <v>44291</v>
      </c>
    </row>
    <row r="464" spans="2:2">
      <c r="B464" s="149">
        <v>44292</v>
      </c>
    </row>
    <row r="465" spans="2:2">
      <c r="B465" s="149">
        <v>44293</v>
      </c>
    </row>
    <row r="466" spans="2:2">
      <c r="B466" s="149">
        <v>44294</v>
      </c>
    </row>
    <row r="467" spans="2:2">
      <c r="B467" s="149">
        <v>44295</v>
      </c>
    </row>
    <row r="468" spans="2:2">
      <c r="B468" s="149">
        <v>44296</v>
      </c>
    </row>
    <row r="469" spans="2:2">
      <c r="B469" s="149">
        <v>44297</v>
      </c>
    </row>
    <row r="470" spans="2:2">
      <c r="B470" s="149">
        <v>44298</v>
      </c>
    </row>
    <row r="471" spans="2:2">
      <c r="B471" s="149">
        <v>44299</v>
      </c>
    </row>
    <row r="472" spans="2:2">
      <c r="B472" s="149">
        <v>44300</v>
      </c>
    </row>
    <row r="473" spans="2:2">
      <c r="B473" s="149">
        <v>44301</v>
      </c>
    </row>
    <row r="474" spans="2:2">
      <c r="B474" s="149">
        <v>44302</v>
      </c>
    </row>
    <row r="475" spans="2:2">
      <c r="B475" s="149">
        <v>44303</v>
      </c>
    </row>
    <row r="476" spans="2:2">
      <c r="B476" s="149">
        <v>44304</v>
      </c>
    </row>
    <row r="477" spans="2:2">
      <c r="B477" s="149">
        <v>44305</v>
      </c>
    </row>
    <row r="478" spans="2:2">
      <c r="B478" s="149">
        <v>44306</v>
      </c>
    </row>
    <row r="479" spans="2:2">
      <c r="B479" s="149">
        <v>44307</v>
      </c>
    </row>
    <row r="480" spans="2:2">
      <c r="B480" s="149">
        <v>44308</v>
      </c>
    </row>
    <row r="481" spans="2:2">
      <c r="B481" s="149">
        <v>44309</v>
      </c>
    </row>
    <row r="482" spans="2:2">
      <c r="B482" s="149">
        <v>44310</v>
      </c>
    </row>
    <row r="483" spans="2:2">
      <c r="B483" s="149">
        <v>44311</v>
      </c>
    </row>
    <row r="484" spans="2:2">
      <c r="B484" s="149">
        <v>44312</v>
      </c>
    </row>
    <row r="485" spans="2:2">
      <c r="B485" s="149">
        <v>44313</v>
      </c>
    </row>
    <row r="486" spans="2:2">
      <c r="B486" s="149">
        <v>44314</v>
      </c>
    </row>
    <row r="487" spans="2:2">
      <c r="B487" s="149">
        <v>44315</v>
      </c>
    </row>
    <row r="488" spans="2:2">
      <c r="B488" s="149">
        <v>44316</v>
      </c>
    </row>
    <row r="489" spans="2:2">
      <c r="B489" s="149">
        <v>44317</v>
      </c>
    </row>
    <row r="490" spans="2:2">
      <c r="B490" s="149">
        <v>44318</v>
      </c>
    </row>
    <row r="491" spans="2:2">
      <c r="B491" s="149">
        <v>44319</v>
      </c>
    </row>
    <row r="492" spans="2:2">
      <c r="B492" s="149">
        <v>44320</v>
      </c>
    </row>
    <row r="493" spans="2:2">
      <c r="B493" s="149">
        <v>44321</v>
      </c>
    </row>
    <row r="494" spans="2:2">
      <c r="B494" s="149">
        <v>44322</v>
      </c>
    </row>
    <row r="495" spans="2:2">
      <c r="B495" s="149">
        <v>44323</v>
      </c>
    </row>
    <row r="496" spans="2:2">
      <c r="B496" s="149">
        <v>44324</v>
      </c>
    </row>
    <row r="497" spans="2:2">
      <c r="B497" s="149">
        <v>44325</v>
      </c>
    </row>
    <row r="498" spans="2:2">
      <c r="B498" s="149">
        <v>44326</v>
      </c>
    </row>
    <row r="499" spans="2:2">
      <c r="B499" s="149">
        <v>44327</v>
      </c>
    </row>
    <row r="500" spans="2:2">
      <c r="B500" s="149">
        <v>44328</v>
      </c>
    </row>
    <row r="501" spans="2:2">
      <c r="B501" s="149">
        <v>44329</v>
      </c>
    </row>
    <row r="502" spans="2:2">
      <c r="B502" s="149">
        <v>44330</v>
      </c>
    </row>
    <row r="503" spans="2:2">
      <c r="B503" s="149">
        <v>44331</v>
      </c>
    </row>
    <row r="504" spans="2:2">
      <c r="B504" s="149">
        <v>44332</v>
      </c>
    </row>
    <row r="505" spans="2:2">
      <c r="B505" s="149">
        <v>44333</v>
      </c>
    </row>
    <row r="506" spans="2:2">
      <c r="B506" s="149">
        <v>44334</v>
      </c>
    </row>
    <row r="507" spans="2:2">
      <c r="B507" s="149">
        <v>44335</v>
      </c>
    </row>
    <row r="508" spans="2:2">
      <c r="B508" s="149">
        <v>44336</v>
      </c>
    </row>
    <row r="509" spans="2:2">
      <c r="B509" s="149">
        <v>44337</v>
      </c>
    </row>
    <row r="510" spans="2:2">
      <c r="B510" s="149">
        <v>44338</v>
      </c>
    </row>
    <row r="511" spans="2:2">
      <c r="B511" s="149">
        <v>44339</v>
      </c>
    </row>
    <row r="512" spans="2:2">
      <c r="B512" s="149">
        <v>44340</v>
      </c>
    </row>
    <row r="513" spans="2:2">
      <c r="B513" s="149">
        <v>44341</v>
      </c>
    </row>
    <row r="514" spans="2:2">
      <c r="B514" s="149">
        <v>44342</v>
      </c>
    </row>
    <row r="515" spans="2:2">
      <c r="B515" s="149">
        <v>44343</v>
      </c>
    </row>
    <row r="516" spans="2:2">
      <c r="B516" s="149">
        <v>44344</v>
      </c>
    </row>
    <row r="517" spans="2:2">
      <c r="B517" s="149">
        <v>44345</v>
      </c>
    </row>
    <row r="518" spans="2:2">
      <c r="B518" s="149">
        <v>44346</v>
      </c>
    </row>
    <row r="519" spans="2:2">
      <c r="B519" s="149">
        <v>44347</v>
      </c>
    </row>
    <row r="520" spans="2:2">
      <c r="B520" s="149">
        <v>44348</v>
      </c>
    </row>
    <row r="521" spans="2:2">
      <c r="B521" s="149">
        <v>44349</v>
      </c>
    </row>
    <row r="522" spans="2:2">
      <c r="B522" s="149">
        <v>44350</v>
      </c>
    </row>
    <row r="523" spans="2:2">
      <c r="B523" s="149">
        <v>44351</v>
      </c>
    </row>
    <row r="524" spans="2:2">
      <c r="B524" s="149">
        <v>44352</v>
      </c>
    </row>
    <row r="525" spans="2:2">
      <c r="B525" s="149">
        <v>44353</v>
      </c>
    </row>
    <row r="526" spans="2:2">
      <c r="B526" s="149">
        <v>44354</v>
      </c>
    </row>
    <row r="527" spans="2:2">
      <c r="B527" s="149">
        <v>44355</v>
      </c>
    </row>
    <row r="528" spans="2:2">
      <c r="B528" s="149">
        <v>44356</v>
      </c>
    </row>
    <row r="529" spans="2:2">
      <c r="B529" s="149">
        <v>44357</v>
      </c>
    </row>
    <row r="530" spans="2:2">
      <c r="B530" s="149">
        <v>44358</v>
      </c>
    </row>
    <row r="531" spans="2:2">
      <c r="B531" s="149">
        <v>44359</v>
      </c>
    </row>
    <row r="532" spans="2:2">
      <c r="B532" s="149">
        <v>44360</v>
      </c>
    </row>
    <row r="533" spans="2:2">
      <c r="B533" s="149">
        <v>44361</v>
      </c>
    </row>
    <row r="534" spans="2:2">
      <c r="B534" s="149">
        <v>44362</v>
      </c>
    </row>
    <row r="535" spans="2:2">
      <c r="B535" s="149">
        <v>44363</v>
      </c>
    </row>
    <row r="536" spans="2:2">
      <c r="B536" s="149">
        <v>44364</v>
      </c>
    </row>
    <row r="537" spans="2:2">
      <c r="B537" s="149">
        <v>44365</v>
      </c>
    </row>
    <row r="538" spans="2:2">
      <c r="B538" s="149">
        <v>44366</v>
      </c>
    </row>
    <row r="539" spans="2:2">
      <c r="B539" s="149">
        <v>44367</v>
      </c>
    </row>
    <row r="540" spans="2:2">
      <c r="B540" s="149">
        <v>44368</v>
      </c>
    </row>
    <row r="541" spans="2:2">
      <c r="B541" s="149">
        <v>44369</v>
      </c>
    </row>
    <row r="542" spans="2:2">
      <c r="B542" s="149">
        <v>44370</v>
      </c>
    </row>
    <row r="543" spans="2:2">
      <c r="B543" s="149">
        <v>44371</v>
      </c>
    </row>
    <row r="544" spans="2:2">
      <c r="B544" s="149">
        <v>44372</v>
      </c>
    </row>
    <row r="545" spans="2:2">
      <c r="B545" s="149">
        <v>44373</v>
      </c>
    </row>
    <row r="546" spans="2:2">
      <c r="B546" s="149">
        <v>44374</v>
      </c>
    </row>
    <row r="547" spans="2:2">
      <c r="B547" s="149">
        <v>44375</v>
      </c>
    </row>
    <row r="548" spans="2:2">
      <c r="B548" s="149">
        <v>44376</v>
      </c>
    </row>
    <row r="549" spans="2:2">
      <c r="B549" s="149">
        <v>44377</v>
      </c>
    </row>
    <row r="550" spans="2:2">
      <c r="B550" s="149">
        <v>44378</v>
      </c>
    </row>
    <row r="551" spans="2:2">
      <c r="B551" s="149">
        <v>44379</v>
      </c>
    </row>
    <row r="552" spans="2:2">
      <c r="B552" s="149">
        <v>44380</v>
      </c>
    </row>
    <row r="553" spans="2:2">
      <c r="B553" s="149">
        <v>44381</v>
      </c>
    </row>
    <row r="554" spans="2:2">
      <c r="B554" s="149">
        <v>44382</v>
      </c>
    </row>
    <row r="555" spans="2:2">
      <c r="B555" s="149">
        <v>44383</v>
      </c>
    </row>
    <row r="556" spans="2:2">
      <c r="B556" s="149">
        <v>44384</v>
      </c>
    </row>
    <row r="557" spans="2:2">
      <c r="B557" s="149">
        <v>44385</v>
      </c>
    </row>
    <row r="558" spans="2:2">
      <c r="B558" s="149">
        <v>44386</v>
      </c>
    </row>
    <row r="559" spans="2:2">
      <c r="B559" s="149">
        <v>44387</v>
      </c>
    </row>
    <row r="560" spans="2:2">
      <c r="B560" s="149">
        <v>44388</v>
      </c>
    </row>
    <row r="561" spans="2:2">
      <c r="B561" s="149">
        <v>44389</v>
      </c>
    </row>
    <row r="562" spans="2:2">
      <c r="B562" s="149">
        <v>44390</v>
      </c>
    </row>
    <row r="563" spans="2:2">
      <c r="B563" s="149">
        <v>44391</v>
      </c>
    </row>
    <row r="564" spans="2:2">
      <c r="B564" s="149">
        <v>44392</v>
      </c>
    </row>
    <row r="565" spans="2:2">
      <c r="B565" s="149">
        <v>44393</v>
      </c>
    </row>
    <row r="566" spans="2:2">
      <c r="B566" s="149">
        <v>44394</v>
      </c>
    </row>
    <row r="567" spans="2:2">
      <c r="B567" s="149">
        <v>44395</v>
      </c>
    </row>
    <row r="568" spans="2:2">
      <c r="B568" s="149">
        <v>44396</v>
      </c>
    </row>
    <row r="569" spans="2:2">
      <c r="B569" s="149">
        <v>44397</v>
      </c>
    </row>
    <row r="570" spans="2:2">
      <c r="B570" s="149">
        <v>44398</v>
      </c>
    </row>
    <row r="571" spans="2:2">
      <c r="B571" s="149">
        <v>44399</v>
      </c>
    </row>
    <row r="572" spans="2:2">
      <c r="B572" s="149">
        <v>44400</v>
      </c>
    </row>
    <row r="573" spans="2:2">
      <c r="B573" s="149">
        <v>44401</v>
      </c>
    </row>
    <row r="574" spans="2:2">
      <c r="B574" s="149">
        <v>44402</v>
      </c>
    </row>
    <row r="575" spans="2:2">
      <c r="B575" s="149">
        <v>44403</v>
      </c>
    </row>
    <row r="576" spans="2:2">
      <c r="B576" s="149">
        <v>44404</v>
      </c>
    </row>
    <row r="577" spans="2:2">
      <c r="B577" s="149">
        <v>44405</v>
      </c>
    </row>
    <row r="578" spans="2:2">
      <c r="B578" s="149">
        <v>44406</v>
      </c>
    </row>
    <row r="579" spans="2:2">
      <c r="B579" s="149">
        <v>44407</v>
      </c>
    </row>
    <row r="580" spans="2:2">
      <c r="B580" s="149">
        <v>44408</v>
      </c>
    </row>
    <row r="581" spans="2:2">
      <c r="B581" s="149">
        <v>44409</v>
      </c>
    </row>
    <row r="582" spans="2:2">
      <c r="B582" s="149">
        <v>44410</v>
      </c>
    </row>
    <row r="583" spans="2:2">
      <c r="B583" s="149">
        <v>44411</v>
      </c>
    </row>
    <row r="584" spans="2:2">
      <c r="B584" s="149">
        <v>44412</v>
      </c>
    </row>
    <row r="585" spans="2:2">
      <c r="B585" s="149">
        <v>44413</v>
      </c>
    </row>
    <row r="586" spans="2:2">
      <c r="B586" s="149">
        <v>44414</v>
      </c>
    </row>
    <row r="587" spans="2:2">
      <c r="B587" s="149">
        <v>44415</v>
      </c>
    </row>
    <row r="588" spans="2:2">
      <c r="B588" s="149">
        <v>44416</v>
      </c>
    </row>
    <row r="589" spans="2:2">
      <c r="B589" s="149">
        <v>44417</v>
      </c>
    </row>
    <row r="590" spans="2:2">
      <c r="B590" s="149">
        <v>44418</v>
      </c>
    </row>
    <row r="591" spans="2:2">
      <c r="B591" s="149">
        <v>44419</v>
      </c>
    </row>
    <row r="592" spans="2:2">
      <c r="B592" s="149">
        <v>44420</v>
      </c>
    </row>
    <row r="593" spans="2:2">
      <c r="B593" s="149">
        <v>44421</v>
      </c>
    </row>
    <row r="594" spans="2:2">
      <c r="B594" s="149">
        <v>44422</v>
      </c>
    </row>
    <row r="595" spans="2:2">
      <c r="B595" s="149">
        <v>44423</v>
      </c>
    </row>
    <row r="596" spans="2:2">
      <c r="B596" s="149">
        <v>44424</v>
      </c>
    </row>
    <row r="597" spans="2:2">
      <c r="B597" s="149">
        <v>44425</v>
      </c>
    </row>
    <row r="598" spans="2:2">
      <c r="B598" s="149">
        <v>44426</v>
      </c>
    </row>
    <row r="599" spans="2:2">
      <c r="B599" s="149">
        <v>44427</v>
      </c>
    </row>
    <row r="600" spans="2:2">
      <c r="B600" s="149">
        <v>44428</v>
      </c>
    </row>
    <row r="601" spans="2:2">
      <c r="B601" s="149">
        <v>44429</v>
      </c>
    </row>
    <row r="602" spans="2:2">
      <c r="B602" s="149">
        <v>44430</v>
      </c>
    </row>
    <row r="603" spans="2:2">
      <c r="B603" s="149">
        <v>44431</v>
      </c>
    </row>
    <row r="604" spans="2:2">
      <c r="B604" s="149">
        <v>44432</v>
      </c>
    </row>
    <row r="605" spans="2:2">
      <c r="B605" s="149">
        <v>44433</v>
      </c>
    </row>
    <row r="606" spans="2:2">
      <c r="B606" s="149">
        <v>44434</v>
      </c>
    </row>
    <row r="607" spans="2:2">
      <c r="B607" s="149">
        <v>44435</v>
      </c>
    </row>
    <row r="608" spans="2:2">
      <c r="B608" s="149">
        <v>44436</v>
      </c>
    </row>
    <row r="609" spans="2:2">
      <c r="B609" s="149">
        <v>44437</v>
      </c>
    </row>
    <row r="610" spans="2:2">
      <c r="B610" s="149">
        <v>44438</v>
      </c>
    </row>
    <row r="611" spans="2:2">
      <c r="B611" s="149">
        <v>44439</v>
      </c>
    </row>
    <row r="612" spans="2:2">
      <c r="B612" s="149">
        <v>44440</v>
      </c>
    </row>
    <row r="613" spans="2:2">
      <c r="B613" s="149">
        <v>44441</v>
      </c>
    </row>
    <row r="614" spans="2:2">
      <c r="B614" s="149">
        <v>44442</v>
      </c>
    </row>
    <row r="615" spans="2:2">
      <c r="B615" s="149">
        <v>44443</v>
      </c>
    </row>
    <row r="616" spans="2:2">
      <c r="B616" s="149">
        <v>44444</v>
      </c>
    </row>
    <row r="617" spans="2:2">
      <c r="B617" s="149">
        <v>44445</v>
      </c>
    </row>
    <row r="618" spans="2:2">
      <c r="B618" s="149">
        <v>44446</v>
      </c>
    </row>
    <row r="619" spans="2:2">
      <c r="B619" s="149">
        <v>44447</v>
      </c>
    </row>
    <row r="620" spans="2:2">
      <c r="B620" s="149">
        <v>44448</v>
      </c>
    </row>
    <row r="621" spans="2:2">
      <c r="B621" s="149">
        <v>44449</v>
      </c>
    </row>
    <row r="622" spans="2:2">
      <c r="B622" s="149">
        <v>44450</v>
      </c>
    </row>
    <row r="623" spans="2:2">
      <c r="B623" s="149">
        <v>44451</v>
      </c>
    </row>
    <row r="624" spans="2:2">
      <c r="B624" s="149">
        <v>44452</v>
      </c>
    </row>
    <row r="625" spans="2:2">
      <c r="B625" s="149">
        <v>44453</v>
      </c>
    </row>
    <row r="626" spans="2:2">
      <c r="B626" s="149">
        <v>44454</v>
      </c>
    </row>
    <row r="627" spans="2:2">
      <c r="B627" s="149">
        <v>44455</v>
      </c>
    </row>
    <row r="628" spans="2:2">
      <c r="B628" s="149">
        <v>44456</v>
      </c>
    </row>
    <row r="629" spans="2:2">
      <c r="B629" s="149">
        <v>44457</v>
      </c>
    </row>
    <row r="630" spans="2:2">
      <c r="B630" s="149">
        <v>44458</v>
      </c>
    </row>
    <row r="631" spans="2:2">
      <c r="B631" s="149">
        <v>44459</v>
      </c>
    </row>
    <row r="632" spans="2:2">
      <c r="B632" s="149">
        <v>44460</v>
      </c>
    </row>
    <row r="633" spans="2:2">
      <c r="B633" s="149">
        <v>44461</v>
      </c>
    </row>
    <row r="634" spans="2:2">
      <c r="B634" s="149">
        <v>44462</v>
      </c>
    </row>
    <row r="635" spans="2:2">
      <c r="B635" s="149">
        <v>44463</v>
      </c>
    </row>
    <row r="636" spans="2:2">
      <c r="B636" s="149">
        <v>44464</v>
      </c>
    </row>
    <row r="637" spans="2:2">
      <c r="B637" s="149">
        <v>44465</v>
      </c>
    </row>
    <row r="638" spans="2:2">
      <c r="B638" s="149">
        <v>44466</v>
      </c>
    </row>
    <row r="639" spans="2:2">
      <c r="B639" s="149">
        <v>44467</v>
      </c>
    </row>
    <row r="640" spans="2:2">
      <c r="B640" s="149">
        <v>44468</v>
      </c>
    </row>
    <row r="641" spans="2:2">
      <c r="B641" s="149">
        <v>44469</v>
      </c>
    </row>
    <row r="642" spans="2:2">
      <c r="B642" s="149">
        <v>44470</v>
      </c>
    </row>
    <row r="643" spans="2:2">
      <c r="B643" s="149">
        <v>44471</v>
      </c>
    </row>
    <row r="644" spans="2:2">
      <c r="B644" s="149">
        <v>44472</v>
      </c>
    </row>
    <row r="645" spans="2:2">
      <c r="B645" s="149">
        <v>44473</v>
      </c>
    </row>
    <row r="646" spans="2:2">
      <c r="B646" s="149">
        <v>44474</v>
      </c>
    </row>
    <row r="647" spans="2:2">
      <c r="B647" s="149">
        <v>44475</v>
      </c>
    </row>
    <row r="648" spans="2:2">
      <c r="B648" s="149">
        <v>44476</v>
      </c>
    </row>
    <row r="649" spans="2:2">
      <c r="B649" s="149">
        <v>44477</v>
      </c>
    </row>
    <row r="650" spans="2:2">
      <c r="B650" s="149">
        <v>44478</v>
      </c>
    </row>
    <row r="651" spans="2:2">
      <c r="B651" s="149">
        <v>44479</v>
      </c>
    </row>
    <row r="652" spans="2:2">
      <c r="B652" s="149">
        <v>44480</v>
      </c>
    </row>
    <row r="653" spans="2:2">
      <c r="B653" s="149">
        <v>44481</v>
      </c>
    </row>
    <row r="654" spans="2:2">
      <c r="B654" s="149">
        <v>44482</v>
      </c>
    </row>
    <row r="655" spans="2:2">
      <c r="B655" s="149">
        <v>44483</v>
      </c>
    </row>
    <row r="656" spans="2:2">
      <c r="B656" s="149">
        <v>44484</v>
      </c>
    </row>
    <row r="657" spans="2:2">
      <c r="B657" s="149">
        <v>44485</v>
      </c>
    </row>
    <row r="658" spans="2:2">
      <c r="B658" s="149">
        <v>44486</v>
      </c>
    </row>
    <row r="659" spans="2:2">
      <c r="B659" s="149">
        <v>44487</v>
      </c>
    </row>
    <row r="660" spans="2:2">
      <c r="B660" s="149">
        <v>44488</v>
      </c>
    </row>
    <row r="661" spans="2:2">
      <c r="B661" s="149">
        <v>44489</v>
      </c>
    </row>
    <row r="662" spans="2:2">
      <c r="B662" s="149">
        <v>44490</v>
      </c>
    </row>
    <row r="663" spans="2:2">
      <c r="B663" s="149">
        <v>44491</v>
      </c>
    </row>
    <row r="664" spans="2:2">
      <c r="B664" s="149">
        <v>44492</v>
      </c>
    </row>
    <row r="665" spans="2:2">
      <c r="B665" s="149">
        <v>44493</v>
      </c>
    </row>
    <row r="666" spans="2:2">
      <c r="B666" s="149">
        <v>44494</v>
      </c>
    </row>
    <row r="667" spans="2:2">
      <c r="B667" s="149">
        <v>44495</v>
      </c>
    </row>
    <row r="668" spans="2:2">
      <c r="B668" s="149">
        <v>44496</v>
      </c>
    </row>
    <row r="669" spans="2:2">
      <c r="B669" s="149">
        <v>44497</v>
      </c>
    </row>
    <row r="670" spans="2:2">
      <c r="B670" s="149">
        <v>44498</v>
      </c>
    </row>
    <row r="671" spans="2:2">
      <c r="B671" s="149">
        <v>44499</v>
      </c>
    </row>
    <row r="672" spans="2:2">
      <c r="B672" s="149">
        <v>44500</v>
      </c>
    </row>
    <row r="673" spans="2:2">
      <c r="B673" s="149">
        <v>44501</v>
      </c>
    </row>
    <row r="674" spans="2:2">
      <c r="B674" s="149">
        <v>44502</v>
      </c>
    </row>
    <row r="675" spans="2:2">
      <c r="B675" s="149">
        <v>44503</v>
      </c>
    </row>
    <row r="676" spans="2:2">
      <c r="B676" s="149">
        <v>44504</v>
      </c>
    </row>
    <row r="677" spans="2:2">
      <c r="B677" s="149">
        <v>44505</v>
      </c>
    </row>
    <row r="678" spans="2:2">
      <c r="B678" s="149">
        <v>44506</v>
      </c>
    </row>
    <row r="679" spans="2:2">
      <c r="B679" s="149">
        <v>44507</v>
      </c>
    </row>
    <row r="680" spans="2:2">
      <c r="B680" s="149">
        <v>44508</v>
      </c>
    </row>
    <row r="681" spans="2:2">
      <c r="B681" s="149">
        <v>44509</v>
      </c>
    </row>
    <row r="682" spans="2:2">
      <c r="B682" s="149">
        <v>44510</v>
      </c>
    </row>
    <row r="683" spans="2:2">
      <c r="B683" s="149">
        <v>44511</v>
      </c>
    </row>
    <row r="684" spans="2:2">
      <c r="B684" s="149">
        <v>44512</v>
      </c>
    </row>
    <row r="685" spans="2:2">
      <c r="B685" s="149">
        <v>44513</v>
      </c>
    </row>
    <row r="686" spans="2:2">
      <c r="B686" s="149">
        <v>44514</v>
      </c>
    </row>
    <row r="687" spans="2:2">
      <c r="B687" s="149">
        <v>44515</v>
      </c>
    </row>
    <row r="688" spans="2:2">
      <c r="B688" s="149">
        <v>44516</v>
      </c>
    </row>
    <row r="689" spans="2:2">
      <c r="B689" s="149">
        <v>44517</v>
      </c>
    </row>
    <row r="690" spans="2:2">
      <c r="B690" s="149">
        <v>44518</v>
      </c>
    </row>
    <row r="691" spans="2:2">
      <c r="B691" s="149">
        <v>44519</v>
      </c>
    </row>
    <row r="692" spans="2:2">
      <c r="B692" s="149">
        <v>44520</v>
      </c>
    </row>
    <row r="693" spans="2:2">
      <c r="B693" s="149">
        <v>44521</v>
      </c>
    </row>
    <row r="694" spans="2:2">
      <c r="B694" s="149">
        <v>44522</v>
      </c>
    </row>
    <row r="695" spans="2:2">
      <c r="B695" s="149">
        <v>44523</v>
      </c>
    </row>
    <row r="696" spans="2:2">
      <c r="B696" s="149">
        <v>44524</v>
      </c>
    </row>
    <row r="697" spans="2:2">
      <c r="B697" s="149">
        <v>44525</v>
      </c>
    </row>
    <row r="698" spans="2:2">
      <c r="B698" s="149">
        <v>44526</v>
      </c>
    </row>
    <row r="699" spans="2:2">
      <c r="B699" s="149">
        <v>44527</v>
      </c>
    </row>
    <row r="700" spans="2:2">
      <c r="B700" s="149">
        <v>44528</v>
      </c>
    </row>
    <row r="701" spans="2:2">
      <c r="B701" s="149">
        <v>44529</v>
      </c>
    </row>
    <row r="702" spans="2:2">
      <c r="B702" s="149">
        <v>44530</v>
      </c>
    </row>
    <row r="703" spans="2:2">
      <c r="B703" s="149">
        <v>44531</v>
      </c>
    </row>
    <row r="704" spans="2:2">
      <c r="B704" s="149">
        <v>44532</v>
      </c>
    </row>
    <row r="705" spans="2:2">
      <c r="B705" s="149">
        <v>44533</v>
      </c>
    </row>
    <row r="706" spans="2:2">
      <c r="B706" s="149">
        <v>44534</v>
      </c>
    </row>
    <row r="707" spans="2:2">
      <c r="B707" s="149">
        <v>44535</v>
      </c>
    </row>
    <row r="708" spans="2:2">
      <c r="B708" s="149">
        <v>44536</v>
      </c>
    </row>
    <row r="709" spans="2:2">
      <c r="B709" s="149">
        <v>44537</v>
      </c>
    </row>
    <row r="710" spans="2:2">
      <c r="B710" s="149">
        <v>44538</v>
      </c>
    </row>
    <row r="711" spans="2:2">
      <c r="B711" s="149">
        <v>44539</v>
      </c>
    </row>
    <row r="712" spans="2:2">
      <c r="B712" s="149">
        <v>44540</v>
      </c>
    </row>
    <row r="713" spans="2:2">
      <c r="B713" s="149">
        <v>44541</v>
      </c>
    </row>
    <row r="714" spans="2:2">
      <c r="B714" s="149">
        <v>44542</v>
      </c>
    </row>
    <row r="715" spans="2:2">
      <c r="B715" s="149">
        <v>44543</v>
      </c>
    </row>
    <row r="716" spans="2:2">
      <c r="B716" s="149">
        <v>44544</v>
      </c>
    </row>
    <row r="717" spans="2:2">
      <c r="B717" s="149">
        <v>44545</v>
      </c>
    </row>
    <row r="718" spans="2:2">
      <c r="B718" s="149">
        <v>44546</v>
      </c>
    </row>
    <row r="719" spans="2:2">
      <c r="B719" s="149">
        <v>44547</v>
      </c>
    </row>
    <row r="720" spans="2:2">
      <c r="B720" s="149">
        <v>44548</v>
      </c>
    </row>
    <row r="721" spans="2:2">
      <c r="B721" s="149">
        <v>44549</v>
      </c>
    </row>
    <row r="722" spans="2:2">
      <c r="B722" s="149">
        <v>44550</v>
      </c>
    </row>
    <row r="723" spans="2:2">
      <c r="B723" s="149">
        <v>44551</v>
      </c>
    </row>
    <row r="724" spans="2:2">
      <c r="B724" s="149">
        <v>44552</v>
      </c>
    </row>
    <row r="725" spans="2:2">
      <c r="B725" s="149">
        <v>44553</v>
      </c>
    </row>
    <row r="726" spans="2:2">
      <c r="B726" s="149">
        <v>44554</v>
      </c>
    </row>
    <row r="727" spans="2:2">
      <c r="B727" s="149">
        <v>44555</v>
      </c>
    </row>
    <row r="728" spans="2:2">
      <c r="B728" s="149">
        <v>44556</v>
      </c>
    </row>
    <row r="729" spans="2:2">
      <c r="B729" s="149">
        <v>44557</v>
      </c>
    </row>
    <row r="730" spans="2:2">
      <c r="B730" s="149">
        <v>44558</v>
      </c>
    </row>
    <row r="731" spans="2:2">
      <c r="B731" s="149">
        <v>44559</v>
      </c>
    </row>
    <row r="732" spans="2:2">
      <c r="B732" s="149">
        <v>44560</v>
      </c>
    </row>
    <row r="733" spans="2:2">
      <c r="B733" s="149">
        <v>44561</v>
      </c>
    </row>
    <row r="734" spans="2:2">
      <c r="B734" s="149">
        <v>44562</v>
      </c>
    </row>
    <row r="735" spans="2:2">
      <c r="B735" s="149">
        <v>44563</v>
      </c>
    </row>
    <row r="736" spans="2:2">
      <c r="B736" s="149">
        <v>44564</v>
      </c>
    </row>
    <row r="737" spans="2:2">
      <c r="B737" s="149">
        <v>44565</v>
      </c>
    </row>
    <row r="738" spans="2:2">
      <c r="B738" s="149">
        <v>44566</v>
      </c>
    </row>
    <row r="739" spans="2:2">
      <c r="B739" s="149">
        <v>44567</v>
      </c>
    </row>
    <row r="740" spans="2:2">
      <c r="B740" s="149">
        <v>44568</v>
      </c>
    </row>
    <row r="741" spans="2:2">
      <c r="B741" s="149">
        <v>44569</v>
      </c>
    </row>
    <row r="742" spans="2:2">
      <c r="B742" s="149">
        <v>44570</v>
      </c>
    </row>
    <row r="743" spans="2:2">
      <c r="B743" s="149">
        <v>44571</v>
      </c>
    </row>
    <row r="744" spans="2:2">
      <c r="B744" s="149">
        <v>44572</v>
      </c>
    </row>
    <row r="745" spans="2:2">
      <c r="B745" s="149">
        <v>44573</v>
      </c>
    </row>
    <row r="746" spans="2:2">
      <c r="B746" s="149">
        <v>44574</v>
      </c>
    </row>
    <row r="747" spans="2:2">
      <c r="B747" s="149">
        <v>44575</v>
      </c>
    </row>
    <row r="748" spans="2:2">
      <c r="B748" s="149">
        <v>44576</v>
      </c>
    </row>
    <row r="749" spans="2:2">
      <c r="B749" s="149">
        <v>44577</v>
      </c>
    </row>
    <row r="750" spans="2:2">
      <c r="B750" s="149">
        <v>44578</v>
      </c>
    </row>
    <row r="751" spans="2:2">
      <c r="B751" s="149">
        <v>44579</v>
      </c>
    </row>
    <row r="752" spans="2:2">
      <c r="B752" s="149">
        <v>44580</v>
      </c>
    </row>
    <row r="753" spans="2:2">
      <c r="B753" s="149">
        <v>44581</v>
      </c>
    </row>
    <row r="754" spans="2:2">
      <c r="B754" s="149">
        <v>44582</v>
      </c>
    </row>
    <row r="755" spans="2:2">
      <c r="B755" s="149">
        <v>44583</v>
      </c>
    </row>
    <row r="756" spans="2:2">
      <c r="B756" s="149">
        <v>44584</v>
      </c>
    </row>
    <row r="757" spans="2:2">
      <c r="B757" s="149">
        <v>44585</v>
      </c>
    </row>
    <row r="758" spans="2:2">
      <c r="B758" s="149">
        <v>44586</v>
      </c>
    </row>
    <row r="759" spans="2:2">
      <c r="B759" s="149">
        <v>44587</v>
      </c>
    </row>
    <row r="760" spans="2:2">
      <c r="B760" s="149">
        <v>44588</v>
      </c>
    </row>
    <row r="761" spans="2:2">
      <c r="B761" s="149">
        <v>44589</v>
      </c>
    </row>
    <row r="762" spans="2:2">
      <c r="B762" s="149">
        <v>44590</v>
      </c>
    </row>
    <row r="763" spans="2:2">
      <c r="B763" s="149">
        <v>44591</v>
      </c>
    </row>
    <row r="764" spans="2:2">
      <c r="B764" s="149">
        <v>44592</v>
      </c>
    </row>
    <row r="765" spans="2:2">
      <c r="B765" s="149">
        <v>44593</v>
      </c>
    </row>
    <row r="766" spans="2:2">
      <c r="B766" s="149">
        <v>44594</v>
      </c>
    </row>
    <row r="767" spans="2:2">
      <c r="B767" s="149">
        <v>44595</v>
      </c>
    </row>
    <row r="768" spans="2:2">
      <c r="B768" s="149">
        <v>44596</v>
      </c>
    </row>
    <row r="769" spans="2:2">
      <c r="B769" s="149">
        <v>44597</v>
      </c>
    </row>
    <row r="770" spans="2:2">
      <c r="B770" s="149">
        <v>44598</v>
      </c>
    </row>
    <row r="771" spans="2:2">
      <c r="B771" s="149">
        <v>44599</v>
      </c>
    </row>
    <row r="772" spans="2:2">
      <c r="B772" s="149">
        <v>44600</v>
      </c>
    </row>
    <row r="773" spans="2:2">
      <c r="B773" s="149">
        <v>44601</v>
      </c>
    </row>
    <row r="774" spans="2:2">
      <c r="B774" s="149">
        <v>44602</v>
      </c>
    </row>
    <row r="775" spans="2:2">
      <c r="B775" s="149">
        <v>44603</v>
      </c>
    </row>
    <row r="776" spans="2:2">
      <c r="B776" s="149">
        <v>44604</v>
      </c>
    </row>
    <row r="777" spans="2:2">
      <c r="B777" s="149">
        <v>44605</v>
      </c>
    </row>
    <row r="778" spans="2:2">
      <c r="B778" s="149">
        <v>44606</v>
      </c>
    </row>
    <row r="779" spans="2:2">
      <c r="B779" s="149">
        <v>44607</v>
      </c>
    </row>
    <row r="780" spans="2:2">
      <c r="B780" s="149">
        <v>44608</v>
      </c>
    </row>
    <row r="781" spans="2:2">
      <c r="B781" s="149">
        <v>44609</v>
      </c>
    </row>
    <row r="782" spans="2:2">
      <c r="B782" s="149">
        <v>44610</v>
      </c>
    </row>
    <row r="783" spans="2:2">
      <c r="B783" s="149">
        <v>44611</v>
      </c>
    </row>
    <row r="784" spans="2:2">
      <c r="B784" s="149">
        <v>44612</v>
      </c>
    </row>
    <row r="785" spans="2:2">
      <c r="B785" s="149">
        <v>44613</v>
      </c>
    </row>
    <row r="786" spans="2:2">
      <c r="B786" s="149">
        <v>44614</v>
      </c>
    </row>
    <row r="787" spans="2:2">
      <c r="B787" s="149">
        <v>44615</v>
      </c>
    </row>
    <row r="788" spans="2:2">
      <c r="B788" s="149">
        <v>44616</v>
      </c>
    </row>
    <row r="789" spans="2:2">
      <c r="B789" s="149">
        <v>44617</v>
      </c>
    </row>
    <row r="790" spans="2:2">
      <c r="B790" s="149">
        <v>44618</v>
      </c>
    </row>
    <row r="791" spans="2:2">
      <c r="B791" s="149">
        <v>44619</v>
      </c>
    </row>
    <row r="792" spans="2:2">
      <c r="B792" s="149">
        <v>44620</v>
      </c>
    </row>
    <row r="793" spans="2:2">
      <c r="B793" s="149">
        <v>44621</v>
      </c>
    </row>
    <row r="794" spans="2:2">
      <c r="B794" s="149">
        <v>44622</v>
      </c>
    </row>
    <row r="795" spans="2:2">
      <c r="B795" s="149">
        <v>44623</v>
      </c>
    </row>
    <row r="796" spans="2:2">
      <c r="B796" s="149">
        <v>44624</v>
      </c>
    </row>
    <row r="797" spans="2:2">
      <c r="B797" s="149">
        <v>44625</v>
      </c>
    </row>
    <row r="798" spans="2:2">
      <c r="B798" s="149">
        <v>44626</v>
      </c>
    </row>
    <row r="799" spans="2:2">
      <c r="B799" s="149">
        <v>44627</v>
      </c>
    </row>
    <row r="800" spans="2:2">
      <c r="B800" s="149">
        <v>44628</v>
      </c>
    </row>
    <row r="801" spans="2:2">
      <c r="B801" s="149">
        <v>44629</v>
      </c>
    </row>
    <row r="802" spans="2:2">
      <c r="B802" s="149">
        <v>44630</v>
      </c>
    </row>
    <row r="803" spans="2:2">
      <c r="B803" s="149">
        <v>44631</v>
      </c>
    </row>
    <row r="804" spans="2:2">
      <c r="B804" s="149">
        <v>44632</v>
      </c>
    </row>
    <row r="805" spans="2:2">
      <c r="B805" s="149">
        <v>44633</v>
      </c>
    </row>
    <row r="806" spans="2:2">
      <c r="B806" s="149">
        <v>44634</v>
      </c>
    </row>
    <row r="807" spans="2:2">
      <c r="B807" s="149">
        <v>44635</v>
      </c>
    </row>
    <row r="808" spans="2:2">
      <c r="B808" s="149">
        <v>44636</v>
      </c>
    </row>
    <row r="809" spans="2:2">
      <c r="B809" s="149">
        <v>44637</v>
      </c>
    </row>
    <row r="810" spans="2:2">
      <c r="B810" s="149">
        <v>44638</v>
      </c>
    </row>
    <row r="811" spans="2:2">
      <c r="B811" s="149">
        <v>44639</v>
      </c>
    </row>
    <row r="812" spans="2:2">
      <c r="B812" s="149">
        <v>44640</v>
      </c>
    </row>
    <row r="813" spans="2:2">
      <c r="B813" s="149">
        <v>44641</v>
      </c>
    </row>
    <row r="814" spans="2:2">
      <c r="B814" s="149">
        <v>44642</v>
      </c>
    </row>
    <row r="815" spans="2:2">
      <c r="B815" s="149">
        <v>44643</v>
      </c>
    </row>
    <row r="816" spans="2:2">
      <c r="B816" s="149">
        <v>44644</v>
      </c>
    </row>
    <row r="817" spans="2:2">
      <c r="B817" s="149">
        <v>44645</v>
      </c>
    </row>
    <row r="818" spans="2:2">
      <c r="B818" s="149">
        <v>44646</v>
      </c>
    </row>
    <row r="819" spans="2:2">
      <c r="B819" s="149">
        <v>44647</v>
      </c>
    </row>
    <row r="820" spans="2:2">
      <c r="B820" s="149">
        <v>44648</v>
      </c>
    </row>
    <row r="821" spans="2:2">
      <c r="B821" s="149">
        <v>44649</v>
      </c>
    </row>
    <row r="822" spans="2:2">
      <c r="B822" s="149">
        <v>44650</v>
      </c>
    </row>
    <row r="823" spans="2:2">
      <c r="B823" s="149">
        <v>44651</v>
      </c>
    </row>
    <row r="824" spans="2:2">
      <c r="B824" s="149">
        <v>44652</v>
      </c>
    </row>
    <row r="825" spans="2:2">
      <c r="B825" s="149">
        <v>44653</v>
      </c>
    </row>
    <row r="826" spans="2:2">
      <c r="B826" s="149">
        <v>44654</v>
      </c>
    </row>
    <row r="827" spans="2:2">
      <c r="B827" s="149">
        <v>44655</v>
      </c>
    </row>
    <row r="828" spans="2:2">
      <c r="B828" s="149">
        <v>44656</v>
      </c>
    </row>
    <row r="829" spans="2:2">
      <c r="B829" s="149">
        <v>44657</v>
      </c>
    </row>
    <row r="830" spans="2:2">
      <c r="B830" s="149">
        <v>44658</v>
      </c>
    </row>
    <row r="831" spans="2:2">
      <c r="B831" s="149">
        <v>44659</v>
      </c>
    </row>
    <row r="832" spans="2:2">
      <c r="B832" s="149">
        <v>44660</v>
      </c>
    </row>
    <row r="833" spans="2:2">
      <c r="B833" s="149">
        <v>44661</v>
      </c>
    </row>
    <row r="834" spans="2:2">
      <c r="B834" s="149">
        <v>44662</v>
      </c>
    </row>
    <row r="835" spans="2:2">
      <c r="B835" s="149">
        <v>44663</v>
      </c>
    </row>
    <row r="836" spans="2:2">
      <c r="B836" s="149">
        <v>44664</v>
      </c>
    </row>
    <row r="837" spans="2:2">
      <c r="B837" s="149">
        <v>44665</v>
      </c>
    </row>
    <row r="838" spans="2:2">
      <c r="B838" s="149">
        <v>44666</v>
      </c>
    </row>
    <row r="839" spans="2:2">
      <c r="B839" s="149">
        <v>44667</v>
      </c>
    </row>
    <row r="840" spans="2:2">
      <c r="B840" s="149">
        <v>44668</v>
      </c>
    </row>
    <row r="841" spans="2:2">
      <c r="B841" s="149">
        <v>44669</v>
      </c>
    </row>
    <row r="842" spans="2:2">
      <c r="B842" s="149">
        <v>44670</v>
      </c>
    </row>
    <row r="843" spans="2:2">
      <c r="B843" s="149">
        <v>44671</v>
      </c>
    </row>
    <row r="844" spans="2:2">
      <c r="B844" s="149">
        <v>44672</v>
      </c>
    </row>
    <row r="845" spans="2:2">
      <c r="B845" s="149">
        <v>44673</v>
      </c>
    </row>
    <row r="846" spans="2:2">
      <c r="B846" s="149">
        <v>44674</v>
      </c>
    </row>
    <row r="847" spans="2:2">
      <c r="B847" s="149">
        <v>44675</v>
      </c>
    </row>
    <row r="848" spans="2:2">
      <c r="B848" s="149">
        <v>44676</v>
      </c>
    </row>
    <row r="849" spans="2:2">
      <c r="B849" s="149">
        <v>44677</v>
      </c>
    </row>
    <row r="850" spans="2:2">
      <c r="B850" s="149">
        <v>44678</v>
      </c>
    </row>
    <row r="851" spans="2:2">
      <c r="B851" s="149">
        <v>44679</v>
      </c>
    </row>
    <row r="852" spans="2:2">
      <c r="B852" s="149">
        <v>44680</v>
      </c>
    </row>
    <row r="853" spans="2:2">
      <c r="B853" s="149">
        <v>44681</v>
      </c>
    </row>
    <row r="854" spans="2:2">
      <c r="B854" s="149">
        <v>44682</v>
      </c>
    </row>
    <row r="855" spans="2:2">
      <c r="B855" s="149">
        <v>44683</v>
      </c>
    </row>
    <row r="856" spans="2:2">
      <c r="B856" s="149">
        <v>44684</v>
      </c>
    </row>
    <row r="857" spans="2:2">
      <c r="B857" s="149">
        <v>44685</v>
      </c>
    </row>
    <row r="858" spans="2:2">
      <c r="B858" s="149">
        <v>44686</v>
      </c>
    </row>
    <row r="859" spans="2:2">
      <c r="B859" s="149">
        <v>44687</v>
      </c>
    </row>
    <row r="860" spans="2:2">
      <c r="B860" s="149">
        <v>44688</v>
      </c>
    </row>
    <row r="861" spans="2:2">
      <c r="B861" s="149">
        <v>44689</v>
      </c>
    </row>
    <row r="862" spans="2:2">
      <c r="B862" s="149">
        <v>44690</v>
      </c>
    </row>
    <row r="863" spans="2:2">
      <c r="B863" s="149">
        <v>44691</v>
      </c>
    </row>
    <row r="864" spans="2:2">
      <c r="B864" s="149">
        <v>44692</v>
      </c>
    </row>
    <row r="865" spans="2:2">
      <c r="B865" s="149">
        <v>44693</v>
      </c>
    </row>
    <row r="866" spans="2:2">
      <c r="B866" s="149">
        <v>44694</v>
      </c>
    </row>
    <row r="867" spans="2:2">
      <c r="B867" s="149">
        <v>44695</v>
      </c>
    </row>
    <row r="868" spans="2:2">
      <c r="B868" s="149">
        <v>44696</v>
      </c>
    </row>
    <row r="869" spans="2:2">
      <c r="B869" s="149">
        <v>44697</v>
      </c>
    </row>
    <row r="870" spans="2:2">
      <c r="B870" s="149">
        <v>44698</v>
      </c>
    </row>
    <row r="871" spans="2:2">
      <c r="B871" s="149">
        <v>44699</v>
      </c>
    </row>
    <row r="872" spans="2:2">
      <c r="B872" s="149">
        <v>44700</v>
      </c>
    </row>
    <row r="873" spans="2:2">
      <c r="B873" s="149">
        <v>44701</v>
      </c>
    </row>
    <row r="874" spans="2:2">
      <c r="B874" s="149">
        <v>44702</v>
      </c>
    </row>
    <row r="875" spans="2:2">
      <c r="B875" s="149">
        <v>44703</v>
      </c>
    </row>
    <row r="876" spans="2:2">
      <c r="B876" s="149">
        <v>44704</v>
      </c>
    </row>
    <row r="877" spans="2:2">
      <c r="B877" s="149">
        <v>44705</v>
      </c>
    </row>
    <row r="878" spans="2:2">
      <c r="B878" s="149">
        <v>44706</v>
      </c>
    </row>
    <row r="879" spans="2:2">
      <c r="B879" s="149">
        <v>44707</v>
      </c>
    </row>
    <row r="880" spans="2:2">
      <c r="B880" s="149">
        <v>44708</v>
      </c>
    </row>
    <row r="881" spans="2:2">
      <c r="B881" s="149">
        <v>44709</v>
      </c>
    </row>
    <row r="882" spans="2:2">
      <c r="B882" s="149">
        <v>44710</v>
      </c>
    </row>
    <row r="883" spans="2:2">
      <c r="B883" s="149">
        <v>44711</v>
      </c>
    </row>
    <row r="884" spans="2:2">
      <c r="B884" s="149">
        <v>44712</v>
      </c>
    </row>
    <row r="885" spans="2:2">
      <c r="B885" s="149">
        <v>44713</v>
      </c>
    </row>
    <row r="886" spans="2:2">
      <c r="B886" s="149">
        <v>44714</v>
      </c>
    </row>
    <row r="887" spans="2:2">
      <c r="B887" s="149">
        <v>44715</v>
      </c>
    </row>
    <row r="888" spans="2:2">
      <c r="B888" s="149">
        <v>44716</v>
      </c>
    </row>
    <row r="889" spans="2:2">
      <c r="B889" s="149">
        <v>44717</v>
      </c>
    </row>
    <row r="890" spans="2:2">
      <c r="B890" s="149">
        <v>44718</v>
      </c>
    </row>
    <row r="891" spans="2:2">
      <c r="B891" s="149">
        <v>44719</v>
      </c>
    </row>
    <row r="892" spans="2:2">
      <c r="B892" s="149">
        <v>44720</v>
      </c>
    </row>
    <row r="893" spans="2:2">
      <c r="B893" s="149">
        <v>44721</v>
      </c>
    </row>
    <row r="894" spans="2:2">
      <c r="B894" s="149">
        <v>44722</v>
      </c>
    </row>
    <row r="895" spans="2:2">
      <c r="B895" s="149">
        <v>44723</v>
      </c>
    </row>
    <row r="896" spans="2:2">
      <c r="B896" s="149">
        <v>44724</v>
      </c>
    </row>
    <row r="897" spans="2:2">
      <c r="B897" s="149">
        <v>44725</v>
      </c>
    </row>
    <row r="898" spans="2:2">
      <c r="B898" s="149">
        <v>44726</v>
      </c>
    </row>
    <row r="899" spans="2:2">
      <c r="B899" s="149">
        <v>44727</v>
      </c>
    </row>
    <row r="900" spans="2:2">
      <c r="B900" s="149">
        <v>44728</v>
      </c>
    </row>
    <row r="901" spans="2:2">
      <c r="B901" s="149">
        <v>44729</v>
      </c>
    </row>
    <row r="902" spans="2:2">
      <c r="B902" s="149">
        <v>44730</v>
      </c>
    </row>
    <row r="903" spans="2:2">
      <c r="B903" s="149">
        <v>44731</v>
      </c>
    </row>
    <row r="904" spans="2:2">
      <c r="B904" s="149">
        <v>44732</v>
      </c>
    </row>
    <row r="905" spans="2:2">
      <c r="B905" s="149">
        <v>44733</v>
      </c>
    </row>
    <row r="906" spans="2:2">
      <c r="B906" s="149">
        <v>44734</v>
      </c>
    </row>
    <row r="907" spans="2:2">
      <c r="B907" s="149">
        <v>44735</v>
      </c>
    </row>
    <row r="908" spans="2:2">
      <c r="B908" s="149">
        <v>44736</v>
      </c>
    </row>
    <row r="909" spans="2:2">
      <c r="B909" s="149">
        <v>44737</v>
      </c>
    </row>
    <row r="910" spans="2:2">
      <c r="B910" s="149">
        <v>44738</v>
      </c>
    </row>
    <row r="911" spans="2:2">
      <c r="B911" s="149">
        <v>44739</v>
      </c>
    </row>
    <row r="912" spans="2:2">
      <c r="B912" s="149">
        <v>44740</v>
      </c>
    </row>
    <row r="913" spans="2:2">
      <c r="B913" s="149">
        <v>44741</v>
      </c>
    </row>
    <row r="914" spans="2:2">
      <c r="B914" s="149">
        <v>44742</v>
      </c>
    </row>
    <row r="915" spans="2:2">
      <c r="B915" s="149">
        <v>44743</v>
      </c>
    </row>
    <row r="916" spans="2:2">
      <c r="B916" s="149">
        <v>44744</v>
      </c>
    </row>
    <row r="917" spans="2:2">
      <c r="B917" s="149">
        <v>44745</v>
      </c>
    </row>
    <row r="918" spans="2:2">
      <c r="B918" s="149">
        <v>44746</v>
      </c>
    </row>
    <row r="919" spans="2:2">
      <c r="B919" s="149">
        <v>44747</v>
      </c>
    </row>
    <row r="920" spans="2:2">
      <c r="B920" s="149">
        <v>44748</v>
      </c>
    </row>
    <row r="921" spans="2:2">
      <c r="B921" s="149">
        <v>44749</v>
      </c>
    </row>
    <row r="922" spans="2:2">
      <c r="B922" s="149">
        <v>44750</v>
      </c>
    </row>
    <row r="923" spans="2:2">
      <c r="B923" s="149">
        <v>44751</v>
      </c>
    </row>
    <row r="924" spans="2:2">
      <c r="B924" s="149">
        <v>44752</v>
      </c>
    </row>
    <row r="925" spans="2:2">
      <c r="B925" s="149">
        <v>44753</v>
      </c>
    </row>
    <row r="926" spans="2:2">
      <c r="B926" s="149">
        <v>44754</v>
      </c>
    </row>
    <row r="927" spans="2:2">
      <c r="B927" s="149">
        <v>44755</v>
      </c>
    </row>
    <row r="928" spans="2:2">
      <c r="B928" s="149">
        <v>44756</v>
      </c>
    </row>
    <row r="929" spans="2:2">
      <c r="B929" s="149">
        <v>44757</v>
      </c>
    </row>
    <row r="930" spans="2:2">
      <c r="B930" s="149">
        <v>44758</v>
      </c>
    </row>
    <row r="931" spans="2:2">
      <c r="B931" s="149">
        <v>44759</v>
      </c>
    </row>
    <row r="932" spans="2:2">
      <c r="B932" s="149">
        <v>44760</v>
      </c>
    </row>
    <row r="933" spans="2:2">
      <c r="B933" s="149">
        <v>44761</v>
      </c>
    </row>
    <row r="934" spans="2:2">
      <c r="B934" s="149">
        <v>44762</v>
      </c>
    </row>
    <row r="935" spans="2:2">
      <c r="B935" s="149">
        <v>44763</v>
      </c>
    </row>
    <row r="936" spans="2:2">
      <c r="B936" s="149">
        <v>44764</v>
      </c>
    </row>
    <row r="937" spans="2:2">
      <c r="B937" s="149">
        <v>44765</v>
      </c>
    </row>
    <row r="938" spans="2:2">
      <c r="B938" s="149">
        <v>44766</v>
      </c>
    </row>
    <row r="939" spans="2:2">
      <c r="B939" s="149">
        <v>44767</v>
      </c>
    </row>
    <row r="940" spans="2:2">
      <c r="B940" s="149">
        <v>44768</v>
      </c>
    </row>
    <row r="941" spans="2:2">
      <c r="B941" s="149">
        <v>44769</v>
      </c>
    </row>
    <row r="942" spans="2:2">
      <c r="B942" s="149">
        <v>44770</v>
      </c>
    </row>
    <row r="943" spans="2:2">
      <c r="B943" s="149">
        <v>44771</v>
      </c>
    </row>
    <row r="944" spans="2:2">
      <c r="B944" s="149">
        <v>44772</v>
      </c>
    </row>
    <row r="945" spans="2:2">
      <c r="B945" s="149">
        <v>44773</v>
      </c>
    </row>
    <row r="946" spans="2:2">
      <c r="B946" s="149">
        <v>44774</v>
      </c>
    </row>
    <row r="947" spans="2:2">
      <c r="B947" s="149">
        <v>44775</v>
      </c>
    </row>
    <row r="948" spans="2:2">
      <c r="B948" s="149">
        <v>44776</v>
      </c>
    </row>
    <row r="949" spans="2:2">
      <c r="B949" s="149">
        <v>44777</v>
      </c>
    </row>
    <row r="950" spans="2:2">
      <c r="B950" s="149">
        <v>44778</v>
      </c>
    </row>
    <row r="951" spans="2:2">
      <c r="B951" s="149">
        <v>44779</v>
      </c>
    </row>
    <row r="952" spans="2:2">
      <c r="B952" s="149">
        <v>44780</v>
      </c>
    </row>
    <row r="953" spans="2:2">
      <c r="B953" s="149">
        <v>44781</v>
      </c>
    </row>
    <row r="954" spans="2:2">
      <c r="B954" s="149">
        <v>44782</v>
      </c>
    </row>
    <row r="955" spans="2:2">
      <c r="B955" s="149">
        <v>44783</v>
      </c>
    </row>
    <row r="956" spans="2:2">
      <c r="B956" s="149">
        <v>44784</v>
      </c>
    </row>
    <row r="957" spans="2:2">
      <c r="B957" s="149">
        <v>44785</v>
      </c>
    </row>
    <row r="958" spans="2:2">
      <c r="B958" s="149">
        <v>44786</v>
      </c>
    </row>
    <row r="959" spans="2:2">
      <c r="B959" s="149">
        <v>44787</v>
      </c>
    </row>
    <row r="960" spans="2:2">
      <c r="B960" s="149">
        <v>44788</v>
      </c>
    </row>
    <row r="961" spans="2:2">
      <c r="B961" s="149">
        <v>44789</v>
      </c>
    </row>
    <row r="962" spans="2:2">
      <c r="B962" s="149">
        <v>44790</v>
      </c>
    </row>
    <row r="963" spans="2:2">
      <c r="B963" s="149">
        <v>44791</v>
      </c>
    </row>
    <row r="964" spans="2:2">
      <c r="B964" s="149">
        <v>44792</v>
      </c>
    </row>
    <row r="965" spans="2:2">
      <c r="B965" s="149">
        <v>44793</v>
      </c>
    </row>
    <row r="966" spans="2:2">
      <c r="B966" s="149">
        <v>44794</v>
      </c>
    </row>
    <row r="967" spans="2:2">
      <c r="B967" s="149">
        <v>44795</v>
      </c>
    </row>
    <row r="968" spans="2:2">
      <c r="B968" s="149">
        <v>44796</v>
      </c>
    </row>
    <row r="969" spans="2:2">
      <c r="B969" s="149">
        <v>44797</v>
      </c>
    </row>
    <row r="970" spans="2:2">
      <c r="B970" s="149">
        <v>44798</v>
      </c>
    </row>
    <row r="971" spans="2:2">
      <c r="B971" s="149">
        <v>44799</v>
      </c>
    </row>
    <row r="972" spans="2:2">
      <c r="B972" s="149">
        <v>44800</v>
      </c>
    </row>
    <row r="973" spans="2:2">
      <c r="B973" s="149">
        <v>44801</v>
      </c>
    </row>
    <row r="974" spans="2:2">
      <c r="B974" s="149">
        <v>44802</v>
      </c>
    </row>
    <row r="975" spans="2:2">
      <c r="B975" s="149">
        <v>44803</v>
      </c>
    </row>
    <row r="976" spans="2:2">
      <c r="B976" s="149">
        <v>44804</v>
      </c>
    </row>
    <row r="977" spans="2:2">
      <c r="B977" s="149">
        <v>44805</v>
      </c>
    </row>
    <row r="978" spans="2:2">
      <c r="B978" s="149">
        <v>44806</v>
      </c>
    </row>
    <row r="979" spans="2:2">
      <c r="B979" s="149">
        <v>44807</v>
      </c>
    </row>
    <row r="980" spans="2:2">
      <c r="B980" s="149">
        <v>44808</v>
      </c>
    </row>
    <row r="981" spans="2:2">
      <c r="B981" s="149">
        <v>44809</v>
      </c>
    </row>
    <row r="982" spans="2:2">
      <c r="B982" s="149">
        <v>44810</v>
      </c>
    </row>
    <row r="983" spans="2:2">
      <c r="B983" s="149">
        <v>44811</v>
      </c>
    </row>
    <row r="984" spans="2:2">
      <c r="B984" s="149">
        <v>44812</v>
      </c>
    </row>
    <row r="985" spans="2:2">
      <c r="B985" s="149">
        <v>44813</v>
      </c>
    </row>
    <row r="986" spans="2:2">
      <c r="B986" s="149">
        <v>44814</v>
      </c>
    </row>
    <row r="987" spans="2:2">
      <c r="B987" s="149">
        <v>44815</v>
      </c>
    </row>
    <row r="988" spans="2:2">
      <c r="B988" s="149">
        <v>44816</v>
      </c>
    </row>
    <row r="989" spans="2:2">
      <c r="B989" s="149">
        <v>44817</v>
      </c>
    </row>
    <row r="990" spans="2:2">
      <c r="B990" s="149">
        <v>44818</v>
      </c>
    </row>
    <row r="991" spans="2:2">
      <c r="B991" s="149">
        <v>44819</v>
      </c>
    </row>
    <row r="992" spans="2:2">
      <c r="B992" s="149">
        <v>44820</v>
      </c>
    </row>
    <row r="993" spans="2:2">
      <c r="B993" s="149">
        <v>44821</v>
      </c>
    </row>
    <row r="994" spans="2:2">
      <c r="B994" s="149">
        <v>44822</v>
      </c>
    </row>
    <row r="995" spans="2:2">
      <c r="B995" s="149">
        <v>44823</v>
      </c>
    </row>
    <row r="996" spans="2:2">
      <c r="B996" s="149">
        <v>44824</v>
      </c>
    </row>
    <row r="997" spans="2:2">
      <c r="B997" s="149">
        <v>44825</v>
      </c>
    </row>
    <row r="998" spans="2:2">
      <c r="B998" s="149">
        <v>44826</v>
      </c>
    </row>
    <row r="999" spans="2:2">
      <c r="B999" s="149">
        <v>44827</v>
      </c>
    </row>
    <row r="1000" spans="2:2">
      <c r="B1000" s="149">
        <v>44828</v>
      </c>
    </row>
    <row r="1001" spans="2:2">
      <c r="B1001" s="149">
        <v>44829</v>
      </c>
    </row>
    <row r="1002" spans="2:2">
      <c r="B1002" s="149">
        <v>44830</v>
      </c>
    </row>
    <row r="1003" spans="2:2">
      <c r="B1003" s="149">
        <v>44831</v>
      </c>
    </row>
    <row r="1004" spans="2:2">
      <c r="B1004" s="149">
        <v>44832</v>
      </c>
    </row>
    <row r="1005" spans="2:2">
      <c r="B1005" s="149">
        <v>44833</v>
      </c>
    </row>
    <row r="1006" spans="2:2">
      <c r="B1006" s="149">
        <v>44834</v>
      </c>
    </row>
    <row r="1007" spans="2:2">
      <c r="B1007" s="149">
        <v>44835</v>
      </c>
    </row>
    <row r="1008" spans="2:2">
      <c r="B1008" s="149">
        <v>44836</v>
      </c>
    </row>
    <row r="1009" spans="2:2">
      <c r="B1009" s="149">
        <v>44837</v>
      </c>
    </row>
    <row r="1010" spans="2:2">
      <c r="B1010" s="149">
        <v>44838</v>
      </c>
    </row>
    <row r="1011" spans="2:2">
      <c r="B1011" s="149">
        <v>44839</v>
      </c>
    </row>
    <row r="1012" spans="2:2">
      <c r="B1012" s="149">
        <v>44840</v>
      </c>
    </row>
    <row r="1013" spans="2:2">
      <c r="B1013" s="149">
        <v>44841</v>
      </c>
    </row>
    <row r="1014" spans="2:2">
      <c r="B1014" s="149">
        <v>44842</v>
      </c>
    </row>
    <row r="1015" spans="2:2">
      <c r="B1015" s="149">
        <v>44843</v>
      </c>
    </row>
    <row r="1016" spans="2:2">
      <c r="B1016" s="149">
        <v>44844</v>
      </c>
    </row>
    <row r="1017" spans="2:2">
      <c r="B1017" s="149">
        <v>44845</v>
      </c>
    </row>
    <row r="1018" spans="2:2">
      <c r="B1018" s="149">
        <v>44846</v>
      </c>
    </row>
    <row r="1019" spans="2:2">
      <c r="B1019" s="149">
        <v>44847</v>
      </c>
    </row>
    <row r="1020" spans="2:2">
      <c r="B1020" s="149">
        <v>44848</v>
      </c>
    </row>
    <row r="1021" spans="2:2">
      <c r="B1021" s="149">
        <v>44849</v>
      </c>
    </row>
    <row r="1022" spans="2:2">
      <c r="B1022" s="149">
        <v>44850</v>
      </c>
    </row>
    <row r="1023" spans="2:2">
      <c r="B1023" s="149">
        <v>44851</v>
      </c>
    </row>
    <row r="1024" spans="2:2">
      <c r="B1024" s="149">
        <v>44852</v>
      </c>
    </row>
    <row r="1025" spans="2:2">
      <c r="B1025" s="149">
        <v>44853</v>
      </c>
    </row>
    <row r="1026" spans="2:2">
      <c r="B1026" s="149">
        <v>44854</v>
      </c>
    </row>
    <row r="1027" spans="2:2">
      <c r="B1027" s="149">
        <v>44855</v>
      </c>
    </row>
    <row r="1028" spans="2:2">
      <c r="B1028" s="149">
        <v>44856</v>
      </c>
    </row>
    <row r="1029" spans="2:2">
      <c r="B1029" s="149">
        <v>44857</v>
      </c>
    </row>
    <row r="1030" spans="2:2">
      <c r="B1030" s="149">
        <v>44858</v>
      </c>
    </row>
    <row r="1031" spans="2:2">
      <c r="B1031" s="149">
        <v>44859</v>
      </c>
    </row>
    <row r="1032" spans="2:2">
      <c r="B1032" s="149">
        <v>44860</v>
      </c>
    </row>
    <row r="1033" spans="2:2">
      <c r="B1033" s="149">
        <v>44861</v>
      </c>
    </row>
    <row r="1034" spans="2:2">
      <c r="B1034" s="149">
        <v>44862</v>
      </c>
    </row>
    <row r="1035" spans="2:2">
      <c r="B1035" s="149">
        <v>44863</v>
      </c>
    </row>
    <row r="1036" spans="2:2">
      <c r="B1036" s="149">
        <v>44864</v>
      </c>
    </row>
    <row r="1037" spans="2:2">
      <c r="B1037" s="149">
        <v>44865</v>
      </c>
    </row>
    <row r="1038" spans="2:2">
      <c r="B1038" s="149">
        <v>44866</v>
      </c>
    </row>
    <row r="1039" spans="2:2">
      <c r="B1039" s="149">
        <v>44867</v>
      </c>
    </row>
    <row r="1040" spans="2:2">
      <c r="B1040" s="149">
        <v>44868</v>
      </c>
    </row>
    <row r="1041" spans="2:2">
      <c r="B1041" s="149">
        <v>44869</v>
      </c>
    </row>
    <row r="1042" spans="2:2">
      <c r="B1042" s="149">
        <v>44870</v>
      </c>
    </row>
    <row r="1043" spans="2:2">
      <c r="B1043" s="149">
        <v>44871</v>
      </c>
    </row>
    <row r="1044" spans="2:2">
      <c r="B1044" s="149">
        <v>44872</v>
      </c>
    </row>
    <row r="1045" spans="2:2">
      <c r="B1045" s="149">
        <v>44873</v>
      </c>
    </row>
    <row r="1046" spans="2:2">
      <c r="B1046" s="149">
        <v>44874</v>
      </c>
    </row>
    <row r="1047" spans="2:2">
      <c r="B1047" s="149">
        <v>44875</v>
      </c>
    </row>
    <row r="1048" spans="2:2">
      <c r="B1048" s="149">
        <v>44876</v>
      </c>
    </row>
    <row r="1049" spans="2:2">
      <c r="B1049" s="149">
        <v>44877</v>
      </c>
    </row>
    <row r="1050" spans="2:2">
      <c r="B1050" s="149">
        <v>44878</v>
      </c>
    </row>
    <row r="1051" spans="2:2">
      <c r="B1051" s="149">
        <v>44879</v>
      </c>
    </row>
    <row r="1052" spans="2:2">
      <c r="B1052" s="149">
        <v>44880</v>
      </c>
    </row>
    <row r="1053" spans="2:2">
      <c r="B1053" s="149">
        <v>44881</v>
      </c>
    </row>
    <row r="1054" spans="2:2">
      <c r="B1054" s="149">
        <v>44882</v>
      </c>
    </row>
    <row r="1055" spans="2:2">
      <c r="B1055" s="149">
        <v>44883</v>
      </c>
    </row>
    <row r="1056" spans="2:2">
      <c r="B1056" s="149">
        <v>44884</v>
      </c>
    </row>
    <row r="1057" spans="2:2">
      <c r="B1057" s="149">
        <v>44885</v>
      </c>
    </row>
    <row r="1058" spans="2:2">
      <c r="B1058" s="149">
        <v>44886</v>
      </c>
    </row>
    <row r="1059" spans="2:2">
      <c r="B1059" s="149">
        <v>44887</v>
      </c>
    </row>
    <row r="1060" spans="2:2">
      <c r="B1060" s="149">
        <v>44888</v>
      </c>
    </row>
    <row r="1061" spans="2:2">
      <c r="B1061" s="149">
        <v>44889</v>
      </c>
    </row>
    <row r="1062" spans="2:2">
      <c r="B1062" s="149">
        <v>44890</v>
      </c>
    </row>
    <row r="1063" spans="2:2">
      <c r="B1063" s="149">
        <v>44891</v>
      </c>
    </row>
    <row r="1064" spans="2:2">
      <c r="B1064" s="149">
        <v>44892</v>
      </c>
    </row>
    <row r="1065" spans="2:2">
      <c r="B1065" s="149">
        <v>44893</v>
      </c>
    </row>
    <row r="1066" spans="2:2">
      <c r="B1066" s="149">
        <v>44894</v>
      </c>
    </row>
    <row r="1067" spans="2:2">
      <c r="B1067" s="149">
        <v>44895</v>
      </c>
    </row>
    <row r="1068" spans="2:2">
      <c r="B1068" s="149">
        <v>44896</v>
      </c>
    </row>
    <row r="1069" spans="2:2">
      <c r="B1069" s="149">
        <v>44897</v>
      </c>
    </row>
    <row r="1070" spans="2:2">
      <c r="B1070" s="149">
        <v>44898</v>
      </c>
    </row>
    <row r="1071" spans="2:2">
      <c r="B1071" s="149">
        <v>44899</v>
      </c>
    </row>
    <row r="1072" spans="2:2">
      <c r="B1072" s="149">
        <v>44900</v>
      </c>
    </row>
    <row r="1073" spans="2:2">
      <c r="B1073" s="149">
        <v>44901</v>
      </c>
    </row>
    <row r="1074" spans="2:2">
      <c r="B1074" s="149">
        <v>44902</v>
      </c>
    </row>
    <row r="1075" spans="2:2">
      <c r="B1075" s="149">
        <v>44903</v>
      </c>
    </row>
    <row r="1076" spans="2:2">
      <c r="B1076" s="149">
        <v>44904</v>
      </c>
    </row>
    <row r="1077" spans="2:2">
      <c r="B1077" s="149">
        <v>44905</v>
      </c>
    </row>
    <row r="1078" spans="2:2">
      <c r="B1078" s="149">
        <v>44906</v>
      </c>
    </row>
    <row r="1079" spans="2:2">
      <c r="B1079" s="149">
        <v>44907</v>
      </c>
    </row>
    <row r="1080" spans="2:2">
      <c r="B1080" s="149">
        <v>44908</v>
      </c>
    </row>
    <row r="1081" spans="2:2">
      <c r="B1081" s="149">
        <v>44909</v>
      </c>
    </row>
    <row r="1082" spans="2:2">
      <c r="B1082" s="149">
        <v>44910</v>
      </c>
    </row>
    <row r="1083" spans="2:2">
      <c r="B1083" s="149">
        <v>44911</v>
      </c>
    </row>
    <row r="1084" spans="2:2">
      <c r="B1084" s="149">
        <v>44912</v>
      </c>
    </row>
    <row r="1085" spans="2:2">
      <c r="B1085" s="149">
        <v>44913</v>
      </c>
    </row>
    <row r="1086" spans="2:2">
      <c r="B1086" s="149">
        <v>44914</v>
      </c>
    </row>
    <row r="1087" spans="2:2">
      <c r="B1087" s="149">
        <v>44915</v>
      </c>
    </row>
    <row r="1088" spans="2:2">
      <c r="B1088" s="149">
        <v>44916</v>
      </c>
    </row>
    <row r="1089" spans="2:2">
      <c r="B1089" s="149">
        <v>44917</v>
      </c>
    </row>
    <row r="1090" spans="2:2">
      <c r="B1090" s="149">
        <v>44918</v>
      </c>
    </row>
    <row r="1091" spans="2:2">
      <c r="B1091" s="149">
        <v>44919</v>
      </c>
    </row>
    <row r="1092" spans="2:2">
      <c r="B1092" s="149">
        <v>44920</v>
      </c>
    </row>
    <row r="1093" spans="2:2">
      <c r="B1093" s="149">
        <v>44921</v>
      </c>
    </row>
    <row r="1094" spans="2:2">
      <c r="B1094" s="149">
        <v>44922</v>
      </c>
    </row>
    <row r="1095" spans="2:2">
      <c r="B1095" s="149">
        <v>44923</v>
      </c>
    </row>
    <row r="1096" spans="2:2">
      <c r="B1096" s="149">
        <v>44924</v>
      </c>
    </row>
    <row r="1097" spans="2:2">
      <c r="B1097" s="149">
        <v>44925</v>
      </c>
    </row>
    <row r="1098" spans="2:2">
      <c r="B1098" s="149">
        <v>44926</v>
      </c>
    </row>
    <row r="1099" spans="2:2">
      <c r="B1099" s="149">
        <v>44927</v>
      </c>
    </row>
    <row r="1100" spans="2:2">
      <c r="B1100" s="149">
        <v>44928</v>
      </c>
    </row>
    <row r="1101" spans="2:2">
      <c r="B1101" s="149">
        <v>44929</v>
      </c>
    </row>
    <row r="1102" spans="2:2">
      <c r="B1102" s="149">
        <v>44930</v>
      </c>
    </row>
    <row r="1103" spans="2:2">
      <c r="B1103" s="149">
        <v>44931</v>
      </c>
    </row>
    <row r="1104" spans="2:2">
      <c r="B1104" s="149">
        <v>44932</v>
      </c>
    </row>
    <row r="1105" spans="2:2">
      <c r="B1105" s="149">
        <v>44933</v>
      </c>
    </row>
    <row r="1106" spans="2:2">
      <c r="B1106" s="149">
        <v>44934</v>
      </c>
    </row>
    <row r="1107" spans="2:2">
      <c r="B1107" s="149">
        <v>44935</v>
      </c>
    </row>
    <row r="1108" spans="2:2">
      <c r="B1108" s="149">
        <v>44936</v>
      </c>
    </row>
    <row r="1109" spans="2:2">
      <c r="B1109" s="149">
        <v>44937</v>
      </c>
    </row>
    <row r="1110" spans="2:2">
      <c r="B1110" s="149">
        <v>44938</v>
      </c>
    </row>
    <row r="1111" spans="2:2">
      <c r="B1111" s="149">
        <v>44939</v>
      </c>
    </row>
    <row r="1112" spans="2:2">
      <c r="B1112" s="149">
        <v>44940</v>
      </c>
    </row>
    <row r="1113" spans="2:2">
      <c r="B1113" s="149">
        <v>44941</v>
      </c>
    </row>
    <row r="1114" spans="2:2">
      <c r="B1114" s="149">
        <v>44942</v>
      </c>
    </row>
    <row r="1115" spans="2:2">
      <c r="B1115" s="149">
        <v>44943</v>
      </c>
    </row>
    <row r="1116" spans="2:2">
      <c r="B1116" s="149">
        <v>44944</v>
      </c>
    </row>
    <row r="1117" spans="2:2">
      <c r="B1117" s="149">
        <v>44945</v>
      </c>
    </row>
    <row r="1118" spans="2:2">
      <c r="B1118" s="149">
        <v>44946</v>
      </c>
    </row>
    <row r="1119" spans="2:2">
      <c r="B1119" s="149">
        <v>44947</v>
      </c>
    </row>
    <row r="1120" spans="2:2">
      <c r="B1120" s="149">
        <v>44948</v>
      </c>
    </row>
    <row r="1121" spans="2:2">
      <c r="B1121" s="149">
        <v>44949</v>
      </c>
    </row>
    <row r="1122" spans="2:2">
      <c r="B1122" s="149">
        <v>44950</v>
      </c>
    </row>
    <row r="1123" spans="2:2">
      <c r="B1123" s="149">
        <v>44951</v>
      </c>
    </row>
    <row r="1124" spans="2:2">
      <c r="B1124" s="149">
        <v>44952</v>
      </c>
    </row>
    <row r="1125" spans="2:2">
      <c r="B1125" s="149">
        <v>44953</v>
      </c>
    </row>
    <row r="1126" spans="2:2">
      <c r="B1126" s="149">
        <v>44954</v>
      </c>
    </row>
    <row r="1127" spans="2:2">
      <c r="B1127" s="149">
        <v>44955</v>
      </c>
    </row>
    <row r="1128" spans="2:2">
      <c r="B1128" s="149">
        <v>44956</v>
      </c>
    </row>
    <row r="1129" spans="2:2">
      <c r="B1129" s="149">
        <v>44957</v>
      </c>
    </row>
    <row r="1130" spans="2:2">
      <c r="B1130" s="149">
        <v>44958</v>
      </c>
    </row>
    <row r="1131" spans="2:2">
      <c r="B1131" s="149">
        <v>44959</v>
      </c>
    </row>
    <row r="1132" spans="2:2">
      <c r="B1132" s="149">
        <v>44960</v>
      </c>
    </row>
    <row r="1133" spans="2:2">
      <c r="B1133" s="149">
        <v>44961</v>
      </c>
    </row>
    <row r="1134" spans="2:2">
      <c r="B1134" s="149">
        <v>44962</v>
      </c>
    </row>
    <row r="1135" spans="2:2">
      <c r="B1135" s="149">
        <v>44963</v>
      </c>
    </row>
    <row r="1136" spans="2:2">
      <c r="B1136" s="149">
        <v>44964</v>
      </c>
    </row>
    <row r="1137" spans="2:2">
      <c r="B1137" s="149">
        <v>44965</v>
      </c>
    </row>
    <row r="1138" spans="2:2">
      <c r="B1138" s="149">
        <v>44966</v>
      </c>
    </row>
    <row r="1139" spans="2:2">
      <c r="B1139" s="149">
        <v>44967</v>
      </c>
    </row>
    <row r="1140" spans="2:2">
      <c r="B1140" s="149">
        <v>44968</v>
      </c>
    </row>
    <row r="1141" spans="2:2">
      <c r="B1141" s="149">
        <v>44969</v>
      </c>
    </row>
    <row r="1142" spans="2:2">
      <c r="B1142" s="149">
        <v>44970</v>
      </c>
    </row>
    <row r="1143" spans="2:2">
      <c r="B1143" s="149">
        <v>44971</v>
      </c>
    </row>
    <row r="1144" spans="2:2">
      <c r="B1144" s="149">
        <v>44972</v>
      </c>
    </row>
    <row r="1145" spans="2:2">
      <c r="B1145" s="149">
        <v>44973</v>
      </c>
    </row>
    <row r="1146" spans="2:2">
      <c r="B1146" s="149">
        <v>44974</v>
      </c>
    </row>
    <row r="1147" spans="2:2">
      <c r="B1147" s="149">
        <v>44975</v>
      </c>
    </row>
    <row r="1148" spans="2:2">
      <c r="B1148" s="149">
        <v>44976</v>
      </c>
    </row>
    <row r="1149" spans="2:2">
      <c r="B1149" s="149">
        <v>44977</v>
      </c>
    </row>
    <row r="1150" spans="2:2">
      <c r="B1150" s="149">
        <v>44978</v>
      </c>
    </row>
    <row r="1151" spans="2:2">
      <c r="B1151" s="149">
        <v>44979</v>
      </c>
    </row>
    <row r="1152" spans="2:2">
      <c r="B1152" s="149">
        <v>44980</v>
      </c>
    </row>
    <row r="1153" spans="2:2">
      <c r="B1153" s="149">
        <v>44981</v>
      </c>
    </row>
    <row r="1154" spans="2:2">
      <c r="B1154" s="149">
        <v>44982</v>
      </c>
    </row>
    <row r="1155" spans="2:2">
      <c r="B1155" s="149">
        <v>44983</v>
      </c>
    </row>
    <row r="1156" spans="2:2">
      <c r="B1156" s="149">
        <v>44984</v>
      </c>
    </row>
    <row r="1157" spans="2:2">
      <c r="B1157" s="149">
        <v>44985</v>
      </c>
    </row>
    <row r="1158" spans="2:2">
      <c r="B1158" s="149">
        <v>44986</v>
      </c>
    </row>
    <row r="1159" spans="2:2">
      <c r="B1159" s="149">
        <v>44987</v>
      </c>
    </row>
    <row r="1160" spans="2:2">
      <c r="B1160" s="149">
        <v>44988</v>
      </c>
    </row>
    <row r="1161" spans="2:2">
      <c r="B1161" s="149">
        <v>44989</v>
      </c>
    </row>
    <row r="1162" spans="2:2">
      <c r="B1162" s="149">
        <v>44990</v>
      </c>
    </row>
    <row r="1163" spans="2:2">
      <c r="B1163" s="149">
        <v>44991</v>
      </c>
    </row>
    <row r="1164" spans="2:2">
      <c r="B1164" s="149">
        <v>44992</v>
      </c>
    </row>
    <row r="1165" spans="2:2">
      <c r="B1165" s="149">
        <v>44993</v>
      </c>
    </row>
    <row r="1166" spans="2:2">
      <c r="B1166" s="149">
        <v>44994</v>
      </c>
    </row>
    <row r="1167" spans="2:2">
      <c r="B1167" s="149">
        <v>44995</v>
      </c>
    </row>
    <row r="1168" spans="2:2">
      <c r="B1168" s="149">
        <v>44996</v>
      </c>
    </row>
    <row r="1169" spans="2:2">
      <c r="B1169" s="149">
        <v>44997</v>
      </c>
    </row>
    <row r="1170" spans="2:2">
      <c r="B1170" s="149">
        <v>44998</v>
      </c>
    </row>
    <row r="1171" spans="2:2">
      <c r="B1171" s="149">
        <v>44999</v>
      </c>
    </row>
    <row r="1172" spans="2:2">
      <c r="B1172" s="149">
        <v>45000</v>
      </c>
    </row>
    <row r="1173" spans="2:2">
      <c r="B1173" s="149">
        <v>45001</v>
      </c>
    </row>
    <row r="1174" spans="2:2">
      <c r="B1174" s="149">
        <v>45002</v>
      </c>
    </row>
    <row r="1175" spans="2:2">
      <c r="B1175" s="149">
        <v>45003</v>
      </c>
    </row>
    <row r="1176" spans="2:2">
      <c r="B1176" s="149">
        <v>45004</v>
      </c>
    </row>
    <row r="1177" spans="2:2">
      <c r="B1177" s="149">
        <v>45005</v>
      </c>
    </row>
    <row r="1178" spans="2:2">
      <c r="B1178" s="149">
        <v>45006</v>
      </c>
    </row>
    <row r="1179" spans="2:2">
      <c r="B1179" s="149">
        <v>45007</v>
      </c>
    </row>
    <row r="1180" spans="2:2">
      <c r="B1180" s="149">
        <v>45008</v>
      </c>
    </row>
    <row r="1181" spans="2:2">
      <c r="B1181" s="149">
        <v>45009</v>
      </c>
    </row>
    <row r="1182" spans="2:2">
      <c r="B1182" s="149">
        <v>45010</v>
      </c>
    </row>
    <row r="1183" spans="2:2">
      <c r="B1183" s="149">
        <v>45011</v>
      </c>
    </row>
    <row r="1184" spans="2:2">
      <c r="B1184" s="149">
        <v>45012</v>
      </c>
    </row>
    <row r="1185" spans="2:2">
      <c r="B1185" s="149">
        <v>45013</v>
      </c>
    </row>
    <row r="1186" spans="2:2">
      <c r="B1186" s="149">
        <v>45014</v>
      </c>
    </row>
    <row r="1187" spans="2:2">
      <c r="B1187" s="149">
        <v>45015</v>
      </c>
    </row>
    <row r="1188" spans="2:2">
      <c r="B1188" s="149">
        <v>45016</v>
      </c>
    </row>
    <row r="1189" spans="2:2">
      <c r="B1189" s="149">
        <v>45017</v>
      </c>
    </row>
    <row r="1190" spans="2:2">
      <c r="B1190" s="149">
        <v>45018</v>
      </c>
    </row>
    <row r="1191" spans="2:2">
      <c r="B1191" s="149">
        <v>45019</v>
      </c>
    </row>
    <row r="1192" spans="2:2">
      <c r="B1192" s="149">
        <v>45020</v>
      </c>
    </row>
    <row r="1193" spans="2:2">
      <c r="B1193" s="149">
        <v>45021</v>
      </c>
    </row>
    <row r="1194" spans="2:2">
      <c r="B1194" s="149">
        <v>45022</v>
      </c>
    </row>
    <row r="1195" spans="2:2">
      <c r="B1195" s="149">
        <v>45023</v>
      </c>
    </row>
    <row r="1196" spans="2:2">
      <c r="B1196" s="149">
        <v>45024</v>
      </c>
    </row>
    <row r="1197" spans="2:2">
      <c r="B1197" s="149">
        <v>45025</v>
      </c>
    </row>
    <row r="1198" spans="2:2">
      <c r="B1198" s="149">
        <v>45026</v>
      </c>
    </row>
    <row r="1199" spans="2:2">
      <c r="B1199" s="149">
        <v>45027</v>
      </c>
    </row>
    <row r="1200" spans="2:2">
      <c r="B1200" s="149">
        <v>45028</v>
      </c>
    </row>
    <row r="1201" spans="2:2">
      <c r="B1201" s="149">
        <v>45029</v>
      </c>
    </row>
    <row r="1202" spans="2:2">
      <c r="B1202" s="149">
        <v>45030</v>
      </c>
    </row>
    <row r="1203" spans="2:2">
      <c r="B1203" s="149">
        <v>45031</v>
      </c>
    </row>
    <row r="1204" spans="2:2">
      <c r="B1204" s="149">
        <v>45032</v>
      </c>
    </row>
    <row r="1205" spans="2:2">
      <c r="B1205" s="149">
        <v>45033</v>
      </c>
    </row>
    <row r="1206" spans="2:2">
      <c r="B1206" s="149">
        <v>45034</v>
      </c>
    </row>
    <row r="1207" spans="2:2">
      <c r="B1207" s="149">
        <v>45035</v>
      </c>
    </row>
    <row r="1208" spans="2:2">
      <c r="B1208" s="149">
        <v>45036</v>
      </c>
    </row>
    <row r="1209" spans="2:2">
      <c r="B1209" s="149">
        <v>45037</v>
      </c>
    </row>
    <row r="1210" spans="2:2">
      <c r="B1210" s="149">
        <v>45038</v>
      </c>
    </row>
    <row r="1211" spans="2:2">
      <c r="B1211" s="149">
        <v>45039</v>
      </c>
    </row>
    <row r="1212" spans="2:2">
      <c r="B1212" s="149">
        <v>45040</v>
      </c>
    </row>
    <row r="1213" spans="2:2">
      <c r="B1213" s="149">
        <v>45041</v>
      </c>
    </row>
    <row r="1214" spans="2:2">
      <c r="B1214" s="149">
        <v>45042</v>
      </c>
    </row>
    <row r="1215" spans="2:2">
      <c r="B1215" s="149">
        <v>45043</v>
      </c>
    </row>
    <row r="1216" spans="2:2">
      <c r="B1216" s="149">
        <v>45044</v>
      </c>
    </row>
    <row r="1217" spans="2:2">
      <c r="B1217" s="149">
        <v>45045</v>
      </c>
    </row>
    <row r="1218" spans="2:2">
      <c r="B1218" s="149">
        <v>45046</v>
      </c>
    </row>
    <row r="1219" spans="2:2">
      <c r="B1219" s="149">
        <v>45047</v>
      </c>
    </row>
    <row r="1220" spans="2:2">
      <c r="B1220" s="149">
        <v>45048</v>
      </c>
    </row>
    <row r="1221" spans="2:2">
      <c r="B1221" s="149">
        <v>45049</v>
      </c>
    </row>
    <row r="1222" spans="2:2">
      <c r="B1222" s="149">
        <v>45050</v>
      </c>
    </row>
    <row r="1223" spans="2:2">
      <c r="B1223" s="149">
        <v>45051</v>
      </c>
    </row>
    <row r="1224" spans="2:2">
      <c r="B1224" s="149">
        <v>45052</v>
      </c>
    </row>
    <row r="1225" spans="2:2">
      <c r="B1225" s="149">
        <v>45053</v>
      </c>
    </row>
    <row r="1226" spans="2:2">
      <c r="B1226" s="149">
        <v>45054</v>
      </c>
    </row>
    <row r="1227" spans="2:2">
      <c r="B1227" s="149">
        <v>45055</v>
      </c>
    </row>
    <row r="1228" spans="2:2">
      <c r="B1228" s="149">
        <v>45056</v>
      </c>
    </row>
    <row r="1229" spans="2:2">
      <c r="B1229" s="149">
        <v>45057</v>
      </c>
    </row>
    <row r="1230" spans="2:2">
      <c r="B1230" s="149">
        <v>45058</v>
      </c>
    </row>
    <row r="1231" spans="2:2">
      <c r="B1231" s="149">
        <v>45059</v>
      </c>
    </row>
    <row r="1232" spans="2:2">
      <c r="B1232" s="149">
        <v>45060</v>
      </c>
    </row>
    <row r="1233" spans="2:2">
      <c r="B1233" s="149">
        <v>45061</v>
      </c>
    </row>
    <row r="1234" spans="2:2">
      <c r="B1234" s="149">
        <v>45062</v>
      </c>
    </row>
    <row r="1235" spans="2:2">
      <c r="B1235" s="149">
        <v>45063</v>
      </c>
    </row>
    <row r="1236" spans="2:2">
      <c r="B1236" s="149">
        <v>45064</v>
      </c>
    </row>
    <row r="1237" spans="2:2">
      <c r="B1237" s="149">
        <v>45065</v>
      </c>
    </row>
    <row r="1238" spans="2:2">
      <c r="B1238" s="149">
        <v>45066</v>
      </c>
    </row>
    <row r="1239" spans="2:2">
      <c r="B1239" s="149">
        <v>45067</v>
      </c>
    </row>
    <row r="1240" spans="2:2">
      <c r="B1240" s="149">
        <v>45068</v>
      </c>
    </row>
    <row r="1241" spans="2:2">
      <c r="B1241" s="149">
        <v>45069</v>
      </c>
    </row>
    <row r="1242" spans="2:2">
      <c r="B1242" s="149">
        <v>45070</v>
      </c>
    </row>
    <row r="1243" spans="2:2">
      <c r="B1243" s="149">
        <v>45071</v>
      </c>
    </row>
    <row r="1244" spans="2:2">
      <c r="B1244" s="149">
        <v>45072</v>
      </c>
    </row>
    <row r="1245" spans="2:2">
      <c r="B1245" s="149">
        <v>45073</v>
      </c>
    </row>
    <row r="1246" spans="2:2">
      <c r="B1246" s="149">
        <v>45074</v>
      </c>
    </row>
    <row r="1247" spans="2:2">
      <c r="B1247" s="149">
        <v>45075</v>
      </c>
    </row>
    <row r="1248" spans="2:2">
      <c r="B1248" s="149">
        <v>45076</v>
      </c>
    </row>
    <row r="1249" spans="2:2">
      <c r="B1249" s="149">
        <v>45077</v>
      </c>
    </row>
    <row r="1250" spans="2:2">
      <c r="B1250" s="149">
        <v>45078</v>
      </c>
    </row>
    <row r="1251" spans="2:2">
      <c r="B1251" s="149">
        <v>45079</v>
      </c>
    </row>
    <row r="1252" spans="2:2">
      <c r="B1252" s="149">
        <v>45080</v>
      </c>
    </row>
    <row r="1253" spans="2:2">
      <c r="B1253" s="149">
        <v>45081</v>
      </c>
    </row>
    <row r="1254" spans="2:2">
      <c r="B1254" s="149">
        <v>45082</v>
      </c>
    </row>
    <row r="1255" spans="2:2">
      <c r="B1255" s="149">
        <v>45083</v>
      </c>
    </row>
    <row r="1256" spans="2:2">
      <c r="B1256" s="149">
        <v>45084</v>
      </c>
    </row>
    <row r="1257" spans="2:2">
      <c r="B1257" s="149">
        <v>45085</v>
      </c>
    </row>
    <row r="1258" spans="2:2">
      <c r="B1258" s="149">
        <v>45086</v>
      </c>
    </row>
    <row r="1259" spans="2:2">
      <c r="B1259" s="149">
        <v>45087</v>
      </c>
    </row>
    <row r="1260" spans="2:2">
      <c r="B1260" s="149">
        <v>45088</v>
      </c>
    </row>
    <row r="1261" spans="2:2">
      <c r="B1261" s="149">
        <v>45089</v>
      </c>
    </row>
    <row r="1262" spans="2:2">
      <c r="B1262" s="149">
        <v>45090</v>
      </c>
    </row>
    <row r="1263" spans="2:2">
      <c r="B1263" s="149">
        <v>45091</v>
      </c>
    </row>
    <row r="1264" spans="2:2">
      <c r="B1264" s="149">
        <v>45092</v>
      </c>
    </row>
    <row r="1265" spans="2:2">
      <c r="B1265" s="149">
        <v>45093</v>
      </c>
    </row>
    <row r="1266" spans="2:2">
      <c r="B1266" s="149">
        <v>45094</v>
      </c>
    </row>
    <row r="1267" spans="2:2">
      <c r="B1267" s="149">
        <v>45095</v>
      </c>
    </row>
    <row r="1268" spans="2:2">
      <c r="B1268" s="149">
        <v>45096</v>
      </c>
    </row>
    <row r="1269" spans="2:2">
      <c r="B1269" s="149">
        <v>45097</v>
      </c>
    </row>
    <row r="1270" spans="2:2">
      <c r="B1270" s="149">
        <v>45098</v>
      </c>
    </row>
    <row r="1271" spans="2:2">
      <c r="B1271" s="149">
        <v>45099</v>
      </c>
    </row>
    <row r="1272" spans="2:2">
      <c r="B1272" s="149">
        <v>45100</v>
      </c>
    </row>
    <row r="1273" spans="2:2">
      <c r="B1273" s="149">
        <v>45101</v>
      </c>
    </row>
    <row r="1274" spans="2:2">
      <c r="B1274" s="149">
        <v>45102</v>
      </c>
    </row>
    <row r="1275" spans="2:2">
      <c r="B1275" s="149">
        <v>45103</v>
      </c>
    </row>
    <row r="1276" spans="2:2">
      <c r="B1276" s="149">
        <v>45104</v>
      </c>
    </row>
    <row r="1277" spans="2:2">
      <c r="B1277" s="149">
        <v>45105</v>
      </c>
    </row>
    <row r="1278" spans="2:2">
      <c r="B1278" s="149">
        <v>45106</v>
      </c>
    </row>
    <row r="1279" spans="2:2">
      <c r="B1279" s="149">
        <v>45107</v>
      </c>
    </row>
    <row r="1280" spans="2:2">
      <c r="B1280" s="149">
        <v>45108</v>
      </c>
    </row>
    <row r="1281" spans="2:2">
      <c r="B1281" s="149">
        <v>45109</v>
      </c>
    </row>
    <row r="1282" spans="2:2">
      <c r="B1282" s="149">
        <v>45110</v>
      </c>
    </row>
    <row r="1283" spans="2:2">
      <c r="B1283" s="149">
        <v>45111</v>
      </c>
    </row>
    <row r="1284" spans="2:2">
      <c r="B1284" s="149">
        <v>45112</v>
      </c>
    </row>
    <row r="1285" spans="2:2">
      <c r="B1285" s="149">
        <v>45113</v>
      </c>
    </row>
    <row r="1286" spans="2:2">
      <c r="B1286" s="149">
        <v>45114</v>
      </c>
    </row>
    <row r="1287" spans="2:2">
      <c r="B1287" s="149">
        <v>45115</v>
      </c>
    </row>
    <row r="1288" spans="2:2">
      <c r="B1288" s="149">
        <v>45116</v>
      </c>
    </row>
    <row r="1289" spans="2:2">
      <c r="B1289" s="149">
        <v>45117</v>
      </c>
    </row>
    <row r="1290" spans="2:2">
      <c r="B1290" s="149">
        <v>45118</v>
      </c>
    </row>
    <row r="1291" spans="2:2">
      <c r="B1291" s="149">
        <v>45119</v>
      </c>
    </row>
    <row r="1292" spans="2:2">
      <c r="B1292" s="149">
        <v>45120</v>
      </c>
    </row>
    <row r="1293" spans="2:2">
      <c r="B1293" s="149">
        <v>45121</v>
      </c>
    </row>
    <row r="1294" spans="2:2">
      <c r="B1294" s="149">
        <v>45122</v>
      </c>
    </row>
    <row r="1295" spans="2:2">
      <c r="B1295" s="149">
        <v>45123</v>
      </c>
    </row>
    <row r="1296" spans="2:2">
      <c r="B1296" s="149">
        <v>45124</v>
      </c>
    </row>
    <row r="1297" spans="2:2">
      <c r="B1297" s="149">
        <v>45125</v>
      </c>
    </row>
    <row r="1298" spans="2:2">
      <c r="B1298" s="149">
        <v>45126</v>
      </c>
    </row>
    <row r="1299" spans="2:2">
      <c r="B1299" s="149">
        <v>45127</v>
      </c>
    </row>
    <row r="1300" spans="2:2">
      <c r="B1300" s="149">
        <v>45128</v>
      </c>
    </row>
    <row r="1301" spans="2:2">
      <c r="B1301" s="149">
        <v>45129</v>
      </c>
    </row>
    <row r="1302" spans="2:2">
      <c r="B1302" s="149">
        <v>45130</v>
      </c>
    </row>
    <row r="1303" spans="2:2">
      <c r="B1303" s="149">
        <v>45131</v>
      </c>
    </row>
    <row r="1304" spans="2:2">
      <c r="B1304" s="149">
        <v>45132</v>
      </c>
    </row>
    <row r="1305" spans="2:2">
      <c r="B1305" s="149">
        <v>45133</v>
      </c>
    </row>
    <row r="1306" spans="2:2">
      <c r="B1306" s="149">
        <v>45134</v>
      </c>
    </row>
    <row r="1307" spans="2:2">
      <c r="B1307" s="149">
        <v>45135</v>
      </c>
    </row>
    <row r="1308" spans="2:2">
      <c r="B1308" s="149">
        <v>45136</v>
      </c>
    </row>
    <row r="1309" spans="2:2">
      <c r="B1309" s="149">
        <v>45137</v>
      </c>
    </row>
    <row r="1310" spans="2:2">
      <c r="B1310" s="149">
        <v>45138</v>
      </c>
    </row>
    <row r="1311" spans="2:2">
      <c r="B1311" s="149">
        <v>45139</v>
      </c>
    </row>
    <row r="1312" spans="2:2">
      <c r="B1312" s="149">
        <v>45140</v>
      </c>
    </row>
    <row r="1313" spans="2:2">
      <c r="B1313" s="149">
        <v>45141</v>
      </c>
    </row>
    <row r="1314" spans="2:2">
      <c r="B1314" s="149">
        <v>45142</v>
      </c>
    </row>
    <row r="1315" spans="2:2">
      <c r="B1315" s="149">
        <v>45143</v>
      </c>
    </row>
    <row r="1316" spans="2:2">
      <c r="B1316" s="149">
        <v>45144</v>
      </c>
    </row>
    <row r="1317" spans="2:2">
      <c r="B1317" s="149">
        <v>45145</v>
      </c>
    </row>
    <row r="1318" spans="2:2">
      <c r="B1318" s="149">
        <v>45146</v>
      </c>
    </row>
    <row r="1319" spans="2:2">
      <c r="B1319" s="149">
        <v>45147</v>
      </c>
    </row>
    <row r="1320" spans="2:2">
      <c r="B1320" s="149">
        <v>45148</v>
      </c>
    </row>
    <row r="1321" spans="2:2">
      <c r="B1321" s="149">
        <v>45149</v>
      </c>
    </row>
    <row r="1322" spans="2:2">
      <c r="B1322" s="149">
        <v>45150</v>
      </c>
    </row>
    <row r="1323" spans="2:2">
      <c r="B1323" s="149">
        <v>45151</v>
      </c>
    </row>
    <row r="1324" spans="2:2">
      <c r="B1324" s="149">
        <v>45152</v>
      </c>
    </row>
    <row r="1325" spans="2:2">
      <c r="B1325" s="149">
        <v>45153</v>
      </c>
    </row>
    <row r="1326" spans="2:2">
      <c r="B1326" s="149">
        <v>45154</v>
      </c>
    </row>
    <row r="1327" spans="2:2">
      <c r="B1327" s="149">
        <v>45155</v>
      </c>
    </row>
    <row r="1328" spans="2:2">
      <c r="B1328" s="149">
        <v>45156</v>
      </c>
    </row>
    <row r="1329" spans="2:2">
      <c r="B1329" s="149">
        <v>45157</v>
      </c>
    </row>
    <row r="1330" spans="2:2">
      <c r="B1330" s="149">
        <v>45158</v>
      </c>
    </row>
    <row r="1331" spans="2:2">
      <c r="B1331" s="149">
        <v>45159</v>
      </c>
    </row>
    <row r="1332" spans="2:2">
      <c r="B1332" s="149">
        <v>45160</v>
      </c>
    </row>
    <row r="1333" spans="2:2">
      <c r="B1333" s="149">
        <v>45161</v>
      </c>
    </row>
    <row r="1334" spans="2:2">
      <c r="B1334" s="149">
        <v>45162</v>
      </c>
    </row>
    <row r="1335" spans="2:2">
      <c r="B1335" s="149">
        <v>45163</v>
      </c>
    </row>
    <row r="1336" spans="2:2">
      <c r="B1336" s="149">
        <v>45164</v>
      </c>
    </row>
    <row r="1337" spans="2:2">
      <c r="B1337" s="149">
        <v>45165</v>
      </c>
    </row>
    <row r="1338" spans="2:2">
      <c r="B1338" s="149">
        <v>45166</v>
      </c>
    </row>
    <row r="1339" spans="2:2">
      <c r="B1339" s="149">
        <v>45167</v>
      </c>
    </row>
    <row r="1340" spans="2:2">
      <c r="B1340" s="149">
        <v>45168</v>
      </c>
    </row>
    <row r="1341" spans="2:2">
      <c r="B1341" s="149">
        <v>45169</v>
      </c>
    </row>
    <row r="1342" spans="2:2">
      <c r="B1342" s="149">
        <v>45170</v>
      </c>
    </row>
    <row r="1343" spans="2:2">
      <c r="B1343" s="149">
        <v>45171</v>
      </c>
    </row>
    <row r="1344" spans="2:2">
      <c r="B1344" s="149">
        <v>45172</v>
      </c>
    </row>
    <row r="1345" spans="2:2">
      <c r="B1345" s="149">
        <v>45173</v>
      </c>
    </row>
    <row r="1346" spans="2:2">
      <c r="B1346" s="149">
        <v>45174</v>
      </c>
    </row>
    <row r="1347" spans="2:2">
      <c r="B1347" s="149">
        <v>45175</v>
      </c>
    </row>
    <row r="1348" spans="2:2">
      <c r="B1348" s="149">
        <v>45176</v>
      </c>
    </row>
    <row r="1349" spans="2:2">
      <c r="B1349" s="149">
        <v>45177</v>
      </c>
    </row>
    <row r="1350" spans="2:2">
      <c r="B1350" s="149">
        <v>45178</v>
      </c>
    </row>
    <row r="1351" spans="2:2">
      <c r="B1351" s="149">
        <v>45179</v>
      </c>
    </row>
    <row r="1352" spans="2:2">
      <c r="B1352" s="149">
        <v>45180</v>
      </c>
    </row>
    <row r="1353" spans="2:2">
      <c r="B1353" s="149">
        <v>45181</v>
      </c>
    </row>
    <row r="1354" spans="2:2">
      <c r="B1354" s="149">
        <v>45182</v>
      </c>
    </row>
    <row r="1355" spans="2:2">
      <c r="B1355" s="149">
        <v>45183</v>
      </c>
    </row>
    <row r="1356" spans="2:2">
      <c r="B1356" s="149">
        <v>45184</v>
      </c>
    </row>
    <row r="1357" spans="2:2">
      <c r="B1357" s="149">
        <v>45185</v>
      </c>
    </row>
    <row r="1358" spans="2:2">
      <c r="B1358" s="149">
        <v>45186</v>
      </c>
    </row>
    <row r="1359" spans="2:2">
      <c r="B1359" s="149">
        <v>45187</v>
      </c>
    </row>
    <row r="1360" spans="2:2">
      <c r="B1360" s="149">
        <v>45188</v>
      </c>
    </row>
    <row r="1361" spans="2:2">
      <c r="B1361" s="149">
        <v>45189</v>
      </c>
    </row>
    <row r="1362" spans="2:2">
      <c r="B1362" s="149">
        <v>45190</v>
      </c>
    </row>
    <row r="1363" spans="2:2">
      <c r="B1363" s="149">
        <v>45191</v>
      </c>
    </row>
    <row r="1364" spans="2:2">
      <c r="B1364" s="149">
        <v>45192</v>
      </c>
    </row>
    <row r="1365" spans="2:2">
      <c r="B1365" s="149">
        <v>45193</v>
      </c>
    </row>
    <row r="1366" spans="2:2">
      <c r="B1366" s="149">
        <v>45194</v>
      </c>
    </row>
    <row r="1367" spans="2:2">
      <c r="B1367" s="149">
        <v>45195</v>
      </c>
    </row>
    <row r="1368" spans="2:2">
      <c r="B1368" s="149">
        <v>45196</v>
      </c>
    </row>
    <row r="1369" spans="2:2">
      <c r="B1369" s="149">
        <v>45197</v>
      </c>
    </row>
    <row r="1370" spans="2:2">
      <c r="B1370" s="149">
        <v>45198</v>
      </c>
    </row>
    <row r="1371" spans="2:2">
      <c r="B1371" s="149">
        <v>45199</v>
      </c>
    </row>
    <row r="1372" spans="2:2">
      <c r="B1372" s="149">
        <v>45200</v>
      </c>
    </row>
    <row r="1373" spans="2:2">
      <c r="B1373" s="149">
        <v>45201</v>
      </c>
    </row>
    <row r="1374" spans="2:2">
      <c r="B1374" s="149">
        <v>45202</v>
      </c>
    </row>
    <row r="1375" spans="2:2">
      <c r="B1375" s="149">
        <v>45203</v>
      </c>
    </row>
    <row r="1376" spans="2:2">
      <c r="B1376" s="149">
        <v>45204</v>
      </c>
    </row>
    <row r="1377" spans="2:2">
      <c r="B1377" s="149">
        <v>45205</v>
      </c>
    </row>
    <row r="1378" spans="2:2">
      <c r="B1378" s="149">
        <v>45206</v>
      </c>
    </row>
    <row r="1379" spans="2:2">
      <c r="B1379" s="149">
        <v>45207</v>
      </c>
    </row>
    <row r="1380" spans="2:2">
      <c r="B1380" s="149">
        <v>45208</v>
      </c>
    </row>
    <row r="1381" spans="2:2">
      <c r="B1381" s="149">
        <v>45209</v>
      </c>
    </row>
    <row r="1382" spans="2:2">
      <c r="B1382" s="149">
        <v>45210</v>
      </c>
    </row>
    <row r="1383" spans="2:2">
      <c r="B1383" s="149">
        <v>45211</v>
      </c>
    </row>
    <row r="1384" spans="2:2">
      <c r="B1384" s="149">
        <v>45212</v>
      </c>
    </row>
    <row r="1385" spans="2:2">
      <c r="B1385" s="149">
        <v>45213</v>
      </c>
    </row>
    <row r="1386" spans="2:2">
      <c r="B1386" s="149">
        <v>45214</v>
      </c>
    </row>
    <row r="1387" spans="2:2">
      <c r="B1387" s="149">
        <v>45215</v>
      </c>
    </row>
    <row r="1388" spans="2:2">
      <c r="B1388" s="149">
        <v>45216</v>
      </c>
    </row>
    <row r="1389" spans="2:2">
      <c r="B1389" s="149">
        <v>45217</v>
      </c>
    </row>
    <row r="1390" spans="2:2">
      <c r="B1390" s="149">
        <v>45218</v>
      </c>
    </row>
    <row r="1391" spans="2:2">
      <c r="B1391" s="149">
        <v>45219</v>
      </c>
    </row>
    <row r="1392" spans="2:2">
      <c r="B1392" s="149">
        <v>45220</v>
      </c>
    </row>
    <row r="1393" spans="2:2">
      <c r="B1393" s="149">
        <v>45221</v>
      </c>
    </row>
    <row r="1394" spans="2:2">
      <c r="B1394" s="149">
        <v>45222</v>
      </c>
    </row>
    <row r="1395" spans="2:2">
      <c r="B1395" s="149">
        <v>45223</v>
      </c>
    </row>
    <row r="1396" spans="2:2">
      <c r="B1396" s="149">
        <v>45224</v>
      </c>
    </row>
    <row r="1397" spans="2:2">
      <c r="B1397" s="149">
        <v>45225</v>
      </c>
    </row>
    <row r="1398" spans="2:2">
      <c r="B1398" s="149">
        <v>45226</v>
      </c>
    </row>
    <row r="1399" spans="2:2">
      <c r="B1399" s="149">
        <v>45227</v>
      </c>
    </row>
    <row r="1400" spans="2:2">
      <c r="B1400" s="149">
        <v>45228</v>
      </c>
    </row>
    <row r="1401" spans="2:2">
      <c r="B1401" s="149">
        <v>45229</v>
      </c>
    </row>
    <row r="1402" spans="2:2">
      <c r="B1402" s="149">
        <v>45230</v>
      </c>
    </row>
    <row r="1403" spans="2:2">
      <c r="B1403" s="149">
        <v>45231</v>
      </c>
    </row>
    <row r="1404" spans="2:2">
      <c r="B1404" s="149">
        <v>45232</v>
      </c>
    </row>
    <row r="1405" spans="2:2">
      <c r="B1405" s="149">
        <v>45233</v>
      </c>
    </row>
    <row r="1406" spans="2:2">
      <c r="B1406" s="149">
        <v>45234</v>
      </c>
    </row>
    <row r="1407" spans="2:2">
      <c r="B1407" s="149">
        <v>45235</v>
      </c>
    </row>
    <row r="1408" spans="2:2">
      <c r="B1408" s="149">
        <v>45236</v>
      </c>
    </row>
    <row r="1409" spans="2:2">
      <c r="B1409" s="149">
        <v>45237</v>
      </c>
    </row>
    <row r="1410" spans="2:2">
      <c r="B1410" s="149">
        <v>45238</v>
      </c>
    </row>
    <row r="1411" spans="2:2">
      <c r="B1411" s="149">
        <v>45239</v>
      </c>
    </row>
    <row r="1412" spans="2:2">
      <c r="B1412" s="149">
        <v>45240</v>
      </c>
    </row>
    <row r="1413" spans="2:2">
      <c r="B1413" s="149">
        <v>45241</v>
      </c>
    </row>
    <row r="1414" spans="2:2">
      <c r="B1414" s="149">
        <v>45242</v>
      </c>
    </row>
    <row r="1415" spans="2:2">
      <c r="B1415" s="149">
        <v>45243</v>
      </c>
    </row>
    <row r="1416" spans="2:2">
      <c r="B1416" s="149">
        <v>45244</v>
      </c>
    </row>
    <row r="1417" spans="2:2">
      <c r="B1417" s="149">
        <v>45245</v>
      </c>
    </row>
    <row r="1418" spans="2:2">
      <c r="B1418" s="149">
        <v>45246</v>
      </c>
    </row>
    <row r="1419" spans="2:2">
      <c r="B1419" s="149">
        <v>45247</v>
      </c>
    </row>
    <row r="1420" spans="2:2">
      <c r="B1420" s="149">
        <v>45248</v>
      </c>
    </row>
    <row r="1421" spans="2:2">
      <c r="B1421" s="149">
        <v>45249</v>
      </c>
    </row>
    <row r="1422" spans="2:2">
      <c r="B1422" s="149">
        <v>45250</v>
      </c>
    </row>
    <row r="1423" spans="2:2">
      <c r="B1423" s="149">
        <v>45251</v>
      </c>
    </row>
    <row r="1424" spans="2:2">
      <c r="B1424" s="149">
        <v>45252</v>
      </c>
    </row>
    <row r="1425" spans="2:2">
      <c r="B1425" s="149">
        <v>45253</v>
      </c>
    </row>
    <row r="1426" spans="2:2">
      <c r="B1426" s="149">
        <v>45254</v>
      </c>
    </row>
    <row r="1427" spans="2:2">
      <c r="B1427" s="149">
        <v>45255</v>
      </c>
    </row>
    <row r="1428" spans="2:2">
      <c r="B1428" s="149">
        <v>45256</v>
      </c>
    </row>
    <row r="1429" spans="2:2">
      <c r="B1429" s="149">
        <v>45257</v>
      </c>
    </row>
    <row r="1430" spans="2:2">
      <c r="B1430" s="149">
        <v>45258</v>
      </c>
    </row>
    <row r="1431" spans="2:2">
      <c r="B1431" s="149">
        <v>45259</v>
      </c>
    </row>
    <row r="1432" spans="2:2">
      <c r="B1432" s="149">
        <v>45260</v>
      </c>
    </row>
    <row r="1433" spans="2:2">
      <c r="B1433" s="149">
        <v>45261</v>
      </c>
    </row>
    <row r="1434" spans="2:2">
      <c r="B1434" s="149">
        <v>45262</v>
      </c>
    </row>
    <row r="1435" spans="2:2">
      <c r="B1435" s="149">
        <v>45263</v>
      </c>
    </row>
    <row r="1436" spans="2:2">
      <c r="B1436" s="149">
        <v>45264</v>
      </c>
    </row>
    <row r="1437" spans="2:2">
      <c r="B1437" s="149">
        <v>45265</v>
      </c>
    </row>
    <row r="1438" spans="2:2">
      <c r="B1438" s="149">
        <v>45266</v>
      </c>
    </row>
    <row r="1439" spans="2:2">
      <c r="B1439" s="149">
        <v>45267</v>
      </c>
    </row>
    <row r="1440" spans="2:2">
      <c r="B1440" s="149">
        <v>45268</v>
      </c>
    </row>
    <row r="1441" spans="2:2">
      <c r="B1441" s="149">
        <v>45269</v>
      </c>
    </row>
    <row r="1442" spans="2:2">
      <c r="B1442" s="149">
        <v>45270</v>
      </c>
    </row>
    <row r="1443" spans="2:2">
      <c r="B1443" s="149">
        <v>45271</v>
      </c>
    </row>
    <row r="1444" spans="2:2">
      <c r="B1444" s="149">
        <v>45272</v>
      </c>
    </row>
    <row r="1445" spans="2:2">
      <c r="B1445" s="149">
        <v>45273</v>
      </c>
    </row>
    <row r="1446" spans="2:2">
      <c r="B1446" s="149">
        <v>45274</v>
      </c>
    </row>
    <row r="1447" spans="2:2">
      <c r="B1447" s="149">
        <v>45275</v>
      </c>
    </row>
    <row r="1448" spans="2:2">
      <c r="B1448" s="149">
        <v>45276</v>
      </c>
    </row>
    <row r="1449" spans="2:2">
      <c r="B1449" s="149">
        <v>45277</v>
      </c>
    </row>
    <row r="1450" spans="2:2">
      <c r="B1450" s="149">
        <v>45278</v>
      </c>
    </row>
    <row r="1451" spans="2:2">
      <c r="B1451" s="149">
        <v>45279</v>
      </c>
    </row>
    <row r="1452" spans="2:2">
      <c r="B1452" s="149">
        <v>45280</v>
      </c>
    </row>
    <row r="1453" spans="2:2">
      <c r="B1453" s="149">
        <v>45281</v>
      </c>
    </row>
    <row r="1454" spans="2:2">
      <c r="B1454" s="149">
        <v>45282</v>
      </c>
    </row>
    <row r="1455" spans="2:2">
      <c r="B1455" s="149">
        <v>45283</v>
      </c>
    </row>
    <row r="1456" spans="2:2">
      <c r="B1456" s="149">
        <v>45284</v>
      </c>
    </row>
    <row r="1457" spans="2:2">
      <c r="B1457" s="149">
        <v>45285</v>
      </c>
    </row>
    <row r="1458" spans="2:2">
      <c r="B1458" s="149">
        <v>45286</v>
      </c>
    </row>
    <row r="1459" spans="2:2">
      <c r="B1459" s="149">
        <v>45287</v>
      </c>
    </row>
    <row r="1460" spans="2:2">
      <c r="B1460" s="149">
        <v>45288</v>
      </c>
    </row>
    <row r="1461" spans="2:2">
      <c r="B1461" s="149">
        <v>45289</v>
      </c>
    </row>
    <row r="1462" spans="2:2">
      <c r="B1462" s="149">
        <v>45290</v>
      </c>
    </row>
    <row r="1463" spans="2:2">
      <c r="B1463" s="149">
        <v>45291</v>
      </c>
    </row>
    <row r="1464" spans="2:2">
      <c r="B1464" s="149">
        <v>45292</v>
      </c>
    </row>
    <row r="1465" spans="2:2">
      <c r="B1465" s="149">
        <v>45293</v>
      </c>
    </row>
    <row r="1466" spans="2:2">
      <c r="B1466" s="149">
        <v>45294</v>
      </c>
    </row>
    <row r="1467" spans="2:2">
      <c r="B1467" s="149">
        <v>45295</v>
      </c>
    </row>
    <row r="1468" spans="2:2">
      <c r="B1468" s="149">
        <v>45296</v>
      </c>
    </row>
    <row r="1469" spans="2:2">
      <c r="B1469" s="149">
        <v>45297</v>
      </c>
    </row>
    <row r="1470" spans="2:2">
      <c r="B1470" s="149">
        <v>45298</v>
      </c>
    </row>
    <row r="1471" spans="2:2">
      <c r="B1471" s="149">
        <v>45299</v>
      </c>
    </row>
    <row r="1472" spans="2:2">
      <c r="B1472" s="149">
        <v>45300</v>
      </c>
    </row>
    <row r="1473" spans="2:2">
      <c r="B1473" s="149">
        <v>45301</v>
      </c>
    </row>
    <row r="1474" spans="2:2">
      <c r="B1474" s="149">
        <v>45302</v>
      </c>
    </row>
    <row r="1475" spans="2:2">
      <c r="B1475" s="149">
        <v>45303</v>
      </c>
    </row>
    <row r="1476" spans="2:2">
      <c r="B1476" s="149">
        <v>45304</v>
      </c>
    </row>
    <row r="1477" spans="2:2">
      <c r="B1477" s="149">
        <v>45305</v>
      </c>
    </row>
    <row r="1478" spans="2:2">
      <c r="B1478" s="149">
        <v>45306</v>
      </c>
    </row>
    <row r="1479" spans="2:2">
      <c r="B1479" s="149">
        <v>45307</v>
      </c>
    </row>
    <row r="1480" spans="2:2">
      <c r="B1480" s="149">
        <v>45308</v>
      </c>
    </row>
    <row r="1481" spans="2:2">
      <c r="B1481" s="149">
        <v>45309</v>
      </c>
    </row>
    <row r="1482" spans="2:2">
      <c r="B1482" s="149">
        <v>45310</v>
      </c>
    </row>
    <row r="1483" spans="2:2">
      <c r="B1483" s="149">
        <v>45311</v>
      </c>
    </row>
    <row r="1484" spans="2:2">
      <c r="B1484" s="149">
        <v>45312</v>
      </c>
    </row>
    <row r="1485" spans="2:2">
      <c r="B1485" s="149">
        <v>45313</v>
      </c>
    </row>
    <row r="1486" spans="2:2">
      <c r="B1486" s="149">
        <v>45314</v>
      </c>
    </row>
    <row r="1487" spans="2:2">
      <c r="B1487" s="149">
        <v>45315</v>
      </c>
    </row>
    <row r="1488" spans="2:2">
      <c r="B1488" s="149">
        <v>45316</v>
      </c>
    </row>
    <row r="1489" spans="2:2">
      <c r="B1489" s="149">
        <v>45317</v>
      </c>
    </row>
    <row r="1490" spans="2:2">
      <c r="B1490" s="149">
        <v>45318</v>
      </c>
    </row>
    <row r="1491" spans="2:2">
      <c r="B1491" s="149">
        <v>45319</v>
      </c>
    </row>
    <row r="1492" spans="2:2">
      <c r="B1492" s="149">
        <v>45320</v>
      </c>
    </row>
    <row r="1493" spans="2:2">
      <c r="B1493" s="149">
        <v>45321</v>
      </c>
    </row>
    <row r="1494" spans="2:2">
      <c r="B1494" s="149">
        <v>45322</v>
      </c>
    </row>
    <row r="1495" spans="2:2">
      <c r="B1495" s="149">
        <v>45323</v>
      </c>
    </row>
    <row r="1496" spans="2:2">
      <c r="B1496" s="149">
        <v>45324</v>
      </c>
    </row>
    <row r="1497" spans="2:2">
      <c r="B1497" s="149">
        <v>45325</v>
      </c>
    </row>
    <row r="1498" spans="2:2">
      <c r="B1498" s="149">
        <v>45326</v>
      </c>
    </row>
    <row r="1499" spans="2:2">
      <c r="B1499" s="149">
        <v>45327</v>
      </c>
    </row>
    <row r="1500" spans="2:2">
      <c r="B1500" s="149">
        <v>45328</v>
      </c>
    </row>
    <row r="1501" spans="2:2">
      <c r="B1501" s="149">
        <v>45329</v>
      </c>
    </row>
    <row r="1502" spans="2:2">
      <c r="B1502" s="149">
        <v>45330</v>
      </c>
    </row>
    <row r="1503" spans="2:2">
      <c r="B1503" s="149">
        <v>45331</v>
      </c>
    </row>
    <row r="1504" spans="2:2">
      <c r="B1504" s="149">
        <v>45332</v>
      </c>
    </row>
    <row r="1505" spans="2:2">
      <c r="B1505" s="149">
        <v>45333</v>
      </c>
    </row>
    <row r="1506" spans="2:2">
      <c r="B1506" s="149">
        <v>45334</v>
      </c>
    </row>
    <row r="1507" spans="2:2">
      <c r="B1507" s="149">
        <v>45335</v>
      </c>
    </row>
    <row r="1508" spans="2:2">
      <c r="B1508" s="149">
        <v>45336</v>
      </c>
    </row>
    <row r="1509" spans="2:2">
      <c r="B1509" s="149">
        <v>45337</v>
      </c>
    </row>
    <row r="1510" spans="2:2">
      <c r="B1510" s="149">
        <v>45338</v>
      </c>
    </row>
    <row r="1511" spans="2:2">
      <c r="B1511" s="149">
        <v>45339</v>
      </c>
    </row>
    <row r="1512" spans="2:2">
      <c r="B1512" s="149">
        <v>45340</v>
      </c>
    </row>
    <row r="1513" spans="2:2">
      <c r="B1513" s="149">
        <v>45341</v>
      </c>
    </row>
    <row r="1514" spans="2:2">
      <c r="B1514" s="149">
        <v>45342</v>
      </c>
    </row>
    <row r="1515" spans="2:2">
      <c r="B1515" s="149">
        <v>45343</v>
      </c>
    </row>
    <row r="1516" spans="2:2">
      <c r="B1516" s="149">
        <v>45344</v>
      </c>
    </row>
    <row r="1517" spans="2:2">
      <c r="B1517" s="149">
        <v>45345</v>
      </c>
    </row>
    <row r="1518" spans="2:2">
      <c r="B1518" s="149">
        <v>45346</v>
      </c>
    </row>
    <row r="1519" spans="2:2">
      <c r="B1519" s="149">
        <v>45347</v>
      </c>
    </row>
    <row r="1520" spans="2:2">
      <c r="B1520" s="149">
        <v>45348</v>
      </c>
    </row>
    <row r="1521" spans="2:2">
      <c r="B1521" s="149">
        <v>45349</v>
      </c>
    </row>
    <row r="1522" spans="2:2">
      <c r="B1522" s="149">
        <v>45350</v>
      </c>
    </row>
    <row r="1523" spans="2:2">
      <c r="B1523" s="149">
        <v>45351</v>
      </c>
    </row>
    <row r="1524" spans="2:2">
      <c r="B1524" s="149">
        <v>45352</v>
      </c>
    </row>
    <row r="1525" spans="2:2">
      <c r="B1525" s="149">
        <v>45353</v>
      </c>
    </row>
    <row r="1526" spans="2:2">
      <c r="B1526" s="149">
        <v>45354</v>
      </c>
    </row>
    <row r="1527" spans="2:2">
      <c r="B1527" s="149">
        <v>45355</v>
      </c>
    </row>
    <row r="1528" spans="2:2">
      <c r="B1528" s="149">
        <v>45356</v>
      </c>
    </row>
    <row r="1529" spans="2:2">
      <c r="B1529" s="149">
        <v>45357</v>
      </c>
    </row>
    <row r="1530" spans="2:2">
      <c r="B1530" s="149">
        <v>45358</v>
      </c>
    </row>
    <row r="1531" spans="2:2">
      <c r="B1531" s="149">
        <v>45359</v>
      </c>
    </row>
    <row r="1532" spans="2:2">
      <c r="B1532" s="149">
        <v>45360</v>
      </c>
    </row>
    <row r="1533" spans="2:2">
      <c r="B1533" s="149">
        <v>45361</v>
      </c>
    </row>
    <row r="1534" spans="2:2">
      <c r="B1534" s="149">
        <v>45362</v>
      </c>
    </row>
    <row r="1535" spans="2:2">
      <c r="B1535" s="149">
        <v>45363</v>
      </c>
    </row>
    <row r="1536" spans="2:2">
      <c r="B1536" s="149">
        <v>45364</v>
      </c>
    </row>
    <row r="1537" spans="2:2">
      <c r="B1537" s="149">
        <v>45365</v>
      </c>
    </row>
    <row r="1538" spans="2:2">
      <c r="B1538" s="149">
        <v>45366</v>
      </c>
    </row>
    <row r="1539" spans="2:2">
      <c r="B1539" s="149">
        <v>45367</v>
      </c>
    </row>
    <row r="1540" spans="2:2">
      <c r="B1540" s="149">
        <v>45368</v>
      </c>
    </row>
    <row r="1541" spans="2:2">
      <c r="B1541" s="149">
        <v>45369</v>
      </c>
    </row>
    <row r="1542" spans="2:2">
      <c r="B1542" s="149">
        <v>45370</v>
      </c>
    </row>
    <row r="1543" spans="2:2">
      <c r="B1543" s="149">
        <v>45371</v>
      </c>
    </row>
    <row r="1544" spans="2:2">
      <c r="B1544" s="149">
        <v>45372</v>
      </c>
    </row>
    <row r="1545" spans="2:2">
      <c r="B1545" s="149">
        <v>45373</v>
      </c>
    </row>
    <row r="1546" spans="2:2">
      <c r="B1546" s="149">
        <v>45374</v>
      </c>
    </row>
    <row r="1547" spans="2:2">
      <c r="B1547" s="149">
        <v>45375</v>
      </c>
    </row>
    <row r="1548" spans="2:2">
      <c r="B1548" s="149">
        <v>45376</v>
      </c>
    </row>
    <row r="1549" spans="2:2">
      <c r="B1549" s="149">
        <v>45377</v>
      </c>
    </row>
    <row r="1550" spans="2:2">
      <c r="B1550" s="149">
        <v>45378</v>
      </c>
    </row>
    <row r="1551" spans="2:2">
      <c r="B1551" s="149">
        <v>45379</v>
      </c>
    </row>
    <row r="1552" spans="2:2">
      <c r="B1552" s="149">
        <v>45380</v>
      </c>
    </row>
    <row r="1553" spans="2:2">
      <c r="B1553" s="149">
        <v>45381</v>
      </c>
    </row>
    <row r="1554" spans="2:2">
      <c r="B1554" s="149">
        <v>45382</v>
      </c>
    </row>
    <row r="1555" spans="2:2">
      <c r="B1555" s="149">
        <v>45383</v>
      </c>
    </row>
    <row r="1556" spans="2:2">
      <c r="B1556" s="149">
        <v>45384</v>
      </c>
    </row>
    <row r="1557" spans="2:2">
      <c r="B1557" s="149">
        <v>45385</v>
      </c>
    </row>
    <row r="1558" spans="2:2">
      <c r="B1558" s="149">
        <v>45386</v>
      </c>
    </row>
    <row r="1559" spans="2:2">
      <c r="B1559" s="149">
        <v>45387</v>
      </c>
    </row>
    <row r="1560" spans="2:2">
      <c r="B1560" s="149">
        <v>45388</v>
      </c>
    </row>
    <row r="1561" spans="2:2">
      <c r="B1561" s="149">
        <v>45389</v>
      </c>
    </row>
    <row r="1562" spans="2:2">
      <c r="B1562" s="149">
        <v>45390</v>
      </c>
    </row>
    <row r="1563" spans="2:2">
      <c r="B1563" s="149">
        <v>45391</v>
      </c>
    </row>
    <row r="1564" spans="2:2">
      <c r="B1564" s="149">
        <v>45392</v>
      </c>
    </row>
    <row r="1565" spans="2:2">
      <c r="B1565" s="149">
        <v>45393</v>
      </c>
    </row>
    <row r="1566" spans="2:2">
      <c r="B1566" s="149">
        <v>45394</v>
      </c>
    </row>
    <row r="1567" spans="2:2">
      <c r="B1567" s="149">
        <v>45395</v>
      </c>
    </row>
    <row r="1568" spans="2:2">
      <c r="B1568" s="149">
        <v>45396</v>
      </c>
    </row>
    <row r="1569" spans="2:2">
      <c r="B1569" s="149">
        <v>45397</v>
      </c>
    </row>
    <row r="1570" spans="2:2">
      <c r="B1570" s="149">
        <v>45398</v>
      </c>
    </row>
    <row r="1571" spans="2:2">
      <c r="B1571" s="149">
        <v>45399</v>
      </c>
    </row>
    <row r="1572" spans="2:2">
      <c r="B1572" s="149">
        <v>45400</v>
      </c>
    </row>
    <row r="1573" spans="2:2">
      <c r="B1573" s="149">
        <v>45401</v>
      </c>
    </row>
    <row r="1574" spans="2:2">
      <c r="B1574" s="149">
        <v>45402</v>
      </c>
    </row>
    <row r="1575" spans="2:2">
      <c r="B1575" s="149">
        <v>45403</v>
      </c>
    </row>
    <row r="1576" spans="2:2">
      <c r="B1576" s="149">
        <v>45404</v>
      </c>
    </row>
    <row r="1577" spans="2:2">
      <c r="B1577" s="149">
        <v>45405</v>
      </c>
    </row>
    <row r="1578" spans="2:2">
      <c r="B1578" s="149">
        <v>45406</v>
      </c>
    </row>
    <row r="1579" spans="2:2">
      <c r="B1579" s="149">
        <v>45407</v>
      </c>
    </row>
    <row r="1580" spans="2:2">
      <c r="B1580" s="149">
        <v>45408</v>
      </c>
    </row>
    <row r="1581" spans="2:2">
      <c r="B1581" s="149">
        <v>45409</v>
      </c>
    </row>
    <row r="1582" spans="2:2">
      <c r="B1582" s="149">
        <v>45410</v>
      </c>
    </row>
    <row r="1583" spans="2:2">
      <c r="B1583" s="149">
        <v>45411</v>
      </c>
    </row>
    <row r="1584" spans="2:2">
      <c r="B1584" s="149">
        <v>45412</v>
      </c>
    </row>
    <row r="1585" spans="2:2">
      <c r="B1585" s="149">
        <v>45413</v>
      </c>
    </row>
    <row r="1586" spans="2:2">
      <c r="B1586" s="149">
        <v>45414</v>
      </c>
    </row>
    <row r="1587" spans="2:2">
      <c r="B1587" s="149">
        <v>45415</v>
      </c>
    </row>
    <row r="1588" spans="2:2">
      <c r="B1588" s="149">
        <v>45416</v>
      </c>
    </row>
    <row r="1589" spans="2:2">
      <c r="B1589" s="149">
        <v>45417</v>
      </c>
    </row>
    <row r="1590" spans="2:2">
      <c r="B1590" s="149">
        <v>45418</v>
      </c>
    </row>
    <row r="1591" spans="2:2">
      <c r="B1591" s="149">
        <v>45419</v>
      </c>
    </row>
    <row r="1592" spans="2:2">
      <c r="B1592" s="149">
        <v>45420</v>
      </c>
    </row>
    <row r="1593" spans="2:2">
      <c r="B1593" s="149">
        <v>45421</v>
      </c>
    </row>
    <row r="1594" spans="2:2">
      <c r="B1594" s="149">
        <v>45422</v>
      </c>
    </row>
    <row r="1595" spans="2:2">
      <c r="B1595" s="149">
        <v>45423</v>
      </c>
    </row>
    <row r="1596" spans="2:2">
      <c r="B1596" s="149">
        <v>45424</v>
      </c>
    </row>
    <row r="1597" spans="2:2">
      <c r="B1597" s="149">
        <v>45425</v>
      </c>
    </row>
    <row r="1598" spans="2:2">
      <c r="B1598" s="149">
        <v>45426</v>
      </c>
    </row>
    <row r="1599" spans="2:2">
      <c r="B1599" s="149">
        <v>45427</v>
      </c>
    </row>
    <row r="1600" spans="2:2">
      <c r="B1600" s="149">
        <v>45428</v>
      </c>
    </row>
    <row r="1601" spans="2:2">
      <c r="B1601" s="149">
        <v>45429</v>
      </c>
    </row>
    <row r="1602" spans="2:2">
      <c r="B1602" s="149">
        <v>45430</v>
      </c>
    </row>
    <row r="1603" spans="2:2">
      <c r="B1603" s="149">
        <v>45431</v>
      </c>
    </row>
    <row r="1604" spans="2:2">
      <c r="B1604" s="149">
        <v>45432</v>
      </c>
    </row>
    <row r="1605" spans="2:2">
      <c r="B1605" s="149">
        <v>45433</v>
      </c>
    </row>
    <row r="1606" spans="2:2">
      <c r="B1606" s="149">
        <v>45434</v>
      </c>
    </row>
    <row r="1607" spans="2:2">
      <c r="B1607" s="149">
        <v>45435</v>
      </c>
    </row>
    <row r="1608" spans="2:2">
      <c r="B1608" s="149">
        <v>45436</v>
      </c>
    </row>
    <row r="1609" spans="2:2">
      <c r="B1609" s="149">
        <v>45437</v>
      </c>
    </row>
    <row r="1610" spans="2:2">
      <c r="B1610" s="149">
        <v>45438</v>
      </c>
    </row>
    <row r="1611" spans="2:2">
      <c r="B1611" s="149">
        <v>45439</v>
      </c>
    </row>
    <row r="1612" spans="2:2">
      <c r="B1612" s="149">
        <v>45440</v>
      </c>
    </row>
    <row r="1613" spans="2:2">
      <c r="B1613" s="149">
        <v>45441</v>
      </c>
    </row>
    <row r="1614" spans="2:2">
      <c r="B1614" s="149">
        <v>45442</v>
      </c>
    </row>
    <row r="1615" spans="2:2">
      <c r="B1615" s="149">
        <v>45443</v>
      </c>
    </row>
    <row r="1616" spans="2:2">
      <c r="B1616" s="149">
        <v>45444</v>
      </c>
    </row>
    <row r="1617" spans="2:2">
      <c r="B1617" s="149">
        <v>45445</v>
      </c>
    </row>
    <row r="1618" spans="2:2">
      <c r="B1618" s="149">
        <v>45446</v>
      </c>
    </row>
    <row r="1619" spans="2:2">
      <c r="B1619" s="149">
        <v>45447</v>
      </c>
    </row>
    <row r="1620" spans="2:2">
      <c r="B1620" s="149">
        <v>45448</v>
      </c>
    </row>
    <row r="1621" spans="2:2">
      <c r="B1621" s="149">
        <v>45449</v>
      </c>
    </row>
    <row r="1622" spans="2:2">
      <c r="B1622" s="149">
        <v>45450</v>
      </c>
    </row>
    <row r="1623" spans="2:2">
      <c r="B1623" s="149">
        <v>45451</v>
      </c>
    </row>
    <row r="1624" spans="2:2">
      <c r="B1624" s="149">
        <v>45452</v>
      </c>
    </row>
    <row r="1625" spans="2:2">
      <c r="B1625" s="149">
        <v>45453</v>
      </c>
    </row>
    <row r="1626" spans="2:2">
      <c r="B1626" s="149">
        <v>45454</v>
      </c>
    </row>
    <row r="1627" spans="2:2">
      <c r="B1627" s="149">
        <v>45455</v>
      </c>
    </row>
    <row r="1628" spans="2:2">
      <c r="B1628" s="149">
        <v>45456</v>
      </c>
    </row>
    <row r="1629" spans="2:2">
      <c r="B1629" s="149">
        <v>45457</v>
      </c>
    </row>
    <row r="1630" spans="2:2">
      <c r="B1630" s="149">
        <v>45458</v>
      </c>
    </row>
    <row r="1631" spans="2:2">
      <c r="B1631" s="149">
        <v>45459</v>
      </c>
    </row>
    <row r="1632" spans="2:2">
      <c r="B1632" s="149">
        <v>45460</v>
      </c>
    </row>
    <row r="1633" spans="2:2">
      <c r="B1633" s="149">
        <v>45461</v>
      </c>
    </row>
    <row r="1634" spans="2:2">
      <c r="B1634" s="149">
        <v>45462</v>
      </c>
    </row>
    <row r="1635" spans="2:2">
      <c r="B1635" s="149">
        <v>45463</v>
      </c>
    </row>
    <row r="1636" spans="2:2">
      <c r="B1636" s="149">
        <v>45464</v>
      </c>
    </row>
    <row r="1637" spans="2:2">
      <c r="B1637" s="149">
        <v>45465</v>
      </c>
    </row>
    <row r="1638" spans="2:2">
      <c r="B1638" s="149">
        <v>45466</v>
      </c>
    </row>
    <row r="1639" spans="2:2">
      <c r="B1639" s="149">
        <v>45467</v>
      </c>
    </row>
    <row r="1640" spans="2:2">
      <c r="B1640" s="149">
        <v>45468</v>
      </c>
    </row>
    <row r="1641" spans="2:2">
      <c r="B1641" s="149">
        <v>45469</v>
      </c>
    </row>
    <row r="1642" spans="2:2">
      <c r="B1642" s="149">
        <v>45470</v>
      </c>
    </row>
    <row r="1643" spans="2:2">
      <c r="B1643" s="149">
        <v>45471</v>
      </c>
    </row>
    <row r="1644" spans="2:2">
      <c r="B1644" s="149">
        <v>45472</v>
      </c>
    </row>
    <row r="1645" spans="2:2">
      <c r="B1645" s="149">
        <v>45473</v>
      </c>
    </row>
    <row r="1646" spans="2:2">
      <c r="B1646" s="149">
        <v>45474</v>
      </c>
    </row>
    <row r="1647" spans="2:2">
      <c r="B1647" s="149">
        <v>45475</v>
      </c>
    </row>
    <row r="1648" spans="2:2">
      <c r="B1648" s="149">
        <v>45476</v>
      </c>
    </row>
    <row r="1649" spans="2:2">
      <c r="B1649" s="149">
        <v>45477</v>
      </c>
    </row>
    <row r="1650" spans="2:2">
      <c r="B1650" s="149">
        <v>45478</v>
      </c>
    </row>
    <row r="1651" spans="2:2">
      <c r="B1651" s="149">
        <v>45479</v>
      </c>
    </row>
    <row r="1652" spans="2:2">
      <c r="B1652" s="149">
        <v>45480</v>
      </c>
    </row>
    <row r="1653" spans="2:2">
      <c r="B1653" s="149">
        <v>45481</v>
      </c>
    </row>
    <row r="1654" spans="2:2">
      <c r="B1654" s="149">
        <v>45482</v>
      </c>
    </row>
    <row r="1655" spans="2:2">
      <c r="B1655" s="149">
        <v>45483</v>
      </c>
    </row>
    <row r="1656" spans="2:2">
      <c r="B1656" s="149">
        <v>45484</v>
      </c>
    </row>
    <row r="1657" spans="2:2">
      <c r="B1657" s="149">
        <v>45485</v>
      </c>
    </row>
    <row r="1658" spans="2:2">
      <c r="B1658" s="149">
        <v>45486</v>
      </c>
    </row>
    <row r="1659" spans="2:2">
      <c r="B1659" s="149">
        <v>45487</v>
      </c>
    </row>
    <row r="1660" spans="2:2">
      <c r="B1660" s="149">
        <v>45488</v>
      </c>
    </row>
    <row r="1661" spans="2:2">
      <c r="B1661" s="149">
        <v>45489</v>
      </c>
    </row>
    <row r="1662" spans="2:2">
      <c r="B1662" s="149">
        <v>45490</v>
      </c>
    </row>
    <row r="1663" spans="2:2">
      <c r="B1663" s="149">
        <v>45491</v>
      </c>
    </row>
    <row r="1664" spans="2:2">
      <c r="B1664" s="149">
        <v>45492</v>
      </c>
    </row>
    <row r="1665" spans="2:2">
      <c r="B1665" s="149">
        <v>45493</v>
      </c>
    </row>
    <row r="1666" spans="2:2">
      <c r="B1666" s="149">
        <v>45494</v>
      </c>
    </row>
    <row r="1667" spans="2:2">
      <c r="B1667" s="149">
        <v>45495</v>
      </c>
    </row>
    <row r="1668" spans="2:2">
      <c r="B1668" s="149">
        <v>45496</v>
      </c>
    </row>
    <row r="1669" spans="2:2">
      <c r="B1669" s="149">
        <v>45497</v>
      </c>
    </row>
    <row r="1670" spans="2:2">
      <c r="B1670" s="149">
        <v>45498</v>
      </c>
    </row>
    <row r="1671" spans="2:2">
      <c r="B1671" s="149">
        <v>45499</v>
      </c>
    </row>
    <row r="1672" spans="2:2">
      <c r="B1672" s="149">
        <v>45500</v>
      </c>
    </row>
    <row r="1673" spans="2:2">
      <c r="B1673" s="149">
        <v>45501</v>
      </c>
    </row>
    <row r="1674" spans="2:2">
      <c r="B1674" s="149">
        <v>45502</v>
      </c>
    </row>
    <row r="1675" spans="2:2">
      <c r="B1675" s="149">
        <v>45503</v>
      </c>
    </row>
    <row r="1676" spans="2:2">
      <c r="B1676" s="149">
        <v>45504</v>
      </c>
    </row>
    <row r="1677" spans="2:2">
      <c r="B1677" s="149">
        <v>45505</v>
      </c>
    </row>
    <row r="1678" spans="2:2">
      <c r="B1678" s="149">
        <v>45506</v>
      </c>
    </row>
    <row r="1679" spans="2:2">
      <c r="B1679" s="149">
        <v>45507</v>
      </c>
    </row>
    <row r="1680" spans="2:2">
      <c r="B1680" s="149">
        <v>45508</v>
      </c>
    </row>
    <row r="1681" spans="2:2">
      <c r="B1681" s="149">
        <v>45509</v>
      </c>
    </row>
    <row r="1682" spans="2:2">
      <c r="B1682" s="149">
        <v>45510</v>
      </c>
    </row>
    <row r="1683" spans="2:2">
      <c r="B1683" s="149">
        <v>45511</v>
      </c>
    </row>
    <row r="1684" spans="2:2">
      <c r="B1684" s="149">
        <v>45512</v>
      </c>
    </row>
    <row r="1685" spans="2:2">
      <c r="B1685" s="149">
        <v>45513</v>
      </c>
    </row>
    <row r="1686" spans="2:2">
      <c r="B1686" s="149">
        <v>45514</v>
      </c>
    </row>
    <row r="1687" spans="2:2">
      <c r="B1687" s="149">
        <v>45515</v>
      </c>
    </row>
    <row r="1688" spans="2:2">
      <c r="B1688" s="149">
        <v>45516</v>
      </c>
    </row>
    <row r="1689" spans="2:2">
      <c r="B1689" s="149">
        <v>45517</v>
      </c>
    </row>
    <row r="1690" spans="2:2">
      <c r="B1690" s="149">
        <v>45518</v>
      </c>
    </row>
    <row r="1691" spans="2:2">
      <c r="B1691" s="149">
        <v>45519</v>
      </c>
    </row>
    <row r="1692" spans="2:2">
      <c r="B1692" s="149">
        <v>45520</v>
      </c>
    </row>
    <row r="1693" spans="2:2">
      <c r="B1693" s="149">
        <v>45521</v>
      </c>
    </row>
    <row r="1694" spans="2:2">
      <c r="B1694" s="149">
        <v>45522</v>
      </c>
    </row>
    <row r="1695" spans="2:2">
      <c r="B1695" s="149">
        <v>45523</v>
      </c>
    </row>
    <row r="1696" spans="2:2">
      <c r="B1696" s="149">
        <v>45524</v>
      </c>
    </row>
    <row r="1697" spans="2:2">
      <c r="B1697" s="149">
        <v>45525</v>
      </c>
    </row>
    <row r="1698" spans="2:2">
      <c r="B1698" s="149">
        <v>45526</v>
      </c>
    </row>
    <row r="1699" spans="2:2">
      <c r="B1699" s="149">
        <v>45527</v>
      </c>
    </row>
    <row r="1700" spans="2:2">
      <c r="B1700" s="149">
        <v>45528</v>
      </c>
    </row>
    <row r="1701" spans="2:2">
      <c r="B1701" s="149">
        <v>45529</v>
      </c>
    </row>
    <row r="1702" spans="2:2">
      <c r="B1702" s="149">
        <v>45530</v>
      </c>
    </row>
    <row r="1703" spans="2:2">
      <c r="B1703" s="149">
        <v>45531</v>
      </c>
    </row>
    <row r="1704" spans="2:2">
      <c r="B1704" s="149">
        <v>45532</v>
      </c>
    </row>
    <row r="1705" spans="2:2">
      <c r="B1705" s="149">
        <v>45533</v>
      </c>
    </row>
    <row r="1706" spans="2:2">
      <c r="B1706" s="149">
        <v>45534</v>
      </c>
    </row>
    <row r="1707" spans="2:2">
      <c r="B1707" s="149">
        <v>45535</v>
      </c>
    </row>
    <row r="1708" spans="2:2">
      <c r="B1708" s="149">
        <v>45536</v>
      </c>
    </row>
    <row r="1709" spans="2:2">
      <c r="B1709" s="149">
        <v>45537</v>
      </c>
    </row>
    <row r="1710" spans="2:2">
      <c r="B1710" s="149">
        <v>45538</v>
      </c>
    </row>
    <row r="1711" spans="2:2">
      <c r="B1711" s="149">
        <v>45539</v>
      </c>
    </row>
    <row r="1712" spans="2:2">
      <c r="B1712" s="149">
        <v>45540</v>
      </c>
    </row>
    <row r="1713" spans="2:2">
      <c r="B1713" s="149">
        <v>45541</v>
      </c>
    </row>
    <row r="1714" spans="2:2">
      <c r="B1714" s="149">
        <v>45542</v>
      </c>
    </row>
    <row r="1715" spans="2:2">
      <c r="B1715" s="149">
        <v>45543</v>
      </c>
    </row>
    <row r="1716" spans="2:2">
      <c r="B1716" s="149">
        <v>45544</v>
      </c>
    </row>
    <row r="1717" spans="2:2">
      <c r="B1717" s="149">
        <v>45545</v>
      </c>
    </row>
    <row r="1718" spans="2:2">
      <c r="B1718" s="149">
        <v>45546</v>
      </c>
    </row>
    <row r="1719" spans="2:2">
      <c r="B1719" s="149">
        <v>45547</v>
      </c>
    </row>
    <row r="1720" spans="2:2">
      <c r="B1720" s="149">
        <v>45548</v>
      </c>
    </row>
    <row r="1721" spans="2:2">
      <c r="B1721" s="149">
        <v>45549</v>
      </c>
    </row>
    <row r="1722" spans="2:2">
      <c r="B1722" s="149">
        <v>45550</v>
      </c>
    </row>
    <row r="1723" spans="2:2">
      <c r="B1723" s="149">
        <v>45551</v>
      </c>
    </row>
    <row r="1724" spans="2:2">
      <c r="B1724" s="149">
        <v>45552</v>
      </c>
    </row>
    <row r="1725" spans="2:2">
      <c r="B1725" s="149">
        <v>45553</v>
      </c>
    </row>
    <row r="1726" spans="2:2">
      <c r="B1726" s="149">
        <v>45554</v>
      </c>
    </row>
    <row r="1727" spans="2:2">
      <c r="B1727" s="149">
        <v>45555</v>
      </c>
    </row>
    <row r="1728" spans="2:2">
      <c r="B1728" s="149">
        <v>45556</v>
      </c>
    </row>
    <row r="1729" spans="2:2">
      <c r="B1729" s="149">
        <v>45557</v>
      </c>
    </row>
    <row r="1730" spans="2:2">
      <c r="B1730" s="149">
        <v>45558</v>
      </c>
    </row>
    <row r="1731" spans="2:2">
      <c r="B1731" s="149">
        <v>45559</v>
      </c>
    </row>
    <row r="1732" spans="2:2">
      <c r="B1732" s="149">
        <v>45560</v>
      </c>
    </row>
    <row r="1733" spans="2:2">
      <c r="B1733" s="149">
        <v>45561</v>
      </c>
    </row>
    <row r="1734" spans="2:2">
      <c r="B1734" s="149">
        <v>45562</v>
      </c>
    </row>
    <row r="1735" spans="2:2">
      <c r="B1735" s="149">
        <v>45563</v>
      </c>
    </row>
    <row r="1736" spans="2:2">
      <c r="B1736" s="149">
        <v>45564</v>
      </c>
    </row>
    <row r="1737" spans="2:2">
      <c r="B1737" s="149">
        <v>45565</v>
      </c>
    </row>
    <row r="1738" spans="2:2">
      <c r="B1738" s="149">
        <v>45566</v>
      </c>
    </row>
    <row r="1739" spans="2:2">
      <c r="B1739" s="149">
        <v>45567</v>
      </c>
    </row>
    <row r="1740" spans="2:2">
      <c r="B1740" s="149">
        <v>45568</v>
      </c>
    </row>
    <row r="1741" spans="2:2">
      <c r="B1741" s="149">
        <v>45569</v>
      </c>
    </row>
    <row r="1742" spans="2:2">
      <c r="B1742" s="149">
        <v>45570</v>
      </c>
    </row>
    <row r="1743" spans="2:2">
      <c r="B1743" s="149">
        <v>45571</v>
      </c>
    </row>
    <row r="1744" spans="2:2">
      <c r="B1744" s="149">
        <v>45572</v>
      </c>
    </row>
    <row r="1745" spans="2:2">
      <c r="B1745" s="149">
        <v>45573</v>
      </c>
    </row>
    <row r="1746" spans="2:2">
      <c r="B1746" s="149">
        <v>45574</v>
      </c>
    </row>
    <row r="1747" spans="2:2">
      <c r="B1747" s="149">
        <v>45575</v>
      </c>
    </row>
    <row r="1748" spans="2:2">
      <c r="B1748" s="149">
        <v>45576</v>
      </c>
    </row>
    <row r="1749" spans="2:2">
      <c r="B1749" s="149">
        <v>45577</v>
      </c>
    </row>
    <row r="1750" spans="2:2">
      <c r="B1750" s="149">
        <v>45578</v>
      </c>
    </row>
    <row r="1751" spans="2:2">
      <c r="B1751" s="149">
        <v>45579</v>
      </c>
    </row>
    <row r="1752" spans="2:2">
      <c r="B1752" s="149">
        <v>45580</v>
      </c>
    </row>
    <row r="1753" spans="2:2">
      <c r="B1753" s="149">
        <v>45581</v>
      </c>
    </row>
    <row r="1754" spans="2:2">
      <c r="B1754" s="149">
        <v>45582</v>
      </c>
    </row>
    <row r="1755" spans="2:2">
      <c r="B1755" s="149">
        <v>45583</v>
      </c>
    </row>
    <row r="1756" spans="2:2">
      <c r="B1756" s="149">
        <v>45584</v>
      </c>
    </row>
    <row r="1757" spans="2:2">
      <c r="B1757" s="149">
        <v>45585</v>
      </c>
    </row>
    <row r="1758" spans="2:2">
      <c r="B1758" s="149">
        <v>45586</v>
      </c>
    </row>
    <row r="1759" spans="2:2">
      <c r="B1759" s="149">
        <v>45587</v>
      </c>
    </row>
    <row r="1760" spans="2:2">
      <c r="B1760" s="149">
        <v>45588</v>
      </c>
    </row>
    <row r="1761" spans="2:2">
      <c r="B1761" s="149">
        <v>45589</v>
      </c>
    </row>
    <row r="1762" spans="2:2">
      <c r="B1762" s="149">
        <v>45590</v>
      </c>
    </row>
    <row r="1763" spans="2:2">
      <c r="B1763" s="149">
        <v>45591</v>
      </c>
    </row>
    <row r="1764" spans="2:2">
      <c r="B1764" s="149">
        <v>45592</v>
      </c>
    </row>
    <row r="1765" spans="2:2">
      <c r="B1765" s="149">
        <v>45593</v>
      </c>
    </row>
    <row r="1766" spans="2:2">
      <c r="B1766" s="149">
        <v>45594</v>
      </c>
    </row>
    <row r="1767" spans="2:2">
      <c r="B1767" s="149">
        <v>45595</v>
      </c>
    </row>
    <row r="1768" spans="2:2">
      <c r="B1768" s="149">
        <v>45596</v>
      </c>
    </row>
    <row r="1769" spans="2:2">
      <c r="B1769" s="149">
        <v>45597</v>
      </c>
    </row>
    <row r="1770" spans="2:2">
      <c r="B1770" s="149">
        <v>45598</v>
      </c>
    </row>
    <row r="1771" spans="2:2">
      <c r="B1771" s="149">
        <v>45599</v>
      </c>
    </row>
    <row r="1772" spans="2:2">
      <c r="B1772" s="149">
        <v>45600</v>
      </c>
    </row>
    <row r="1773" spans="2:2">
      <c r="B1773" s="149">
        <v>45601</v>
      </c>
    </row>
    <row r="1774" spans="2:2">
      <c r="B1774" s="149">
        <v>45602</v>
      </c>
    </row>
    <row r="1775" spans="2:2">
      <c r="B1775" s="149">
        <v>45603</v>
      </c>
    </row>
    <row r="1776" spans="2:2">
      <c r="B1776" s="149">
        <v>45604</v>
      </c>
    </row>
    <row r="1777" spans="2:2">
      <c r="B1777" s="149">
        <v>45605</v>
      </c>
    </row>
    <row r="1778" spans="2:2">
      <c r="B1778" s="149">
        <v>45606</v>
      </c>
    </row>
    <row r="1779" spans="2:2">
      <c r="B1779" s="149">
        <v>45607</v>
      </c>
    </row>
    <row r="1780" spans="2:2">
      <c r="B1780" s="149">
        <v>45608</v>
      </c>
    </row>
    <row r="1781" spans="2:2">
      <c r="B1781" s="149">
        <v>45609</v>
      </c>
    </row>
    <row r="1782" spans="2:2">
      <c r="B1782" s="149">
        <v>45610</v>
      </c>
    </row>
    <row r="1783" spans="2:2">
      <c r="B1783" s="149">
        <v>45611</v>
      </c>
    </row>
    <row r="1784" spans="2:2">
      <c r="B1784" s="149">
        <v>45612</v>
      </c>
    </row>
    <row r="1785" spans="2:2">
      <c r="B1785" s="149">
        <v>45613</v>
      </c>
    </row>
    <row r="1786" spans="2:2">
      <c r="B1786" s="149">
        <v>45614</v>
      </c>
    </row>
    <row r="1787" spans="2:2">
      <c r="B1787" s="149">
        <v>45615</v>
      </c>
    </row>
    <row r="1788" spans="2:2">
      <c r="B1788" s="149">
        <v>45616</v>
      </c>
    </row>
    <row r="1789" spans="2:2">
      <c r="B1789" s="149">
        <v>45617</v>
      </c>
    </row>
    <row r="1790" spans="2:2">
      <c r="B1790" s="149">
        <v>45618</v>
      </c>
    </row>
    <row r="1791" spans="2:2">
      <c r="B1791" s="149">
        <v>45619</v>
      </c>
    </row>
    <row r="1792" spans="2:2">
      <c r="B1792" s="149">
        <v>45620</v>
      </c>
    </row>
    <row r="1793" spans="2:2">
      <c r="B1793" s="149">
        <v>45621</v>
      </c>
    </row>
    <row r="1794" spans="2:2">
      <c r="B1794" s="149">
        <v>45622</v>
      </c>
    </row>
    <row r="1795" spans="2:2">
      <c r="B1795" s="149">
        <v>45623</v>
      </c>
    </row>
    <row r="1796" spans="2:2">
      <c r="B1796" s="149">
        <v>45624</v>
      </c>
    </row>
    <row r="1797" spans="2:2">
      <c r="B1797" s="149">
        <v>45625</v>
      </c>
    </row>
    <row r="1798" spans="2:2">
      <c r="B1798" s="149">
        <v>45626</v>
      </c>
    </row>
    <row r="1799" spans="2:2">
      <c r="B1799" s="149">
        <v>45627</v>
      </c>
    </row>
    <row r="1800" spans="2:2">
      <c r="B1800" s="149">
        <v>45628</v>
      </c>
    </row>
    <row r="1801" spans="2:2">
      <c r="B1801" s="149">
        <v>45629</v>
      </c>
    </row>
    <row r="1802" spans="2:2">
      <c r="B1802" s="149">
        <v>45630</v>
      </c>
    </row>
    <row r="1803" spans="2:2">
      <c r="B1803" s="149">
        <v>45631</v>
      </c>
    </row>
    <row r="1804" spans="2:2">
      <c r="B1804" s="149">
        <v>45632</v>
      </c>
    </row>
    <row r="1805" spans="2:2">
      <c r="B1805" s="149">
        <v>45633</v>
      </c>
    </row>
    <row r="1806" spans="2:2">
      <c r="B1806" s="149">
        <v>45634</v>
      </c>
    </row>
    <row r="1807" spans="2:2">
      <c r="B1807" s="149">
        <v>45635</v>
      </c>
    </row>
    <row r="1808" spans="2:2">
      <c r="B1808" s="149">
        <v>45636</v>
      </c>
    </row>
    <row r="1809" spans="2:2">
      <c r="B1809" s="149">
        <v>45637</v>
      </c>
    </row>
    <row r="1810" spans="2:2">
      <c r="B1810" s="149">
        <v>45638</v>
      </c>
    </row>
    <row r="1811" spans="2:2">
      <c r="B1811" s="149">
        <v>45639</v>
      </c>
    </row>
    <row r="1812" spans="2:2">
      <c r="B1812" s="149">
        <v>45640</v>
      </c>
    </row>
    <row r="1813" spans="2:2">
      <c r="B1813" s="149">
        <v>45641</v>
      </c>
    </row>
    <row r="1814" spans="2:2">
      <c r="B1814" s="149">
        <v>45642</v>
      </c>
    </row>
    <row r="1815" spans="2:2">
      <c r="B1815" s="149">
        <v>45643</v>
      </c>
    </row>
    <row r="1816" spans="2:2">
      <c r="B1816" s="149">
        <v>45644</v>
      </c>
    </row>
    <row r="1817" spans="2:2">
      <c r="B1817" s="149">
        <v>45645</v>
      </c>
    </row>
    <row r="1818" spans="2:2">
      <c r="B1818" s="149">
        <v>45646</v>
      </c>
    </row>
    <row r="1819" spans="2:2">
      <c r="B1819" s="149">
        <v>45647</v>
      </c>
    </row>
    <row r="1820" spans="2:2">
      <c r="B1820" s="149">
        <v>45648</v>
      </c>
    </row>
    <row r="1821" spans="2:2">
      <c r="B1821" s="149">
        <v>45649</v>
      </c>
    </row>
    <row r="1822" spans="2:2">
      <c r="B1822" s="149">
        <v>45650</v>
      </c>
    </row>
    <row r="1823" spans="2:2">
      <c r="B1823" s="149">
        <v>45651</v>
      </c>
    </row>
    <row r="1824" spans="2:2">
      <c r="B1824" s="149">
        <v>45652</v>
      </c>
    </row>
    <row r="1825" spans="2:2">
      <c r="B1825" s="149">
        <v>45653</v>
      </c>
    </row>
    <row r="1826" spans="2:2">
      <c r="B1826" s="149">
        <v>45654</v>
      </c>
    </row>
    <row r="1827" spans="2:2">
      <c r="B1827" s="149">
        <v>45655</v>
      </c>
    </row>
    <row r="1828" spans="2:2">
      <c r="B1828" s="149">
        <v>45656</v>
      </c>
    </row>
    <row r="1829" spans="2:2">
      <c r="B1829" s="149">
        <v>45657</v>
      </c>
    </row>
    <row r="1830" spans="2:2">
      <c r="B1830" s="149">
        <v>45658</v>
      </c>
    </row>
    <row r="1831" spans="2:2">
      <c r="B1831" s="149">
        <v>45659</v>
      </c>
    </row>
    <row r="1832" spans="2:2">
      <c r="B1832" s="149">
        <v>45660</v>
      </c>
    </row>
    <row r="1833" spans="2:2">
      <c r="B1833" s="149">
        <v>45661</v>
      </c>
    </row>
    <row r="1834" spans="2:2">
      <c r="B1834" s="149">
        <v>45662</v>
      </c>
    </row>
    <row r="1835" spans="2:2">
      <c r="B1835" s="149">
        <v>45663</v>
      </c>
    </row>
    <row r="1836" spans="2:2">
      <c r="B1836" s="149">
        <v>45664</v>
      </c>
    </row>
    <row r="1837" spans="2:2">
      <c r="B1837" s="149">
        <v>45665</v>
      </c>
    </row>
    <row r="1838" spans="2:2">
      <c r="B1838" s="149">
        <v>45666</v>
      </c>
    </row>
    <row r="1839" spans="2:2">
      <c r="B1839" s="149">
        <v>45667</v>
      </c>
    </row>
    <row r="1840" spans="2:2">
      <c r="B1840" s="149">
        <v>45668</v>
      </c>
    </row>
    <row r="1841" spans="2:2">
      <c r="B1841" s="149">
        <v>45669</v>
      </c>
    </row>
    <row r="1842" spans="2:2">
      <c r="B1842" s="149">
        <v>45670</v>
      </c>
    </row>
    <row r="1843" spans="2:2">
      <c r="B1843" s="149">
        <v>45671</v>
      </c>
    </row>
    <row r="1844" spans="2:2">
      <c r="B1844" s="149">
        <v>45672</v>
      </c>
    </row>
    <row r="1845" spans="2:2">
      <c r="B1845" s="149">
        <v>45673</v>
      </c>
    </row>
    <row r="1846" spans="2:2">
      <c r="B1846" s="149">
        <v>45674</v>
      </c>
    </row>
    <row r="1847" spans="2:2">
      <c r="B1847" s="149">
        <v>45675</v>
      </c>
    </row>
    <row r="1848" spans="2:2">
      <c r="B1848" s="149">
        <v>45676</v>
      </c>
    </row>
    <row r="1849" spans="2:2">
      <c r="B1849" s="149">
        <v>45677</v>
      </c>
    </row>
    <row r="1850" spans="2:2">
      <c r="B1850" s="149">
        <v>45678</v>
      </c>
    </row>
    <row r="1851" spans="2:2">
      <c r="B1851" s="149">
        <v>45679</v>
      </c>
    </row>
    <row r="1852" spans="2:2">
      <c r="B1852" s="149">
        <v>45680</v>
      </c>
    </row>
    <row r="1853" spans="2:2">
      <c r="B1853" s="149">
        <v>45681</v>
      </c>
    </row>
    <row r="1854" spans="2:2">
      <c r="B1854" s="149">
        <v>45682</v>
      </c>
    </row>
    <row r="1855" spans="2:2">
      <c r="B1855" s="149">
        <v>45683</v>
      </c>
    </row>
    <row r="1856" spans="2:2">
      <c r="B1856" s="149">
        <v>45684</v>
      </c>
    </row>
    <row r="1857" spans="2:2">
      <c r="B1857" s="149">
        <v>45685</v>
      </c>
    </row>
    <row r="1858" spans="2:2">
      <c r="B1858" s="149">
        <v>45686</v>
      </c>
    </row>
    <row r="1859" spans="2:2">
      <c r="B1859" s="149">
        <v>45687</v>
      </c>
    </row>
    <row r="1860" spans="2:2">
      <c r="B1860" s="149">
        <v>45688</v>
      </c>
    </row>
    <row r="1861" spans="2:2">
      <c r="B1861" s="149">
        <v>45689</v>
      </c>
    </row>
    <row r="1862" spans="2:2">
      <c r="B1862" s="149">
        <v>45690</v>
      </c>
    </row>
    <row r="1863" spans="2:2">
      <c r="B1863" s="149">
        <v>45691</v>
      </c>
    </row>
    <row r="1864" spans="2:2">
      <c r="B1864" s="149">
        <v>45692</v>
      </c>
    </row>
    <row r="1865" spans="2:2">
      <c r="B1865" s="149">
        <v>45693</v>
      </c>
    </row>
    <row r="1866" spans="2:2">
      <c r="B1866" s="149">
        <v>45694</v>
      </c>
    </row>
    <row r="1867" spans="2:2">
      <c r="B1867" s="149">
        <v>45695</v>
      </c>
    </row>
    <row r="1868" spans="2:2">
      <c r="B1868" s="149">
        <v>45696</v>
      </c>
    </row>
    <row r="1869" spans="2:2">
      <c r="B1869" s="149">
        <v>45697</v>
      </c>
    </row>
    <row r="1870" spans="2:2">
      <c r="B1870" s="149">
        <v>45698</v>
      </c>
    </row>
    <row r="1871" spans="2:2">
      <c r="B1871" s="149">
        <v>45699</v>
      </c>
    </row>
    <row r="1872" spans="2:2">
      <c r="B1872" s="149">
        <v>45700</v>
      </c>
    </row>
    <row r="1873" spans="2:2">
      <c r="B1873" s="149">
        <v>45701</v>
      </c>
    </row>
    <row r="1874" spans="2:2">
      <c r="B1874" s="149">
        <v>45702</v>
      </c>
    </row>
    <row r="1875" spans="2:2">
      <c r="B1875" s="149">
        <v>45703</v>
      </c>
    </row>
    <row r="1876" spans="2:2">
      <c r="B1876" s="149">
        <v>45704</v>
      </c>
    </row>
    <row r="1877" spans="2:2">
      <c r="B1877" s="149">
        <v>45705</v>
      </c>
    </row>
    <row r="1878" spans="2:2">
      <c r="B1878" s="149">
        <v>45706</v>
      </c>
    </row>
    <row r="1879" spans="2:2">
      <c r="B1879" s="149">
        <v>45707</v>
      </c>
    </row>
    <row r="1880" spans="2:2">
      <c r="B1880" s="149">
        <v>45708</v>
      </c>
    </row>
    <row r="1881" spans="2:2">
      <c r="B1881" s="149">
        <v>45709</v>
      </c>
    </row>
    <row r="1882" spans="2:2">
      <c r="B1882" s="149">
        <v>45710</v>
      </c>
    </row>
    <row r="1883" spans="2:2">
      <c r="B1883" s="149">
        <v>45711</v>
      </c>
    </row>
    <row r="1884" spans="2:2">
      <c r="B1884" s="149">
        <v>45712</v>
      </c>
    </row>
    <row r="1885" spans="2:2">
      <c r="B1885" s="149">
        <v>45713</v>
      </c>
    </row>
    <row r="1886" spans="2:2">
      <c r="B1886" s="149">
        <v>45714</v>
      </c>
    </row>
    <row r="1887" spans="2:2">
      <c r="B1887" s="149">
        <v>45715</v>
      </c>
    </row>
    <row r="1888" spans="2:2">
      <c r="B1888" s="149">
        <v>45716</v>
      </c>
    </row>
    <row r="1889" spans="2:2">
      <c r="B1889" s="149">
        <v>45717</v>
      </c>
    </row>
    <row r="1890" spans="2:2">
      <c r="B1890" s="149">
        <v>45718</v>
      </c>
    </row>
    <row r="1891" spans="2:2">
      <c r="B1891" s="149">
        <v>45719</v>
      </c>
    </row>
    <row r="1892" spans="2:2">
      <c r="B1892" s="149">
        <v>45720</v>
      </c>
    </row>
    <row r="1893" spans="2:2">
      <c r="B1893" s="149">
        <v>45721</v>
      </c>
    </row>
    <row r="1894" spans="2:2">
      <c r="B1894" s="149">
        <v>45722</v>
      </c>
    </row>
    <row r="1895" spans="2:2">
      <c r="B1895" s="149">
        <v>45723</v>
      </c>
    </row>
    <row r="1896" spans="2:2">
      <c r="B1896" s="149">
        <v>45724</v>
      </c>
    </row>
    <row r="1897" spans="2:2">
      <c r="B1897" s="149">
        <v>45725</v>
      </c>
    </row>
    <row r="1898" spans="2:2">
      <c r="B1898" s="149">
        <v>45726</v>
      </c>
    </row>
    <row r="1899" spans="2:2">
      <c r="B1899" s="149">
        <v>45727</v>
      </c>
    </row>
    <row r="1900" spans="2:2">
      <c r="B1900" s="149">
        <v>45728</v>
      </c>
    </row>
    <row r="1901" spans="2:2">
      <c r="B1901" s="149">
        <v>45729</v>
      </c>
    </row>
    <row r="1902" spans="2:2">
      <c r="B1902" s="149">
        <v>45730</v>
      </c>
    </row>
    <row r="1903" spans="2:2">
      <c r="B1903" s="149">
        <v>45731</v>
      </c>
    </row>
    <row r="1904" spans="2:2">
      <c r="B1904" s="149">
        <v>45732</v>
      </c>
    </row>
    <row r="1905" spans="2:2">
      <c r="B1905" s="149">
        <v>45733</v>
      </c>
    </row>
    <row r="1906" spans="2:2">
      <c r="B1906" s="149">
        <v>45734</v>
      </c>
    </row>
    <row r="1907" spans="2:2">
      <c r="B1907" s="149">
        <v>45735</v>
      </c>
    </row>
    <row r="1908" spans="2:2">
      <c r="B1908" s="149">
        <v>45736</v>
      </c>
    </row>
    <row r="1909" spans="2:2">
      <c r="B1909" s="149">
        <v>45737</v>
      </c>
    </row>
    <row r="1910" spans="2:2">
      <c r="B1910" s="149">
        <v>45738</v>
      </c>
    </row>
    <row r="1911" spans="2:2">
      <c r="B1911" s="149">
        <v>45739</v>
      </c>
    </row>
    <row r="1912" spans="2:2">
      <c r="B1912" s="149">
        <v>45740</v>
      </c>
    </row>
    <row r="1913" spans="2:2">
      <c r="B1913" s="149">
        <v>45741</v>
      </c>
    </row>
    <row r="1914" spans="2:2">
      <c r="B1914" s="149">
        <v>45742</v>
      </c>
    </row>
    <row r="1915" spans="2:2">
      <c r="B1915" s="149">
        <v>45743</v>
      </c>
    </row>
    <row r="1916" spans="2:2">
      <c r="B1916" s="149">
        <v>45744</v>
      </c>
    </row>
    <row r="1917" spans="2:2">
      <c r="B1917" s="149">
        <v>45745</v>
      </c>
    </row>
    <row r="1918" spans="2:2">
      <c r="B1918" s="149">
        <v>45746</v>
      </c>
    </row>
    <row r="1919" spans="2:2">
      <c r="B1919" s="149">
        <v>45747</v>
      </c>
    </row>
    <row r="1920" spans="2:2">
      <c r="B1920" s="149">
        <v>45748</v>
      </c>
    </row>
    <row r="1921" spans="2:2">
      <c r="B1921" s="149">
        <v>45749</v>
      </c>
    </row>
    <row r="1922" spans="2:2">
      <c r="B1922" s="149">
        <v>45750</v>
      </c>
    </row>
    <row r="1923" spans="2:2">
      <c r="B1923" s="149">
        <v>45751</v>
      </c>
    </row>
    <row r="1924" spans="2:2">
      <c r="B1924" s="149">
        <v>45752</v>
      </c>
    </row>
    <row r="1925" spans="2:2">
      <c r="B1925" s="149">
        <v>45753</v>
      </c>
    </row>
    <row r="1926" spans="2:2">
      <c r="B1926" s="149">
        <v>45754</v>
      </c>
    </row>
    <row r="1927" spans="2:2">
      <c r="B1927" s="149">
        <v>45755</v>
      </c>
    </row>
    <row r="1928" spans="2:2">
      <c r="B1928" s="149">
        <v>45756</v>
      </c>
    </row>
    <row r="1929" spans="2:2">
      <c r="B1929" s="149">
        <v>45757</v>
      </c>
    </row>
    <row r="1930" spans="2:2">
      <c r="B1930" s="149">
        <v>45758</v>
      </c>
    </row>
    <row r="1931" spans="2:2">
      <c r="B1931" s="149">
        <v>45759</v>
      </c>
    </row>
    <row r="1932" spans="2:2">
      <c r="B1932" s="149">
        <v>45760</v>
      </c>
    </row>
    <row r="1933" spans="2:2">
      <c r="B1933" s="149">
        <v>45761</v>
      </c>
    </row>
    <row r="1934" spans="2:2">
      <c r="B1934" s="149">
        <v>45762</v>
      </c>
    </row>
    <row r="1935" spans="2:2">
      <c r="B1935" s="149">
        <v>45763</v>
      </c>
    </row>
    <row r="1936" spans="2:2">
      <c r="B1936" s="149">
        <v>45764</v>
      </c>
    </row>
    <row r="1937" spans="2:2">
      <c r="B1937" s="149">
        <v>45765</v>
      </c>
    </row>
    <row r="1938" spans="2:2">
      <c r="B1938" s="149">
        <v>45766</v>
      </c>
    </row>
    <row r="1939" spans="2:2">
      <c r="B1939" s="149">
        <v>45767</v>
      </c>
    </row>
    <row r="1940" spans="2:2">
      <c r="B1940" s="149">
        <v>45768</v>
      </c>
    </row>
    <row r="1941" spans="2:2">
      <c r="B1941" s="149">
        <v>45769</v>
      </c>
    </row>
    <row r="1942" spans="2:2">
      <c r="B1942" s="149">
        <v>45770</v>
      </c>
    </row>
    <row r="1943" spans="2:2">
      <c r="B1943" s="149">
        <v>45771</v>
      </c>
    </row>
    <row r="1944" spans="2:2">
      <c r="B1944" s="149">
        <v>45772</v>
      </c>
    </row>
    <row r="1945" spans="2:2">
      <c r="B1945" s="149">
        <v>45773</v>
      </c>
    </row>
    <row r="1946" spans="2:2">
      <c r="B1946" s="149">
        <v>45774</v>
      </c>
    </row>
    <row r="1947" spans="2:2">
      <c r="B1947" s="149">
        <v>45775</v>
      </c>
    </row>
    <row r="1948" spans="2:2">
      <c r="B1948" s="149">
        <v>45776</v>
      </c>
    </row>
    <row r="1949" spans="2:2">
      <c r="B1949" s="149">
        <v>45777</v>
      </c>
    </row>
    <row r="1950" spans="2:2">
      <c r="B1950" s="149">
        <v>45778</v>
      </c>
    </row>
    <row r="1951" spans="2:2">
      <c r="B1951" s="149">
        <v>45779</v>
      </c>
    </row>
    <row r="1952" spans="2:2">
      <c r="B1952" s="149">
        <v>45780</v>
      </c>
    </row>
    <row r="1953" spans="2:2">
      <c r="B1953" s="149">
        <v>45781</v>
      </c>
    </row>
    <row r="1954" spans="2:2">
      <c r="B1954" s="149">
        <v>45782</v>
      </c>
    </row>
    <row r="1955" spans="2:2">
      <c r="B1955" s="149">
        <v>45783</v>
      </c>
    </row>
    <row r="1956" spans="2:2">
      <c r="B1956" s="149">
        <v>45784</v>
      </c>
    </row>
    <row r="1957" spans="2:2">
      <c r="B1957" s="149">
        <v>45785</v>
      </c>
    </row>
    <row r="1958" spans="2:2">
      <c r="B1958" s="149">
        <v>45786</v>
      </c>
    </row>
    <row r="1959" spans="2:2">
      <c r="B1959" s="149">
        <v>45787</v>
      </c>
    </row>
    <row r="1960" spans="2:2">
      <c r="B1960" s="149">
        <v>45788</v>
      </c>
    </row>
    <row r="1961" spans="2:2">
      <c r="B1961" s="149">
        <v>45789</v>
      </c>
    </row>
    <row r="1962" spans="2:2">
      <c r="B1962" s="149">
        <v>45790</v>
      </c>
    </row>
    <row r="1963" spans="2:2">
      <c r="B1963" s="149">
        <v>45791</v>
      </c>
    </row>
    <row r="1964" spans="2:2">
      <c r="B1964" s="149">
        <v>45792</v>
      </c>
    </row>
    <row r="1965" spans="2:2">
      <c r="B1965" s="149">
        <v>45793</v>
      </c>
    </row>
    <row r="1966" spans="2:2">
      <c r="B1966" s="149">
        <v>45794</v>
      </c>
    </row>
    <row r="1967" spans="2:2">
      <c r="B1967" s="149">
        <v>45795</v>
      </c>
    </row>
    <row r="1968" spans="2:2">
      <c r="B1968" s="149">
        <v>45796</v>
      </c>
    </row>
    <row r="1969" spans="2:2">
      <c r="B1969" s="149">
        <v>45797</v>
      </c>
    </row>
    <row r="1970" spans="2:2">
      <c r="B1970" s="149">
        <v>45798</v>
      </c>
    </row>
    <row r="1971" spans="2:2">
      <c r="B1971" s="149">
        <v>45799</v>
      </c>
    </row>
    <row r="1972" spans="2:2">
      <c r="B1972" s="149">
        <v>45800</v>
      </c>
    </row>
    <row r="1973" spans="2:2">
      <c r="B1973" s="149">
        <v>45801</v>
      </c>
    </row>
    <row r="1974" spans="2:2">
      <c r="B1974" s="149">
        <v>45802</v>
      </c>
    </row>
    <row r="1975" spans="2:2">
      <c r="B1975" s="149">
        <v>45803</v>
      </c>
    </row>
    <row r="1976" spans="2:2">
      <c r="B1976" s="149">
        <v>45804</v>
      </c>
    </row>
    <row r="1977" spans="2:2">
      <c r="B1977" s="149">
        <v>45805</v>
      </c>
    </row>
    <row r="1978" spans="2:2">
      <c r="B1978" s="149">
        <v>45806</v>
      </c>
    </row>
    <row r="1979" spans="2:2">
      <c r="B1979" s="149">
        <v>45807</v>
      </c>
    </row>
    <row r="1980" spans="2:2">
      <c r="B1980" s="149">
        <v>45808</v>
      </c>
    </row>
    <row r="1981" spans="2:2">
      <c r="B1981" s="149">
        <v>45809</v>
      </c>
    </row>
    <row r="1982" spans="2:2">
      <c r="B1982" s="149">
        <v>45810</v>
      </c>
    </row>
    <row r="1983" spans="2:2">
      <c r="B1983" s="149">
        <v>45811</v>
      </c>
    </row>
    <row r="1984" spans="2:2">
      <c r="B1984" s="149">
        <v>45812</v>
      </c>
    </row>
    <row r="1985" spans="2:2">
      <c r="B1985" s="149">
        <v>45813</v>
      </c>
    </row>
    <row r="1986" spans="2:2">
      <c r="B1986" s="149">
        <v>45814</v>
      </c>
    </row>
    <row r="1987" spans="2:2">
      <c r="B1987" s="149">
        <v>45815</v>
      </c>
    </row>
    <row r="1988" spans="2:2">
      <c r="B1988" s="149">
        <v>45816</v>
      </c>
    </row>
    <row r="1989" spans="2:2">
      <c r="B1989" s="149">
        <v>45817</v>
      </c>
    </row>
    <row r="1990" spans="2:2">
      <c r="B1990" s="149">
        <v>45818</v>
      </c>
    </row>
    <row r="1991" spans="2:2">
      <c r="B1991" s="149">
        <v>45819</v>
      </c>
    </row>
    <row r="1992" spans="2:2">
      <c r="B1992" s="149">
        <v>45820</v>
      </c>
    </row>
    <row r="1993" spans="2:2">
      <c r="B1993" s="149">
        <v>45821</v>
      </c>
    </row>
    <row r="1994" spans="2:2">
      <c r="B1994" s="149">
        <v>45822</v>
      </c>
    </row>
    <row r="1995" spans="2:2">
      <c r="B1995" s="149">
        <v>45823</v>
      </c>
    </row>
    <row r="1996" spans="2:2">
      <c r="B1996" s="149">
        <v>45824</v>
      </c>
    </row>
    <row r="1997" spans="2:2">
      <c r="B1997" s="149">
        <v>45825</v>
      </c>
    </row>
    <row r="1998" spans="2:2">
      <c r="B1998" s="149">
        <v>45826</v>
      </c>
    </row>
    <row r="1999" spans="2:2">
      <c r="B1999" s="149">
        <v>45827</v>
      </c>
    </row>
    <row r="2000" spans="2:2">
      <c r="B2000" s="149">
        <v>45828</v>
      </c>
    </row>
    <row r="2001" spans="2:2">
      <c r="B2001" s="149">
        <v>45829</v>
      </c>
    </row>
    <row r="2002" spans="2:2">
      <c r="B2002" s="149">
        <v>45830</v>
      </c>
    </row>
    <row r="2003" spans="2:2">
      <c r="B2003" s="149">
        <v>45831</v>
      </c>
    </row>
    <row r="2004" spans="2:2">
      <c r="B2004" s="149">
        <v>45832</v>
      </c>
    </row>
    <row r="2005" spans="2:2">
      <c r="B2005" s="149">
        <v>45833</v>
      </c>
    </row>
    <row r="2006" spans="2:2">
      <c r="B2006" s="149">
        <v>45834</v>
      </c>
    </row>
    <row r="2007" spans="2:2">
      <c r="B2007" s="149">
        <v>45835</v>
      </c>
    </row>
    <row r="2008" spans="2:2">
      <c r="B2008" s="149">
        <v>45836</v>
      </c>
    </row>
    <row r="2009" spans="2:2">
      <c r="B2009" s="149">
        <v>45837</v>
      </c>
    </row>
    <row r="2010" spans="2:2">
      <c r="B2010" s="149">
        <v>45838</v>
      </c>
    </row>
    <row r="2011" spans="2:2">
      <c r="B2011" s="149">
        <v>45839</v>
      </c>
    </row>
    <row r="2012" spans="2:2">
      <c r="B2012" s="149">
        <v>45840</v>
      </c>
    </row>
    <row r="2013" spans="2:2">
      <c r="B2013" s="149">
        <v>45841</v>
      </c>
    </row>
    <row r="2014" spans="2:2">
      <c r="B2014" s="149">
        <v>45842</v>
      </c>
    </row>
    <row r="2015" spans="2:2">
      <c r="B2015" s="149">
        <v>45843</v>
      </c>
    </row>
    <row r="2016" spans="2:2">
      <c r="B2016" s="149">
        <v>45844</v>
      </c>
    </row>
    <row r="2017" spans="2:2">
      <c r="B2017" s="149">
        <v>45845</v>
      </c>
    </row>
    <row r="2018" spans="2:2">
      <c r="B2018" s="149">
        <v>45846</v>
      </c>
    </row>
    <row r="2019" spans="2:2">
      <c r="B2019" s="149">
        <v>45847</v>
      </c>
    </row>
    <row r="2020" spans="2:2">
      <c r="B2020" s="149">
        <v>45848</v>
      </c>
    </row>
    <row r="2021" spans="2:2">
      <c r="B2021" s="149">
        <v>45849</v>
      </c>
    </row>
    <row r="2022" spans="2:2">
      <c r="B2022" s="149">
        <v>45850</v>
      </c>
    </row>
    <row r="2023" spans="2:2">
      <c r="B2023" s="149">
        <v>45851</v>
      </c>
    </row>
    <row r="2024" spans="2:2">
      <c r="B2024" s="149">
        <v>45852</v>
      </c>
    </row>
    <row r="2025" spans="2:2">
      <c r="B2025" s="149">
        <v>45853</v>
      </c>
    </row>
    <row r="2026" spans="2:2">
      <c r="B2026" s="149">
        <v>45854</v>
      </c>
    </row>
    <row r="2027" spans="2:2">
      <c r="B2027" s="149">
        <v>45855</v>
      </c>
    </row>
    <row r="2028" spans="2:2">
      <c r="B2028" s="149">
        <v>45856</v>
      </c>
    </row>
    <row r="2029" spans="2:2">
      <c r="B2029" s="149">
        <v>45857</v>
      </c>
    </row>
    <row r="2030" spans="2:2">
      <c r="B2030" s="149">
        <v>45858</v>
      </c>
    </row>
    <row r="2031" spans="2:2">
      <c r="B2031" s="149">
        <v>45859</v>
      </c>
    </row>
    <row r="2032" spans="2:2">
      <c r="B2032" s="149">
        <v>45860</v>
      </c>
    </row>
    <row r="2033" spans="2:2">
      <c r="B2033" s="149">
        <v>45861</v>
      </c>
    </row>
    <row r="2034" spans="2:2">
      <c r="B2034" s="149">
        <v>45862</v>
      </c>
    </row>
    <row r="2035" spans="2:2">
      <c r="B2035" s="149">
        <v>45863</v>
      </c>
    </row>
    <row r="2036" spans="2:2">
      <c r="B2036" s="149">
        <v>45864</v>
      </c>
    </row>
    <row r="2037" spans="2:2">
      <c r="B2037" s="149">
        <v>45865</v>
      </c>
    </row>
    <row r="2038" spans="2:2">
      <c r="B2038" s="149">
        <v>45866</v>
      </c>
    </row>
    <row r="2039" spans="2:2">
      <c r="B2039" s="149">
        <v>45867</v>
      </c>
    </row>
    <row r="2040" spans="2:2">
      <c r="B2040" s="149">
        <v>45868</v>
      </c>
    </row>
    <row r="2041" spans="2:2">
      <c r="B2041" s="149">
        <v>45869</v>
      </c>
    </row>
    <row r="2042" spans="2:2">
      <c r="B2042" s="149">
        <v>45870</v>
      </c>
    </row>
    <row r="2043" spans="2:2">
      <c r="B2043" s="149">
        <v>45871</v>
      </c>
    </row>
    <row r="2044" spans="2:2">
      <c r="B2044" s="149">
        <v>45872</v>
      </c>
    </row>
    <row r="2045" spans="2:2">
      <c r="B2045" s="149">
        <v>45873</v>
      </c>
    </row>
    <row r="2046" spans="2:2">
      <c r="B2046" s="149">
        <v>45874</v>
      </c>
    </row>
    <row r="2047" spans="2:2">
      <c r="B2047" s="149">
        <v>45875</v>
      </c>
    </row>
    <row r="2048" spans="2:2">
      <c r="B2048" s="149">
        <v>45876</v>
      </c>
    </row>
    <row r="2049" spans="2:2">
      <c r="B2049" s="149">
        <v>45877</v>
      </c>
    </row>
    <row r="2050" spans="2:2">
      <c r="B2050" s="149">
        <v>45878</v>
      </c>
    </row>
    <row r="2051" spans="2:2">
      <c r="B2051" s="149">
        <v>45879</v>
      </c>
    </row>
    <row r="2052" spans="2:2">
      <c r="B2052" s="149">
        <v>45880</v>
      </c>
    </row>
    <row r="2053" spans="2:2">
      <c r="B2053" s="149">
        <v>45881</v>
      </c>
    </row>
    <row r="2054" spans="2:2">
      <c r="B2054" s="149">
        <v>45882</v>
      </c>
    </row>
    <row r="2055" spans="2:2">
      <c r="B2055" s="149">
        <v>45883</v>
      </c>
    </row>
    <row r="2056" spans="2:2">
      <c r="B2056" s="149">
        <v>45884</v>
      </c>
    </row>
    <row r="2057" spans="2:2">
      <c r="B2057" s="149">
        <v>45885</v>
      </c>
    </row>
    <row r="2058" spans="2:2">
      <c r="B2058" s="149">
        <v>45886</v>
      </c>
    </row>
    <row r="2059" spans="2:2">
      <c r="B2059" s="149">
        <v>45887</v>
      </c>
    </row>
    <row r="2060" spans="2:2">
      <c r="B2060" s="149">
        <v>45888</v>
      </c>
    </row>
    <row r="2061" spans="2:2">
      <c r="B2061" s="149">
        <v>45889</v>
      </c>
    </row>
    <row r="2062" spans="2:2">
      <c r="B2062" s="149">
        <v>45890</v>
      </c>
    </row>
    <row r="2063" spans="2:2">
      <c r="B2063" s="149">
        <v>45891</v>
      </c>
    </row>
    <row r="2064" spans="2:2">
      <c r="B2064" s="149">
        <v>45892</v>
      </c>
    </row>
    <row r="2065" spans="2:2">
      <c r="B2065" s="149">
        <v>45893</v>
      </c>
    </row>
    <row r="2066" spans="2:2">
      <c r="B2066" s="149">
        <v>45894</v>
      </c>
    </row>
    <row r="2067" spans="2:2">
      <c r="B2067" s="149">
        <v>45895</v>
      </c>
    </row>
    <row r="2068" spans="2:2">
      <c r="B2068" s="149">
        <v>45896</v>
      </c>
    </row>
    <row r="2069" spans="2:2">
      <c r="B2069" s="149">
        <v>45897</v>
      </c>
    </row>
    <row r="2070" spans="2:2">
      <c r="B2070" s="149">
        <v>45898</v>
      </c>
    </row>
    <row r="2071" spans="2:2">
      <c r="B2071" s="149">
        <v>45899</v>
      </c>
    </row>
    <row r="2072" spans="2:2">
      <c r="B2072" s="149">
        <v>45900</v>
      </c>
    </row>
    <row r="2073" spans="2:2">
      <c r="B2073" s="149">
        <v>45901</v>
      </c>
    </row>
    <row r="2074" spans="2:2">
      <c r="B2074" s="149">
        <v>45902</v>
      </c>
    </row>
    <row r="2075" spans="2:2">
      <c r="B2075" s="149">
        <v>45903</v>
      </c>
    </row>
    <row r="2076" spans="2:2">
      <c r="B2076" s="149">
        <v>45904</v>
      </c>
    </row>
    <row r="2077" spans="2:2">
      <c r="B2077" s="149">
        <v>45905</v>
      </c>
    </row>
    <row r="2078" spans="2:2">
      <c r="B2078" s="149">
        <v>45906</v>
      </c>
    </row>
    <row r="2079" spans="2:2">
      <c r="B2079" s="149">
        <v>45907</v>
      </c>
    </row>
    <row r="2080" spans="2:2">
      <c r="B2080" s="149">
        <v>45908</v>
      </c>
    </row>
    <row r="2081" spans="2:2">
      <c r="B2081" s="149">
        <v>45909</v>
      </c>
    </row>
    <row r="2082" spans="2:2">
      <c r="B2082" s="149">
        <v>45910</v>
      </c>
    </row>
    <row r="2083" spans="2:2">
      <c r="B2083" s="149">
        <v>45911</v>
      </c>
    </row>
    <row r="2084" spans="2:2">
      <c r="B2084" s="149">
        <v>45912</v>
      </c>
    </row>
    <row r="2085" spans="2:2">
      <c r="B2085" s="149">
        <v>45913</v>
      </c>
    </row>
    <row r="2086" spans="2:2">
      <c r="B2086" s="149">
        <v>45914</v>
      </c>
    </row>
    <row r="2087" spans="2:2">
      <c r="B2087" s="149">
        <v>45915</v>
      </c>
    </row>
    <row r="2088" spans="2:2">
      <c r="B2088" s="149">
        <v>45916</v>
      </c>
    </row>
    <row r="2089" spans="2:2">
      <c r="B2089" s="149">
        <v>45917</v>
      </c>
    </row>
    <row r="2090" spans="2:2">
      <c r="B2090" s="149">
        <v>45918</v>
      </c>
    </row>
    <row r="2091" spans="2:2">
      <c r="B2091" s="149">
        <v>45919</v>
      </c>
    </row>
    <row r="2092" spans="2:2">
      <c r="B2092" s="149">
        <v>45920</v>
      </c>
    </row>
    <row r="2093" spans="2:2">
      <c r="B2093" s="149">
        <v>45921</v>
      </c>
    </row>
    <row r="2094" spans="2:2">
      <c r="B2094" s="149">
        <v>45922</v>
      </c>
    </row>
    <row r="2095" spans="2:2">
      <c r="B2095" s="149">
        <v>45923</v>
      </c>
    </row>
    <row r="2096" spans="2:2">
      <c r="B2096" s="149">
        <v>45924</v>
      </c>
    </row>
    <row r="2097" spans="2:2">
      <c r="B2097" s="149">
        <v>45925</v>
      </c>
    </row>
    <row r="2098" spans="2:2">
      <c r="B2098" s="149">
        <v>45926</v>
      </c>
    </row>
    <row r="2099" spans="2:2">
      <c r="B2099" s="149">
        <v>45927</v>
      </c>
    </row>
    <row r="2100" spans="2:2">
      <c r="B2100" s="149">
        <v>45928</v>
      </c>
    </row>
    <row r="2101" spans="2:2">
      <c r="B2101" s="149">
        <v>45929</v>
      </c>
    </row>
    <row r="2102" spans="2:2">
      <c r="B2102" s="149">
        <v>45930</v>
      </c>
    </row>
    <row r="2103" spans="2:2">
      <c r="B2103" s="149">
        <v>45931</v>
      </c>
    </row>
    <row r="2104" spans="2:2">
      <c r="B2104" s="149">
        <v>45932</v>
      </c>
    </row>
    <row r="2105" spans="2:2">
      <c r="B2105" s="149">
        <v>45933</v>
      </c>
    </row>
    <row r="2106" spans="2:2">
      <c r="B2106" s="149">
        <v>45934</v>
      </c>
    </row>
    <row r="2107" spans="2:2">
      <c r="B2107" s="149">
        <v>45935</v>
      </c>
    </row>
    <row r="2108" spans="2:2">
      <c r="B2108" s="149">
        <v>45936</v>
      </c>
    </row>
    <row r="2109" spans="2:2">
      <c r="B2109" s="149">
        <v>45937</v>
      </c>
    </row>
    <row r="2110" spans="2:2">
      <c r="B2110" s="149">
        <v>45938</v>
      </c>
    </row>
    <row r="2111" spans="2:2">
      <c r="B2111" s="149">
        <v>45939</v>
      </c>
    </row>
    <row r="2112" spans="2:2">
      <c r="B2112" s="149">
        <v>45940</v>
      </c>
    </row>
    <row r="2113" spans="2:2">
      <c r="B2113" s="149">
        <v>45941</v>
      </c>
    </row>
    <row r="2114" spans="2:2">
      <c r="B2114" s="149">
        <v>45942</v>
      </c>
    </row>
    <row r="2115" spans="2:2">
      <c r="B2115" s="149">
        <v>45943</v>
      </c>
    </row>
    <row r="2116" spans="2:2">
      <c r="B2116" s="149">
        <v>45944</v>
      </c>
    </row>
    <row r="2117" spans="2:2">
      <c r="B2117" s="149">
        <v>45945</v>
      </c>
    </row>
    <row r="2118" spans="2:2">
      <c r="B2118" s="149">
        <v>45946</v>
      </c>
    </row>
    <row r="2119" spans="2:2">
      <c r="B2119" s="149">
        <v>45947</v>
      </c>
    </row>
    <row r="2120" spans="2:2">
      <c r="B2120" s="149">
        <v>45948</v>
      </c>
    </row>
    <row r="2121" spans="2:2">
      <c r="B2121" s="149">
        <v>45949</v>
      </c>
    </row>
    <row r="2122" spans="2:2">
      <c r="B2122" s="149">
        <v>45950</v>
      </c>
    </row>
    <row r="2123" spans="2:2">
      <c r="B2123" s="149">
        <v>45951</v>
      </c>
    </row>
    <row r="2124" spans="2:2">
      <c r="B2124" s="149">
        <v>45952</v>
      </c>
    </row>
    <row r="2125" spans="2:2">
      <c r="B2125" s="149">
        <v>45953</v>
      </c>
    </row>
    <row r="2126" spans="2:2">
      <c r="B2126" s="149">
        <v>45954</v>
      </c>
    </row>
    <row r="2127" spans="2:2">
      <c r="B2127" s="149">
        <v>45955</v>
      </c>
    </row>
    <row r="2128" spans="2:2">
      <c r="B2128" s="149">
        <v>45956</v>
      </c>
    </row>
    <row r="2129" spans="2:2">
      <c r="B2129" s="149">
        <v>45957</v>
      </c>
    </row>
    <row r="2130" spans="2:2">
      <c r="B2130" s="149">
        <v>45958</v>
      </c>
    </row>
    <row r="2131" spans="2:2">
      <c r="B2131" s="149">
        <v>45959</v>
      </c>
    </row>
    <row r="2132" spans="2:2">
      <c r="B2132" s="149">
        <v>45960</v>
      </c>
    </row>
    <row r="2133" spans="2:2">
      <c r="B2133" s="149">
        <v>45961</v>
      </c>
    </row>
    <row r="2134" spans="2:2">
      <c r="B2134" s="149">
        <v>45962</v>
      </c>
    </row>
    <row r="2135" spans="2:2">
      <c r="B2135" s="149">
        <v>45963</v>
      </c>
    </row>
    <row r="2136" spans="2:2">
      <c r="B2136" s="149">
        <v>45964</v>
      </c>
    </row>
    <row r="2137" spans="2:2">
      <c r="B2137" s="149">
        <v>45965</v>
      </c>
    </row>
    <row r="2138" spans="2:2">
      <c r="B2138" s="149">
        <v>45966</v>
      </c>
    </row>
    <row r="2139" spans="2:2">
      <c r="B2139" s="149">
        <v>45967</v>
      </c>
    </row>
    <row r="2140" spans="2:2">
      <c r="B2140" s="149">
        <v>45968</v>
      </c>
    </row>
    <row r="2141" spans="2:2">
      <c r="B2141" s="149">
        <v>45969</v>
      </c>
    </row>
    <row r="2142" spans="2:2">
      <c r="B2142" s="149">
        <v>45970</v>
      </c>
    </row>
    <row r="2143" spans="2:2">
      <c r="B2143" s="149">
        <v>45971</v>
      </c>
    </row>
    <row r="2144" spans="2:2">
      <c r="B2144" s="149">
        <v>45972</v>
      </c>
    </row>
    <row r="2145" spans="2:2">
      <c r="B2145" s="149">
        <v>45973</v>
      </c>
    </row>
    <row r="2146" spans="2:2">
      <c r="B2146" s="149">
        <v>45974</v>
      </c>
    </row>
    <row r="2147" spans="2:2">
      <c r="B2147" s="149">
        <v>45975</v>
      </c>
    </row>
    <row r="2148" spans="2:2">
      <c r="B2148" s="149">
        <v>45976</v>
      </c>
    </row>
    <row r="2149" spans="2:2">
      <c r="B2149" s="149">
        <v>45977</v>
      </c>
    </row>
    <row r="2150" spans="2:2">
      <c r="B2150" s="149">
        <v>45978</v>
      </c>
    </row>
    <row r="2151" spans="2:2">
      <c r="B2151" s="149">
        <v>45979</v>
      </c>
    </row>
    <row r="2152" spans="2:2">
      <c r="B2152" s="149">
        <v>45980</v>
      </c>
    </row>
    <row r="2153" spans="2:2">
      <c r="B2153" s="149">
        <v>45981</v>
      </c>
    </row>
    <row r="2154" spans="2:2">
      <c r="B2154" s="149">
        <v>45982</v>
      </c>
    </row>
    <row r="2155" spans="2:2">
      <c r="B2155" s="149">
        <v>45983</v>
      </c>
    </row>
    <row r="2156" spans="2:2">
      <c r="B2156" s="149">
        <v>45984</v>
      </c>
    </row>
    <row r="2157" spans="2:2">
      <c r="B2157" s="149">
        <v>45985</v>
      </c>
    </row>
    <row r="2158" spans="2:2">
      <c r="B2158" s="149">
        <v>45986</v>
      </c>
    </row>
    <row r="2159" spans="2:2">
      <c r="B2159" s="149">
        <v>45987</v>
      </c>
    </row>
    <row r="2160" spans="2:2">
      <c r="B2160" s="149">
        <v>45988</v>
      </c>
    </row>
    <row r="2161" spans="2:2">
      <c r="B2161" s="149">
        <v>45989</v>
      </c>
    </row>
    <row r="2162" spans="2:2">
      <c r="B2162" s="149">
        <v>45990</v>
      </c>
    </row>
    <row r="2163" spans="2:2">
      <c r="B2163" s="149">
        <v>45991</v>
      </c>
    </row>
    <row r="2164" spans="2:2">
      <c r="B2164" s="149">
        <v>45992</v>
      </c>
    </row>
    <row r="2165" spans="2:2">
      <c r="B2165" s="149">
        <v>45993</v>
      </c>
    </row>
    <row r="2166" spans="2:2">
      <c r="B2166" s="149">
        <v>45994</v>
      </c>
    </row>
    <row r="2167" spans="2:2">
      <c r="B2167" s="149">
        <v>45995</v>
      </c>
    </row>
    <row r="2168" spans="2:2">
      <c r="B2168" s="149">
        <v>45996</v>
      </c>
    </row>
    <row r="2169" spans="2:2">
      <c r="B2169" s="149">
        <v>45997</v>
      </c>
    </row>
    <row r="2170" spans="2:2">
      <c r="B2170" s="149">
        <v>45998</v>
      </c>
    </row>
    <row r="2171" spans="2:2">
      <c r="B2171" s="149">
        <v>45999</v>
      </c>
    </row>
    <row r="2172" spans="2:2">
      <c r="B2172" s="149">
        <v>46000</v>
      </c>
    </row>
    <row r="2173" spans="2:2">
      <c r="B2173" s="149">
        <v>46001</v>
      </c>
    </row>
    <row r="2174" spans="2:2">
      <c r="B2174" s="149">
        <v>46002</v>
      </c>
    </row>
    <row r="2175" spans="2:2">
      <c r="B2175" s="149">
        <v>46003</v>
      </c>
    </row>
    <row r="2176" spans="2:2">
      <c r="B2176" s="149">
        <v>46004</v>
      </c>
    </row>
    <row r="2177" spans="2:2">
      <c r="B2177" s="149">
        <v>46005</v>
      </c>
    </row>
    <row r="2178" spans="2:2">
      <c r="B2178" s="149">
        <v>46006</v>
      </c>
    </row>
    <row r="2179" spans="2:2">
      <c r="B2179" s="149">
        <v>46007</v>
      </c>
    </row>
    <row r="2180" spans="2:2">
      <c r="B2180" s="149">
        <v>46008</v>
      </c>
    </row>
    <row r="2181" spans="2:2">
      <c r="B2181" s="149">
        <v>46009</v>
      </c>
    </row>
    <row r="2182" spans="2:2">
      <c r="B2182" s="149">
        <v>46010</v>
      </c>
    </row>
    <row r="2183" spans="2:2">
      <c r="B2183" s="149">
        <v>46011</v>
      </c>
    </row>
    <row r="2184" spans="2:2">
      <c r="B2184" s="149">
        <v>46012</v>
      </c>
    </row>
    <row r="2185" spans="2:2">
      <c r="B2185" s="149">
        <v>46013</v>
      </c>
    </row>
    <row r="2186" spans="2:2">
      <c r="B2186" s="149">
        <v>46014</v>
      </c>
    </row>
    <row r="2187" spans="2:2">
      <c r="B2187" s="149">
        <v>46015</v>
      </c>
    </row>
    <row r="2188" spans="2:2">
      <c r="B2188" s="149">
        <v>46016</v>
      </c>
    </row>
    <row r="2189" spans="2:2">
      <c r="B2189" s="149">
        <v>46017</v>
      </c>
    </row>
    <row r="2190" spans="2:2">
      <c r="B2190" s="149">
        <v>46018</v>
      </c>
    </row>
    <row r="2191" spans="2:2">
      <c r="B2191" s="149">
        <v>46019</v>
      </c>
    </row>
    <row r="2192" spans="2:2">
      <c r="B2192" s="149">
        <v>46020</v>
      </c>
    </row>
    <row r="2193" spans="2:2">
      <c r="B2193" s="149">
        <v>46021</v>
      </c>
    </row>
    <row r="2194" spans="2:2">
      <c r="B2194" s="149">
        <v>46022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B4:X48"/>
  <sheetViews>
    <sheetView topLeftCell="A16" zoomScale="85" zoomScaleNormal="85" workbookViewId="0">
      <selection activeCell="D46" sqref="D46:D47"/>
    </sheetView>
  </sheetViews>
  <sheetFormatPr defaultRowHeight="14.4"/>
  <cols>
    <col min="2" max="2" width="37.109375" bestFit="1" customWidth="1"/>
    <col min="4" max="4" width="13.33203125" style="230" bestFit="1" customWidth="1"/>
    <col min="5" max="5" width="13.33203125" bestFit="1" customWidth="1"/>
    <col min="6" max="6" width="14.109375" bestFit="1" customWidth="1"/>
    <col min="7" max="7" width="14.33203125" bestFit="1" customWidth="1"/>
    <col min="8" max="8" width="15.109375" bestFit="1" customWidth="1"/>
    <col min="9" max="9" width="14.33203125" bestFit="1" customWidth="1"/>
    <col min="10" max="10" width="16.33203125" bestFit="1" customWidth="1"/>
    <col min="11" max="18" width="16.33203125" customWidth="1"/>
    <col min="19" max="19" width="10.5546875" bestFit="1" customWidth="1"/>
    <col min="20" max="20" width="16.6640625" customWidth="1"/>
    <col min="21" max="21" width="10.5546875" bestFit="1" customWidth="1"/>
    <col min="22" max="22" width="16.5546875" customWidth="1"/>
  </cols>
  <sheetData>
    <row r="4" spans="2:24">
      <c r="B4" t="s">
        <v>140</v>
      </c>
    </row>
    <row r="5" spans="2:24">
      <c r="B5" t="s">
        <v>178</v>
      </c>
      <c r="C5" s="236"/>
      <c r="D5" s="239"/>
      <c r="E5" s="1284" t="s">
        <v>161</v>
      </c>
      <c r="F5" s="1285"/>
      <c r="G5" s="1284" t="s">
        <v>171</v>
      </c>
      <c r="H5" s="1285"/>
      <c r="I5" s="1284" t="s">
        <v>222</v>
      </c>
      <c r="J5" s="1285"/>
      <c r="K5" s="1289" t="s">
        <v>225</v>
      </c>
      <c r="L5" s="1289"/>
      <c r="M5" s="1289" t="s">
        <v>271</v>
      </c>
      <c r="N5" s="1289"/>
      <c r="O5" s="1289" t="s">
        <v>272</v>
      </c>
      <c r="P5" s="1289"/>
      <c r="Q5" s="1289" t="s">
        <v>291</v>
      </c>
      <c r="R5" s="1289"/>
      <c r="S5" s="1289" t="s">
        <v>292</v>
      </c>
      <c r="T5" s="1289"/>
      <c r="U5" s="1289" t="s">
        <v>321</v>
      </c>
      <c r="V5" s="1289"/>
    </row>
    <row r="6" spans="2:24">
      <c r="B6" t="s">
        <v>141</v>
      </c>
      <c r="C6" s="236" t="s">
        <v>147</v>
      </c>
      <c r="D6" s="239" t="s">
        <v>148</v>
      </c>
      <c r="E6" s="238" t="s">
        <v>163</v>
      </c>
      <c r="F6" s="239" t="s">
        <v>162</v>
      </c>
      <c r="G6" s="238" t="s">
        <v>169</v>
      </c>
      <c r="H6" s="239" t="s">
        <v>170</v>
      </c>
      <c r="I6" s="238" t="s">
        <v>208</v>
      </c>
      <c r="J6" s="239" t="s">
        <v>209</v>
      </c>
      <c r="K6" s="239" t="s">
        <v>223</v>
      </c>
      <c r="L6" s="239" t="s">
        <v>224</v>
      </c>
      <c r="M6" s="239" t="s">
        <v>273</v>
      </c>
      <c r="N6" s="239" t="s">
        <v>274</v>
      </c>
      <c r="O6" s="239" t="s">
        <v>276</v>
      </c>
      <c r="P6" s="239" t="s">
        <v>277</v>
      </c>
      <c r="Q6" s="239" t="s">
        <v>319</v>
      </c>
      <c r="R6" s="239" t="s">
        <v>320</v>
      </c>
      <c r="S6" s="239" t="s">
        <v>327</v>
      </c>
      <c r="T6" s="239" t="s">
        <v>328</v>
      </c>
      <c r="U6" s="239" t="s">
        <v>329</v>
      </c>
      <c r="V6" s="239" t="s">
        <v>330</v>
      </c>
      <c r="W6" t="s">
        <v>342</v>
      </c>
      <c r="X6" t="s">
        <v>343</v>
      </c>
    </row>
    <row r="7" spans="2:24">
      <c r="B7" t="s">
        <v>179</v>
      </c>
      <c r="C7" s="236"/>
      <c r="D7" s="239">
        <v>1005568</v>
      </c>
      <c r="E7" s="238">
        <v>1</v>
      </c>
      <c r="F7" s="254">
        <f>Table59[[#This Row],[Rate]]*E7</f>
        <v>1005568</v>
      </c>
      <c r="G7" s="255"/>
      <c r="H7" s="255"/>
      <c r="I7" s="255"/>
      <c r="J7" s="255"/>
      <c r="K7" s="255"/>
      <c r="L7" s="255">
        <f>Table59[[#This Row],[Amount34]]*Table59[[#This Row],[Rate]]</f>
        <v>0</v>
      </c>
      <c r="M7" s="255"/>
      <c r="N7" s="255">
        <f>Table59[[#This Row],[Amount34]]*Table59[[#This Row],[Rate]]</f>
        <v>0</v>
      </c>
      <c r="O7" s="255"/>
      <c r="P7" s="255">
        <f>Table59[[#This Row],[Amount34]]*Table59[[#This Row],[Rate]]</f>
        <v>0</v>
      </c>
      <c r="Q7" s="255"/>
      <c r="R7" s="255">
        <f>Table59[[#This Row],[Amount3534]]*Table59[[#This Row],[Rate]]</f>
        <v>0</v>
      </c>
    </row>
    <row r="8" spans="2:24">
      <c r="B8" t="s">
        <v>193</v>
      </c>
      <c r="C8" s="236"/>
      <c r="D8" s="239">
        <v>251392</v>
      </c>
      <c r="E8" s="238">
        <v>1</v>
      </c>
      <c r="F8" s="254">
        <f>Table59[[#This Row],[Rate]]*E8</f>
        <v>251392</v>
      </c>
      <c r="G8" s="255"/>
      <c r="H8" s="255"/>
      <c r="I8" s="255"/>
      <c r="J8" s="255"/>
      <c r="K8" s="255"/>
      <c r="L8" s="255">
        <f>Table59[[#This Row],[Amount34]]*Table59[[#This Row],[Rate]]</f>
        <v>0</v>
      </c>
      <c r="M8" s="255"/>
      <c r="N8" s="255">
        <f>Table59[[#This Row],[Amount34]]*Table59[[#This Row],[Rate]]</f>
        <v>0</v>
      </c>
      <c r="O8" s="255"/>
      <c r="P8" s="255">
        <f>Table59[[#This Row],[Amount34]]*Table59[[#This Row],[Rate]]</f>
        <v>0</v>
      </c>
      <c r="Q8" s="255"/>
      <c r="R8" s="255">
        <f>Table59[[#This Row],[Amount3534]]*Table59[[#This Row],[Rate]]</f>
        <v>0</v>
      </c>
    </row>
    <row r="9" spans="2:24">
      <c r="B9" t="s">
        <v>180</v>
      </c>
      <c r="C9" s="236"/>
      <c r="D9" s="239">
        <v>815640</v>
      </c>
      <c r="E9" s="238">
        <v>0.97</v>
      </c>
      <c r="F9" s="254">
        <f>Table59[[#This Row],[Rate]]*E9</f>
        <v>791170.79999999993</v>
      </c>
      <c r="G9" s="255">
        <v>0.03</v>
      </c>
      <c r="H9" s="254">
        <f>Table59[[#This Row],[Rate]]*G9</f>
        <v>24469.200000000001</v>
      </c>
      <c r="I9" s="255"/>
      <c r="J9" s="255"/>
      <c r="K9" s="255"/>
      <c r="L9" s="255">
        <f>Table59[[#This Row],[Amount34]]*Table59[[#This Row],[Rate]]</f>
        <v>0</v>
      </c>
      <c r="M9" s="255"/>
      <c r="N9" s="255">
        <f>Table59[[#This Row],[Amount34]]*Table59[[#This Row],[Rate]]</f>
        <v>0</v>
      </c>
      <c r="O9" s="255"/>
      <c r="P9" s="255">
        <f>Table59[[#This Row],[Amount34]]*Table59[[#This Row],[Rate]]</f>
        <v>0</v>
      </c>
      <c r="Q9" s="255"/>
      <c r="R9" s="255">
        <f>Table59[[#This Row],[Amount3534]]*Table59[[#This Row],[Rate]]</f>
        <v>0</v>
      </c>
      <c r="S9" s="259"/>
      <c r="U9" s="259"/>
    </row>
    <row r="10" spans="2:24">
      <c r="B10" t="s">
        <v>194</v>
      </c>
      <c r="C10" s="236"/>
      <c r="D10" s="239">
        <v>203910</v>
      </c>
      <c r="E10" s="238">
        <v>0.9599990191751262</v>
      </c>
      <c r="F10" s="254">
        <f>Table59[[#This Row],[Rate]]*E10</f>
        <v>195753.4</v>
      </c>
      <c r="G10" s="255">
        <v>4.0000980824873723E-2</v>
      </c>
      <c r="H10" s="254">
        <f>Table59[[#This Row],[Rate]]*G10</f>
        <v>8156.6000000000013</v>
      </c>
      <c r="I10" s="255"/>
      <c r="J10" s="255"/>
      <c r="K10" s="255"/>
      <c r="L10" s="255">
        <f>Table59[[#This Row],[Amount34]]*Table59[[#This Row],[Rate]]</f>
        <v>0</v>
      </c>
      <c r="M10" s="255"/>
      <c r="N10" s="255">
        <f>Table59[[#This Row],[Amount34]]*Table59[[#This Row],[Rate]]</f>
        <v>0</v>
      </c>
      <c r="O10" s="255"/>
      <c r="P10" s="255">
        <f>Table59[[#This Row],[Amount34]]*Table59[[#This Row],[Rate]]</f>
        <v>0</v>
      </c>
      <c r="Q10" s="255"/>
      <c r="R10" s="255">
        <f>Table59[[#This Row],[Amount3534]]*Table59[[#This Row],[Rate]]</f>
        <v>0</v>
      </c>
      <c r="S10" s="259"/>
      <c r="U10" s="259"/>
    </row>
    <row r="11" spans="2:24">
      <c r="B11" t="s">
        <v>181</v>
      </c>
      <c r="C11" s="236"/>
      <c r="D11" s="239">
        <v>318600</v>
      </c>
      <c r="E11" s="238">
        <v>0.95999990583804129</v>
      </c>
      <c r="F11" s="254">
        <f>Table59[[#This Row],[Rate]]*E11</f>
        <v>305855.96999999997</v>
      </c>
      <c r="G11" s="255">
        <v>4.0000094161958571E-2</v>
      </c>
      <c r="H11" s="254">
        <f>Table59[[#This Row],[Rate]]*G11</f>
        <v>12744.03</v>
      </c>
      <c r="I11" s="255"/>
      <c r="J11" s="255"/>
      <c r="K11" s="255"/>
      <c r="L11" s="255">
        <f>Table59[[#This Row],[Amount34]]*Table59[[#This Row],[Rate]]</f>
        <v>0</v>
      </c>
      <c r="M11" s="255"/>
      <c r="N11" s="255">
        <f>Table59[[#This Row],[Amount34]]*Table59[[#This Row],[Rate]]</f>
        <v>0</v>
      </c>
      <c r="O11" s="255"/>
      <c r="P11" s="255">
        <f>Table59[[#This Row],[Amount34]]*Table59[[#This Row],[Rate]]</f>
        <v>0</v>
      </c>
      <c r="Q11" s="255"/>
      <c r="R11" s="255">
        <f>Table59[[#This Row],[Amount3534]]*Table59[[#This Row],[Rate]]</f>
        <v>0</v>
      </c>
      <c r="S11" s="259"/>
      <c r="U11" s="259"/>
    </row>
    <row r="12" spans="2:24">
      <c r="B12" t="s">
        <v>195</v>
      </c>
      <c r="C12" s="236"/>
      <c r="D12" s="239">
        <v>79650</v>
      </c>
      <c r="E12" s="238">
        <v>0.92465574387947269</v>
      </c>
      <c r="F12" s="254">
        <f>Table59[[#This Row],[Rate]]*E12</f>
        <v>73648.83</v>
      </c>
      <c r="G12" s="255">
        <v>7.5344256120527309E-2</v>
      </c>
      <c r="H12" s="254">
        <f>Table59[[#This Row],[Rate]]*G12</f>
        <v>6001.17</v>
      </c>
      <c r="I12" s="255"/>
      <c r="J12" s="255"/>
      <c r="K12" s="255"/>
      <c r="L12" s="255">
        <f>Table59[[#This Row],[Amount34]]*Table59[[#This Row],[Rate]]</f>
        <v>0</v>
      </c>
      <c r="M12" s="255"/>
      <c r="N12" s="255">
        <f>Table59[[#This Row],[Amount34]]*Table59[[#This Row],[Rate]]</f>
        <v>0</v>
      </c>
      <c r="O12" s="255"/>
      <c r="P12" s="255">
        <f>Table59[[#This Row],[Amount34]]*Table59[[#This Row],[Rate]]</f>
        <v>0</v>
      </c>
      <c r="Q12" s="255"/>
      <c r="R12" s="255">
        <f>Table59[[#This Row],[Amount3534]]*Table59[[#This Row],[Rate]]</f>
        <v>0</v>
      </c>
      <c r="S12" s="259"/>
      <c r="U12" s="259"/>
    </row>
    <row r="13" spans="2:24">
      <c r="B13" t="s">
        <v>182</v>
      </c>
      <c r="C13" s="236"/>
      <c r="D13" s="239">
        <v>1564632</v>
      </c>
      <c r="E13" s="238"/>
      <c r="F13" s="254"/>
      <c r="G13" s="255">
        <v>1</v>
      </c>
      <c r="H13" s="254">
        <f>Table59[[#This Row],[Rate]]*G13</f>
        <v>1564632</v>
      </c>
      <c r="I13" s="255"/>
      <c r="J13" s="255"/>
      <c r="K13" s="255"/>
      <c r="L13" s="255">
        <f>Table59[[#This Row],[Amount34]]*Table59[[#This Row],[Rate]]</f>
        <v>0</v>
      </c>
      <c r="M13" s="255"/>
      <c r="N13" s="255">
        <f>Table59[[#This Row],[Amount34]]*Table59[[#This Row],[Rate]]</f>
        <v>0</v>
      </c>
      <c r="O13" s="255"/>
      <c r="P13" s="255">
        <f>Table59[[#This Row],[Amount34]]*Table59[[#This Row],[Rate]]</f>
        <v>0</v>
      </c>
      <c r="Q13" s="255"/>
      <c r="R13" s="255">
        <f>Table59[[#This Row],[Amount3534]]*Table59[[#This Row],[Rate]]</f>
        <v>0</v>
      </c>
      <c r="S13" s="259"/>
      <c r="U13" s="259"/>
    </row>
    <row r="14" spans="2:24">
      <c r="B14" t="s">
        <v>196</v>
      </c>
      <c r="C14" s="236"/>
      <c r="D14" s="239">
        <v>391158</v>
      </c>
      <c r="E14" s="238"/>
      <c r="F14" s="254"/>
      <c r="G14" s="255">
        <v>1</v>
      </c>
      <c r="H14" s="254">
        <f>Table59[[#This Row],[Rate]]*G14</f>
        <v>391158</v>
      </c>
      <c r="I14" s="255"/>
      <c r="J14" s="255"/>
      <c r="K14" s="255"/>
      <c r="L14" s="255">
        <f>Table59[[#This Row],[Amount34]]*Table59[[#This Row],[Rate]]</f>
        <v>0</v>
      </c>
      <c r="M14" s="255"/>
      <c r="N14" s="255">
        <f>Table59[[#This Row],[Amount34]]*Table59[[#This Row],[Rate]]</f>
        <v>0</v>
      </c>
      <c r="O14" s="255"/>
      <c r="P14" s="255">
        <f>Table59[[#This Row],[Amount34]]*Table59[[#This Row],[Rate]]</f>
        <v>0</v>
      </c>
      <c r="Q14" s="255"/>
      <c r="R14" s="255">
        <f>Table59[[#This Row],[Amount3534]]*Table59[[#This Row],[Rate]]</f>
        <v>0</v>
      </c>
      <c r="S14" s="259"/>
      <c r="U14" s="259"/>
    </row>
    <row r="15" spans="2:24">
      <c r="B15" t="s">
        <v>183</v>
      </c>
      <c r="C15" s="236"/>
      <c r="D15" s="239">
        <v>1795968</v>
      </c>
      <c r="E15" s="238"/>
      <c r="F15" s="254"/>
      <c r="G15" s="255">
        <v>0.44150170270294353</v>
      </c>
      <c r="H15" s="254">
        <f>Table59[[#This Row],[Rate]]*G15</f>
        <v>792922.93</v>
      </c>
      <c r="I15" s="255">
        <v>0.55849829729705647</v>
      </c>
      <c r="J15" s="254">
        <f>Table59[[#This Row],[Quantity22]]*Table59[[#This Row],[Rate]]</f>
        <v>1003045.07</v>
      </c>
      <c r="K15" s="254"/>
      <c r="L15" s="254">
        <f>Table59[[#This Row],[Amount34]]*Table59[[#This Row],[Rate]]</f>
        <v>0</v>
      </c>
      <c r="M15" s="254"/>
      <c r="N15" s="254">
        <f>Table59[[#This Row],[Amount34]]*Table59[[#This Row],[Rate]]</f>
        <v>0</v>
      </c>
      <c r="O15" s="254"/>
      <c r="P15" s="254">
        <f>Table59[[#This Row],[Amount34]]*Table59[[#This Row],[Rate]]</f>
        <v>0</v>
      </c>
      <c r="Q15" s="254"/>
      <c r="R15" s="254">
        <f>Table59[[#This Row],[Amount3534]]*Table59[[#This Row],[Rate]]</f>
        <v>0</v>
      </c>
      <c r="S15" s="259"/>
      <c r="U15" s="259"/>
    </row>
    <row r="16" spans="2:24">
      <c r="B16" t="s">
        <v>197</v>
      </c>
      <c r="C16" s="236"/>
      <c r="D16" s="239">
        <v>448992</v>
      </c>
      <c r="E16" s="238"/>
      <c r="F16" s="254"/>
      <c r="G16" s="255">
        <v>0.4</v>
      </c>
      <c r="H16" s="254">
        <f>Table59[[#This Row],[Rate]]*G16</f>
        <v>179596.80000000002</v>
      </c>
      <c r="I16" s="255">
        <v>0.6</v>
      </c>
      <c r="J16" s="254">
        <f>Table59[[#This Row],[Quantity22]]*Table59[[#This Row],[Rate]]</f>
        <v>269395.20000000001</v>
      </c>
      <c r="K16" s="254"/>
      <c r="L16" s="254">
        <f>Table59[[#This Row],[Amount34]]*Table59[[#This Row],[Rate]]</f>
        <v>0</v>
      </c>
      <c r="M16" s="254"/>
      <c r="N16" s="254">
        <f>Table59[[#This Row],[Amount34]]*Table59[[#This Row],[Rate]]</f>
        <v>0</v>
      </c>
      <c r="O16" s="254"/>
      <c r="P16" s="254">
        <f>Table59[[#This Row],[Amount34]]*Table59[[#This Row],[Rate]]</f>
        <v>0</v>
      </c>
      <c r="Q16" s="254"/>
      <c r="R16" s="254">
        <f>Table59[[#This Row],[Amount3534]]*Table59[[#This Row],[Rate]]</f>
        <v>0</v>
      </c>
      <c r="S16" s="259"/>
      <c r="U16" s="259"/>
    </row>
    <row r="17" spans="2:21">
      <c r="B17" t="s">
        <v>184</v>
      </c>
      <c r="C17" s="236"/>
      <c r="D17" s="239">
        <v>425800</v>
      </c>
      <c r="E17" s="238"/>
      <c r="F17" s="254"/>
      <c r="G17" s="255"/>
      <c r="H17" s="254">
        <f>Table59[[#This Row],[Rate]]*G17</f>
        <v>0</v>
      </c>
      <c r="I17" s="255">
        <v>1</v>
      </c>
      <c r="J17" s="254">
        <f>Table59[[#This Row],[Quantity22]]*Table59[[#This Row],[Rate]]</f>
        <v>425800</v>
      </c>
      <c r="K17" s="254"/>
      <c r="L17" s="254">
        <f>Table59[[#This Row],[Amount34]]*Table59[[#This Row],[Rate]]</f>
        <v>0</v>
      </c>
      <c r="M17" s="254"/>
      <c r="N17" s="254">
        <f>Table59[[#This Row],[Amount34]]*Table59[[#This Row],[Rate]]</f>
        <v>0</v>
      </c>
      <c r="O17" s="254"/>
      <c r="P17" s="254">
        <f>Table59[[#This Row],[Amount34]]*Table59[[#This Row],[Rate]]</f>
        <v>0</v>
      </c>
      <c r="Q17" s="254"/>
      <c r="R17" s="254">
        <f>Table59[[#This Row],[Amount3534]]*Table59[[#This Row],[Rate]]</f>
        <v>0</v>
      </c>
      <c r="S17" s="259"/>
      <c r="U17" s="259"/>
    </row>
    <row r="18" spans="2:21">
      <c r="B18" t="s">
        <v>198</v>
      </c>
      <c r="C18" s="236"/>
      <c r="D18" s="239">
        <v>106450</v>
      </c>
      <c r="E18" s="238"/>
      <c r="F18" s="254"/>
      <c r="G18" s="255"/>
      <c r="H18" s="254">
        <f>Table59[[#This Row],[Rate]]*G18</f>
        <v>0</v>
      </c>
      <c r="I18" s="255">
        <v>1</v>
      </c>
      <c r="J18" s="254">
        <f>Table59[[#This Row],[Quantity22]]*Table59[[#This Row],[Rate]]</f>
        <v>106450</v>
      </c>
      <c r="K18" s="254"/>
      <c r="L18" s="254">
        <f>Table59[[#This Row],[Amount34]]*Table59[[#This Row],[Rate]]</f>
        <v>0</v>
      </c>
      <c r="M18" s="254"/>
      <c r="N18" s="254">
        <f>Table59[[#This Row],[Amount34]]*Table59[[#This Row],[Rate]]</f>
        <v>0</v>
      </c>
      <c r="O18" s="254"/>
      <c r="P18" s="254">
        <f>Table59[[#This Row],[Amount34]]*Table59[[#This Row],[Rate]]</f>
        <v>0</v>
      </c>
      <c r="Q18" s="254"/>
      <c r="R18" s="254">
        <f>Table59[[#This Row],[Amount3534]]*Table59[[#This Row],[Rate]]</f>
        <v>0</v>
      </c>
      <c r="S18" s="259"/>
      <c r="U18" s="259"/>
    </row>
    <row r="19" spans="2:21">
      <c r="B19" t="s">
        <v>185</v>
      </c>
      <c r="C19" s="236"/>
      <c r="D19" s="239">
        <v>55096</v>
      </c>
      <c r="E19" s="238"/>
      <c r="F19" s="254"/>
      <c r="G19" s="255">
        <v>0.7</v>
      </c>
      <c r="H19" s="254">
        <f>Table59[[#This Row],[Rate]]*G19</f>
        <v>38567.199999999997</v>
      </c>
      <c r="I19" s="255">
        <v>0.3</v>
      </c>
      <c r="J19" s="254">
        <f>Table59[[#This Row],[Quantity22]]*Table59[[#This Row],[Rate]]</f>
        <v>16528.8</v>
      </c>
      <c r="K19" s="254"/>
      <c r="L19" s="254">
        <f>Table59[[#This Row],[Amount34]]*Table59[[#This Row],[Rate]]</f>
        <v>0</v>
      </c>
      <c r="M19" s="254"/>
      <c r="N19" s="254">
        <f>Table59[[#This Row],[Amount34]]*Table59[[#This Row],[Rate]]</f>
        <v>0</v>
      </c>
      <c r="O19" s="254"/>
      <c r="P19" s="254">
        <f>Table59[[#This Row],[Amount34]]*Table59[[#This Row],[Rate]]</f>
        <v>0</v>
      </c>
      <c r="Q19" s="254"/>
      <c r="R19" s="254">
        <f>Table59[[#This Row],[Amount3534]]*Table59[[#This Row],[Rate]]</f>
        <v>0</v>
      </c>
      <c r="S19" s="259"/>
      <c r="U19" s="259"/>
    </row>
    <row r="20" spans="2:21">
      <c r="B20" t="s">
        <v>199</v>
      </c>
      <c r="C20" s="236"/>
      <c r="D20" s="239">
        <v>13774</v>
      </c>
      <c r="E20" s="238"/>
      <c r="F20" s="254"/>
      <c r="G20" s="255">
        <v>0.7009997095977929</v>
      </c>
      <c r="H20" s="254">
        <f>Table59[[#This Row],[Rate]]*G20</f>
        <v>9655.57</v>
      </c>
      <c r="I20" s="255">
        <v>0.2990002904022071</v>
      </c>
      <c r="J20" s="254">
        <f>Table59[[#This Row],[Quantity22]]*Table59[[#This Row],[Rate]]</f>
        <v>4118.43</v>
      </c>
      <c r="K20" s="254"/>
      <c r="L20" s="254">
        <f>Table59[[#This Row],[Amount34]]*Table59[[#This Row],[Rate]]</f>
        <v>0</v>
      </c>
      <c r="M20" s="254"/>
      <c r="N20" s="254">
        <f>Table59[[#This Row],[Amount34]]*Table59[[#This Row],[Rate]]</f>
        <v>0</v>
      </c>
      <c r="O20" s="254"/>
      <c r="P20" s="254">
        <f>Table59[[#This Row],[Amount34]]*Table59[[#This Row],[Rate]]</f>
        <v>0</v>
      </c>
      <c r="Q20" s="254"/>
      <c r="R20" s="254">
        <f>Table59[[#This Row],[Amount3534]]*Table59[[#This Row],[Rate]]</f>
        <v>0</v>
      </c>
      <c r="S20" s="259"/>
      <c r="U20" s="259"/>
    </row>
    <row r="21" spans="2:21">
      <c r="B21" t="s">
        <v>187</v>
      </c>
      <c r="C21" s="236"/>
      <c r="D21" s="239">
        <v>160696</v>
      </c>
      <c r="E21" s="238"/>
      <c r="F21" s="254"/>
      <c r="G21" s="255">
        <v>0.24998998108229203</v>
      </c>
      <c r="H21" s="254">
        <f>Table59[[#This Row],[Rate]]*G21</f>
        <v>40172.39</v>
      </c>
      <c r="I21" s="255">
        <v>0.75001001891770802</v>
      </c>
      <c r="J21" s="254">
        <f>Table59[[#This Row],[Quantity22]]*Table59[[#This Row],[Rate]]</f>
        <v>120523.61000000002</v>
      </c>
      <c r="K21" s="254"/>
      <c r="L21" s="254">
        <f>Table59[[#This Row],[Amount34]]*Table59[[#This Row],[Rate]]</f>
        <v>0</v>
      </c>
      <c r="M21" s="254"/>
      <c r="N21" s="254">
        <f>Table59[[#This Row],[Amount34]]*Table59[[#This Row],[Rate]]</f>
        <v>0</v>
      </c>
      <c r="O21" s="254"/>
      <c r="P21" s="254">
        <f>Table59[[#This Row],[Amount34]]*Table59[[#This Row],[Rate]]</f>
        <v>0</v>
      </c>
      <c r="Q21" s="254"/>
      <c r="R21" s="254">
        <f>Table59[[#This Row],[Amount3534]]*Table59[[#This Row],[Rate]]</f>
        <v>0</v>
      </c>
      <c r="S21" s="259"/>
      <c r="U21" s="259"/>
    </row>
    <row r="22" spans="2:21">
      <c r="B22" t="s">
        <v>200</v>
      </c>
      <c r="C22" s="236"/>
      <c r="D22" s="239">
        <v>40174</v>
      </c>
      <c r="E22" s="238"/>
      <c r="F22" s="254"/>
      <c r="G22" s="255">
        <v>0.25</v>
      </c>
      <c r="H22" s="254">
        <f>Table59[[#This Row],[Rate]]*G22</f>
        <v>10043.5</v>
      </c>
      <c r="I22" s="255">
        <v>0.75</v>
      </c>
      <c r="J22" s="254">
        <f>Table59[[#This Row],[Quantity22]]*Table59[[#This Row],[Rate]]</f>
        <v>30130.5</v>
      </c>
      <c r="K22" s="254"/>
      <c r="L22" s="254">
        <f>Table59[[#This Row],[Amount34]]*Table59[[#This Row],[Rate]]</f>
        <v>0</v>
      </c>
      <c r="M22" s="254"/>
      <c r="N22" s="254">
        <f>Table59[[#This Row],[Amount34]]*Table59[[#This Row],[Rate]]</f>
        <v>0</v>
      </c>
      <c r="O22" s="254"/>
      <c r="P22" s="254">
        <f>Table59[[#This Row],[Amount34]]*Table59[[#This Row],[Rate]]</f>
        <v>0</v>
      </c>
      <c r="Q22" s="254"/>
      <c r="R22" s="254">
        <f>Table59[[#This Row],[Amount3534]]*Table59[[#This Row],[Rate]]</f>
        <v>0</v>
      </c>
      <c r="S22" s="259"/>
      <c r="U22" s="259"/>
    </row>
    <row r="23" spans="2:21">
      <c r="B23" t="s">
        <v>186</v>
      </c>
      <c r="C23" s="236"/>
      <c r="D23" s="239">
        <v>430488</v>
      </c>
      <c r="E23" s="238"/>
      <c r="F23" s="254"/>
      <c r="G23" s="255">
        <v>1</v>
      </c>
      <c r="H23" s="254">
        <f>Table59[[#This Row],[Rate]]*G23</f>
        <v>430488</v>
      </c>
      <c r="I23" s="255"/>
      <c r="J23" s="254">
        <f>Table59[[#This Row],[Quantity22]]*Table59[[#This Row],[Rate]]</f>
        <v>0</v>
      </c>
      <c r="K23" s="254"/>
      <c r="L23" s="254">
        <f>Table59[[#This Row],[Amount34]]*Table59[[#This Row],[Rate]]</f>
        <v>0</v>
      </c>
      <c r="M23" s="254"/>
      <c r="N23" s="254">
        <f>Table59[[#This Row],[Amount34]]*Table59[[#This Row],[Rate]]</f>
        <v>0</v>
      </c>
      <c r="O23" s="254"/>
      <c r="P23" s="254">
        <f>Table59[[#This Row],[Amount34]]*Table59[[#This Row],[Rate]]</f>
        <v>0</v>
      </c>
      <c r="Q23" s="254"/>
      <c r="R23" s="254">
        <f>Table59[[#This Row],[Amount3534]]*Table59[[#This Row],[Rate]]</f>
        <v>0</v>
      </c>
      <c r="S23" s="259"/>
      <c r="U23" s="259"/>
    </row>
    <row r="24" spans="2:21">
      <c r="B24" t="s">
        <v>201</v>
      </c>
      <c r="C24" s="236"/>
      <c r="D24" s="239">
        <v>107622</v>
      </c>
      <c r="E24" s="238"/>
      <c r="F24" s="254"/>
      <c r="G24" s="255"/>
      <c r="H24" s="255"/>
      <c r="I24" s="255">
        <v>1</v>
      </c>
      <c r="J24" s="254">
        <f>Table59[[#This Row],[Quantity22]]*Table59[[#This Row],[Rate]]</f>
        <v>107622</v>
      </c>
      <c r="K24" s="254"/>
      <c r="L24" s="254">
        <f>Table59[[#This Row],[Amount34]]*Table59[[#This Row],[Rate]]</f>
        <v>0</v>
      </c>
      <c r="M24" s="254"/>
      <c r="N24" s="254">
        <f>Table59[[#This Row],[Amount34]]*Table59[[#This Row],[Rate]]</f>
        <v>0</v>
      </c>
      <c r="O24" s="254"/>
      <c r="P24" s="254">
        <f>Table59[[#This Row],[Amount34]]*Table59[[#This Row],[Rate]]</f>
        <v>0</v>
      </c>
      <c r="Q24" s="254"/>
      <c r="R24" s="254">
        <f>Table59[[#This Row],[Amount3534]]*Table59[[#This Row],[Rate]]</f>
        <v>0</v>
      </c>
      <c r="S24" s="259"/>
      <c r="U24" s="259"/>
    </row>
    <row r="25" spans="2:21">
      <c r="B25" t="s">
        <v>188</v>
      </c>
      <c r="C25" s="236"/>
      <c r="D25" s="239">
        <v>1387432</v>
      </c>
      <c r="E25" s="238"/>
      <c r="F25" s="254"/>
      <c r="G25" s="255"/>
      <c r="H25" s="255"/>
      <c r="I25" s="255">
        <v>0.5</v>
      </c>
      <c r="J25" s="254">
        <f>Table59[[#This Row],[Quantity22]]*Table59[[#This Row],[Rate]]</f>
        <v>693716</v>
      </c>
      <c r="K25" s="254">
        <v>0.5</v>
      </c>
      <c r="L25" s="254">
        <f>Table59[[#This Row],[Amount34]]*Table59[[#This Row],[Rate]]</f>
        <v>693716</v>
      </c>
      <c r="M25" s="254"/>
      <c r="N25" s="254"/>
      <c r="O25" s="254"/>
      <c r="P25" s="254"/>
      <c r="Q25" s="254"/>
      <c r="R25" s="254">
        <f>Table59[[#This Row],[Amount3534]]*Table59[[#This Row],[Rate]]</f>
        <v>0</v>
      </c>
      <c r="S25" s="259"/>
      <c r="U25" s="259"/>
    </row>
    <row r="26" spans="2:21">
      <c r="B26" t="s">
        <v>202</v>
      </c>
      <c r="C26" s="236"/>
      <c r="D26" s="239">
        <v>346858</v>
      </c>
      <c r="E26" s="238"/>
      <c r="F26" s="254"/>
      <c r="G26" s="255"/>
      <c r="H26" s="255"/>
      <c r="I26" s="255">
        <v>0.5</v>
      </c>
      <c r="J26" s="254">
        <f>Table59[[#This Row],[Quantity22]]*Table59[[#This Row],[Rate]]</f>
        <v>173429</v>
      </c>
      <c r="K26" s="254">
        <v>0.5</v>
      </c>
      <c r="L26" s="254">
        <f>Table59[[#This Row],[Amount34]]*Table59[[#This Row],[Rate]]</f>
        <v>173429</v>
      </c>
      <c r="M26" s="254"/>
      <c r="N26" s="254"/>
      <c r="O26" s="254"/>
      <c r="P26" s="254"/>
      <c r="Q26" s="254"/>
      <c r="R26" s="254">
        <f>Table59[[#This Row],[Amount3534]]*Table59[[#This Row],[Rate]]</f>
        <v>0</v>
      </c>
      <c r="S26" s="259"/>
      <c r="U26" s="259"/>
    </row>
    <row r="27" spans="2:21">
      <c r="B27" t="s">
        <v>189</v>
      </c>
      <c r="C27" s="236"/>
      <c r="D27" s="239">
        <v>2303368</v>
      </c>
      <c r="E27" s="238"/>
      <c r="F27" s="254"/>
      <c r="G27" s="255"/>
      <c r="H27" s="255"/>
      <c r="I27" s="255">
        <v>0.51575406100979082</v>
      </c>
      <c r="J27" s="254">
        <f>Table59[[#This Row],[Quantity22]]*Table59[[#This Row],[Rate]]</f>
        <v>1187971.3999999999</v>
      </c>
      <c r="K27" s="254">
        <v>0.48424593899020918</v>
      </c>
      <c r="L27" s="254">
        <f>Table59[[#This Row],[Amount34]]*Table59[[#This Row],[Rate]]</f>
        <v>1115396.6000000001</v>
      </c>
      <c r="M27" s="254"/>
      <c r="N27" s="254"/>
      <c r="O27" s="254"/>
      <c r="P27" s="254"/>
      <c r="Q27" s="254"/>
      <c r="R27" s="254">
        <f>Table59[[#This Row],[Amount3534]]*Table59[[#This Row],[Rate]]</f>
        <v>0</v>
      </c>
      <c r="S27" s="259"/>
      <c r="U27" s="259"/>
    </row>
    <row r="28" spans="2:21">
      <c r="B28" t="s">
        <v>203</v>
      </c>
      <c r="C28" s="236"/>
      <c r="D28" s="239">
        <v>575842</v>
      </c>
      <c r="E28" s="238"/>
      <c r="F28" s="254"/>
      <c r="G28" s="255"/>
      <c r="H28" s="255"/>
      <c r="I28" s="255">
        <v>0.5</v>
      </c>
      <c r="J28" s="254">
        <f>Table59[[#This Row],[Quantity22]]*Table59[[#This Row],[Rate]]</f>
        <v>287921</v>
      </c>
      <c r="K28" s="254">
        <v>0.5</v>
      </c>
      <c r="L28" s="254">
        <f>Table59[[#This Row],[Amount34]]*Table59[[#This Row],[Rate]]</f>
        <v>287921</v>
      </c>
      <c r="M28" s="254"/>
      <c r="N28" s="254"/>
      <c r="O28" s="254"/>
      <c r="P28" s="254"/>
      <c r="Q28" s="254"/>
      <c r="R28" s="254">
        <f>Table59[[#This Row],[Amount3534]]*Table59[[#This Row],[Rate]]</f>
        <v>0</v>
      </c>
      <c r="S28" s="259"/>
      <c r="U28" s="259"/>
    </row>
    <row r="29" spans="2:21">
      <c r="B29" t="s">
        <v>190</v>
      </c>
      <c r="C29" s="236"/>
      <c r="D29" s="239">
        <v>1766120</v>
      </c>
      <c r="E29" s="238"/>
      <c r="F29" s="254">
        <f>Table59[[#This Row],[Quantity22]]*Table59[[#This Row],[Rate]]</f>
        <v>0</v>
      </c>
      <c r="G29" s="255"/>
      <c r="H29" s="255"/>
      <c r="I29" s="255"/>
      <c r="J29" s="255"/>
      <c r="K29" s="255">
        <v>0.70991656286096083</v>
      </c>
      <c r="L29" s="255">
        <f>Table59[[#This Row],[Amount34]]*Table59[[#This Row],[Rate]]</f>
        <v>1253797.8400000001</v>
      </c>
      <c r="M29" s="255"/>
      <c r="N29" s="255"/>
      <c r="O29" s="255"/>
      <c r="P29" s="255"/>
      <c r="Q29" s="255"/>
      <c r="R29" s="255">
        <f>Table59[[#This Row],[Amount3534]]*Table59[[#This Row],[Rate]]</f>
        <v>0</v>
      </c>
      <c r="S29" s="259"/>
      <c r="U29" s="259"/>
    </row>
    <row r="30" spans="2:21">
      <c r="B30" t="s">
        <v>204</v>
      </c>
      <c r="C30" s="236"/>
      <c r="D30" s="239">
        <v>441530</v>
      </c>
      <c r="E30" s="238"/>
      <c r="F30" s="254">
        <f>Table59[[#This Row],[Quantity22]]*Table59[[#This Row],[Rate]]</f>
        <v>0</v>
      </c>
      <c r="G30" s="255"/>
      <c r="H30" s="255"/>
      <c r="I30" s="255"/>
      <c r="J30" s="255"/>
      <c r="K30" s="255">
        <v>0.7</v>
      </c>
      <c r="L30" s="255">
        <f>Table59[[#This Row],[Amount34]]*Table59[[#This Row],[Rate]]</f>
        <v>309071</v>
      </c>
      <c r="M30" s="255"/>
      <c r="N30" s="255"/>
      <c r="O30" s="255"/>
      <c r="P30" s="255"/>
      <c r="Q30" s="255"/>
      <c r="R30" s="255">
        <f>Table59[[#This Row],[Amount3534]]*Table59[[#This Row],[Rate]]</f>
        <v>0</v>
      </c>
    </row>
    <row r="31" spans="2:21">
      <c r="B31" t="s">
        <v>191</v>
      </c>
      <c r="C31" s="236"/>
      <c r="D31" s="239">
        <v>395204</v>
      </c>
      <c r="E31" s="238"/>
      <c r="F31" s="254">
        <f>Table59[[#This Row],[Quantity22]]*Table59[[#This Row],[Rate]]</f>
        <v>0</v>
      </c>
      <c r="G31" s="255"/>
      <c r="H31" s="255"/>
      <c r="I31" s="255"/>
      <c r="J31" s="255"/>
      <c r="K31" s="255"/>
      <c r="L31" s="255">
        <f>Table59[[#This Row],[Amount34]]*Table59[[#This Row],[Rate]]</f>
        <v>0</v>
      </c>
      <c r="M31" s="255"/>
      <c r="N31" s="255">
        <f>Table59[[#This Row],[Amount34]]*Table59[[#This Row],[Rate]]</f>
        <v>0</v>
      </c>
      <c r="O31" s="255"/>
      <c r="P31" s="255">
        <f>Table59[[#This Row],[Amount34]]*Table59[[#This Row],[Rate]]</f>
        <v>0</v>
      </c>
      <c r="Q31" s="255"/>
      <c r="R31" s="255">
        <f>Table59[[#This Row],[Amount3534]]*Table59[[#This Row],[Rate]]</f>
        <v>0</v>
      </c>
    </row>
    <row r="32" spans="2:21">
      <c r="B32" t="s">
        <v>205</v>
      </c>
      <c r="C32" s="236"/>
      <c r="D32" s="239">
        <v>98801</v>
      </c>
      <c r="E32" s="238"/>
      <c r="F32" s="254">
        <f>Table59[[#This Row],[Quantity22]]*Table59[[#This Row],[Rate]]</f>
        <v>0</v>
      </c>
      <c r="G32" s="255"/>
      <c r="H32" s="255"/>
      <c r="I32" s="255"/>
      <c r="J32" s="255"/>
      <c r="K32" s="255"/>
      <c r="L32" s="255">
        <f>Table59[[#This Row],[Amount34]]*Table59[[#This Row],[Rate]]</f>
        <v>0</v>
      </c>
      <c r="M32" s="255"/>
      <c r="N32" s="255">
        <f>Table59[[#This Row],[Amount34]]*Table59[[#This Row],[Rate]]</f>
        <v>0</v>
      </c>
      <c r="O32" s="255"/>
      <c r="P32" s="255">
        <f>Table59[[#This Row],[Amount34]]*Table59[[#This Row],[Rate]]</f>
        <v>0</v>
      </c>
      <c r="Q32" s="255"/>
      <c r="R32" s="255">
        <f>Table59[[#This Row],[Amount3534]]*Table59[[#This Row],[Rate]]</f>
        <v>0</v>
      </c>
    </row>
    <row r="33" spans="2:22">
      <c r="B33" t="s">
        <v>192</v>
      </c>
      <c r="C33" s="236"/>
      <c r="D33" s="239">
        <v>395204</v>
      </c>
      <c r="E33" s="238"/>
      <c r="F33" s="254">
        <f>Table59[[#This Row],[Quantity22]]*Table59[[#This Row],[Rate]]</f>
        <v>0</v>
      </c>
      <c r="G33" s="255"/>
      <c r="H33" s="255"/>
      <c r="I33" s="255"/>
      <c r="J33" s="255"/>
      <c r="K33" s="255"/>
      <c r="L33" s="255">
        <f>Table59[[#This Row],[Amount34]]*Table59[[#This Row],[Rate]]</f>
        <v>0</v>
      </c>
      <c r="M33" s="255"/>
      <c r="N33" s="255">
        <f>Table59[[#This Row],[Amount34]]*Table59[[#This Row],[Rate]]</f>
        <v>0</v>
      </c>
      <c r="O33" s="255"/>
      <c r="P33" s="255">
        <f>Table59[[#This Row],[Amount34]]*Table59[[#This Row],[Rate]]</f>
        <v>0</v>
      </c>
      <c r="Q33" s="255"/>
      <c r="R33" s="255">
        <f>Table59[[#This Row],[Amount3534]]*Table59[[#This Row],[Rate]]</f>
        <v>0</v>
      </c>
    </row>
    <row r="34" spans="2:22">
      <c r="B34" t="s">
        <v>206</v>
      </c>
      <c r="C34" s="236"/>
      <c r="D34" s="239">
        <v>98801</v>
      </c>
      <c r="E34" s="238"/>
      <c r="F34" s="254">
        <f>Table59[[#This Row],[Quantity22]]*Table59[[#This Row],[Rate]]</f>
        <v>0</v>
      </c>
      <c r="G34" s="255"/>
      <c r="H34" s="255"/>
      <c r="I34" s="255"/>
      <c r="J34" s="255"/>
      <c r="K34" s="255"/>
      <c r="L34" s="255">
        <f>Table59[[#This Row],[Amount34]]*Table59[[#This Row],[Rate]]</f>
        <v>0</v>
      </c>
      <c r="M34" s="255"/>
      <c r="N34" s="255">
        <f>Table59[[#This Row],[Amount34]]*Table59[[#This Row],[Rate]]</f>
        <v>0</v>
      </c>
      <c r="O34" s="255"/>
      <c r="P34" s="255">
        <f>Table59[[#This Row],[Amount34]]*Table59[[#This Row],[Rate]]</f>
        <v>0</v>
      </c>
      <c r="Q34" s="255"/>
      <c r="R34" s="255">
        <f>Table59[[#This Row],[Amount3534]]*Table59[[#This Row],[Rate]]</f>
        <v>0</v>
      </c>
    </row>
    <row r="35" spans="2:22">
      <c r="B35" s="164" t="s">
        <v>143</v>
      </c>
      <c r="C35" s="236" t="s">
        <v>207</v>
      </c>
      <c r="D35" s="239">
        <v>2005</v>
      </c>
      <c r="E35" s="238"/>
      <c r="F35" s="230">
        <f>Table59[[#This Row],[Quantity22]]*Table59[[#This Row],[Rate]]</f>
        <v>0</v>
      </c>
      <c r="G35" s="238"/>
      <c r="H35" s="230">
        <f>Table59[[#This Row],[Quantity22]]*Table59[[#This Row],[Rate]]</f>
        <v>0</v>
      </c>
      <c r="I35" s="238"/>
      <c r="J35" s="230">
        <f>Table59[[#This Row],[Quantity22]]*Table59[[#This Row],[Rate]]</f>
        <v>0</v>
      </c>
      <c r="K35" s="230"/>
      <c r="L35" s="230">
        <f>Table59[[#This Row],[Amount34]]*Table59[[#This Row],[Rate]]</f>
        <v>0</v>
      </c>
      <c r="M35" s="230">
        <v>200</v>
      </c>
      <c r="N35" s="230">
        <f>Table59[[#This Row],[Amount342]]*Table59[[#This Row],[Rate]]</f>
        <v>401000</v>
      </c>
      <c r="O35" s="230"/>
      <c r="P35" s="230"/>
      <c r="Q35" s="230">
        <v>400</v>
      </c>
      <c r="R35" s="230">
        <f>Table59[[#This Row],[Amount3534]]*Table59[[#This Row],[Rate]]</f>
        <v>802000</v>
      </c>
      <c r="S35" s="230"/>
      <c r="T35" s="230"/>
    </row>
    <row r="36" spans="2:22">
      <c r="B36" s="164" t="s">
        <v>144</v>
      </c>
      <c r="C36" s="236" t="s">
        <v>207</v>
      </c>
      <c r="D36" s="239">
        <v>1448</v>
      </c>
      <c r="E36" s="238"/>
      <c r="F36" s="230">
        <f>Table59[[#This Row],[Quantity22]]*Table59[[#This Row],[Rate]]</f>
        <v>0</v>
      </c>
      <c r="G36" s="238"/>
      <c r="H36" s="230">
        <f>Table59[[#This Row],[Quantity22]]*Table59[[#This Row],[Rate]]</f>
        <v>0</v>
      </c>
      <c r="I36" s="238"/>
      <c r="J36" s="230">
        <f>Table59[[#This Row],[Quantity22]]*Table59[[#This Row],[Rate]]</f>
        <v>0</v>
      </c>
      <c r="K36" s="230"/>
      <c r="L36" s="230">
        <f>Table59[[#This Row],[Amount34]]*Table59[[#This Row],[Rate]]</f>
        <v>0</v>
      </c>
      <c r="M36" s="230">
        <v>200</v>
      </c>
      <c r="N36" s="230">
        <f>Table59[[#This Row],[Amount342]]*Table59[[#This Row],[Rate]]</f>
        <v>289600</v>
      </c>
      <c r="O36" s="230">
        <v>150</v>
      </c>
      <c r="P36" s="230">
        <f>Table59[[#This Row],[Amount3422]]*Table59[[#This Row],[Rate]]</f>
        <v>217200</v>
      </c>
      <c r="Q36" s="230">
        <v>350</v>
      </c>
      <c r="R36" s="230">
        <f>Table59[[#This Row],[Amount3534]]*Table59[[#This Row],[Rate]]</f>
        <v>506800</v>
      </c>
      <c r="S36" s="230">
        <v>200</v>
      </c>
      <c r="T36" s="230">
        <f>Table59[[#This Row],[Amount35342]]*Table59[[#This Row],[Rate]]</f>
        <v>289600</v>
      </c>
    </row>
    <row r="37" spans="2:22">
      <c r="B37" s="164" t="s">
        <v>142</v>
      </c>
      <c r="C37" s="236" t="s">
        <v>207</v>
      </c>
      <c r="D37" s="239">
        <v>2005</v>
      </c>
      <c r="E37" s="238"/>
      <c r="F37" s="232">
        <f>Table59[[#This Row],[Quantity22]]*Table59[[#This Row],[Rate]]</f>
        <v>0</v>
      </c>
      <c r="G37" s="238"/>
      <c r="H37" s="232">
        <f>Table59[[#This Row],[Quantity22]]*Table59[[#This Row],[Rate]]</f>
        <v>0</v>
      </c>
      <c r="I37" s="238"/>
      <c r="J37" s="232">
        <f>Table59[[#This Row],[Quantity22]]*Table59[[#This Row],[Rate]]</f>
        <v>0</v>
      </c>
      <c r="K37" s="232"/>
      <c r="L37" s="232">
        <f>Table59[[#This Row],[Amount34]]*Table59[[#This Row],[Rate]]</f>
        <v>0</v>
      </c>
      <c r="M37" s="232">
        <v>400</v>
      </c>
      <c r="N37" s="230">
        <f>Table59[[#This Row],[Amount342]]*Table59[[#This Row],[Rate]]</f>
        <v>802000</v>
      </c>
      <c r="O37" s="232">
        <v>200</v>
      </c>
      <c r="P37" s="230">
        <f>Table59[[#This Row],[Amount3422]]*Table59[[#This Row],[Rate]]</f>
        <v>401000</v>
      </c>
      <c r="Q37" s="230">
        <v>400</v>
      </c>
      <c r="R37" s="230">
        <f>Table59[[#This Row],[Amount3534]]*Table59[[#This Row],[Rate]]</f>
        <v>802000</v>
      </c>
      <c r="S37" s="230">
        <v>500</v>
      </c>
      <c r="T37" s="230">
        <f>Table59[[#This Row],[Amount35342]]*Table59[[#This Row],[Rate]]</f>
        <v>1002500</v>
      </c>
    </row>
    <row r="38" spans="2:22">
      <c r="B38" s="164" t="s">
        <v>145</v>
      </c>
      <c r="C38" s="236" t="s">
        <v>207</v>
      </c>
      <c r="D38" s="239">
        <v>805</v>
      </c>
      <c r="E38" s="238"/>
      <c r="F38" s="231">
        <f>Table59[[#This Row],[Quantity22]]*Table59[[#This Row],[Rate]]</f>
        <v>0</v>
      </c>
      <c r="G38" s="238"/>
      <c r="H38" s="231">
        <f>Table59[[#This Row],[Quantity22]]*Table59[[#This Row],[Rate]]</f>
        <v>0</v>
      </c>
      <c r="I38" s="238"/>
      <c r="J38" s="231">
        <f>Table59[[#This Row],[Quantity22]]*Table59[[#This Row],[Rate]]</f>
        <v>0</v>
      </c>
      <c r="K38" s="231"/>
      <c r="L38" s="231">
        <f>Table59[[#This Row],[Amount34]]*Table59[[#This Row],[Rate]]</f>
        <v>0</v>
      </c>
      <c r="M38" s="231">
        <v>400</v>
      </c>
      <c r="N38" s="230">
        <f>Table59[[#This Row],[Amount342]]*Table59[[#This Row],[Rate]]</f>
        <v>322000</v>
      </c>
      <c r="O38" s="231">
        <v>150</v>
      </c>
      <c r="P38" s="230">
        <f>Table59[[#This Row],[Amount3422]]*Table59[[#This Row],[Rate]]</f>
        <v>120750</v>
      </c>
      <c r="Q38" s="230">
        <v>250</v>
      </c>
      <c r="R38" s="230">
        <f>Table59[[#This Row],[Amount3534]]*Table59[[#This Row],[Rate]]</f>
        <v>201250</v>
      </c>
      <c r="S38" s="230">
        <v>850</v>
      </c>
      <c r="T38" s="230">
        <f>Table59[[#This Row],[Amount35342]]*Table59[[#This Row],[Rate]]</f>
        <v>684250</v>
      </c>
      <c r="U38" s="230">
        <v>350</v>
      </c>
      <c r="V38" s="230">
        <f>Table59[[#This Row],[Amount353422]]*Table59[[#This Row],[Rate]]</f>
        <v>281750</v>
      </c>
    </row>
    <row r="39" spans="2:22">
      <c r="B39" s="164" t="s">
        <v>146</v>
      </c>
      <c r="C39" s="236" t="s">
        <v>207</v>
      </c>
      <c r="D39" s="239">
        <v>450</v>
      </c>
      <c r="E39" s="238"/>
      <c r="F39" s="231"/>
      <c r="G39" s="238"/>
      <c r="H39" s="231"/>
      <c r="I39" s="238"/>
      <c r="J39" s="231"/>
      <c r="K39" s="231"/>
      <c r="L39" s="231">
        <f>Table59[[#This Row],[Amount34]]*Table59[[#This Row],[Rate]]</f>
        <v>0</v>
      </c>
      <c r="M39" s="231">
        <v>100</v>
      </c>
      <c r="N39" s="230">
        <f>Table59[[#This Row],[Amount342]]*Table59[[#This Row],[Rate]]</f>
        <v>45000</v>
      </c>
      <c r="O39" s="231">
        <v>300</v>
      </c>
      <c r="P39" s="230">
        <f>Table59[[#This Row],[Amount3422]]*Table59[[#This Row],[Rate]]</f>
        <v>135000</v>
      </c>
      <c r="Q39" s="230">
        <v>500</v>
      </c>
      <c r="R39" s="230">
        <f>Table59[[#This Row],[Amount3534]]*Table59[[#This Row],[Rate]]</f>
        <v>225000</v>
      </c>
      <c r="S39" s="230">
        <v>300</v>
      </c>
      <c r="T39" s="230">
        <f>Table59[[#This Row],[Amount35342]]*Table59[[#This Row],[Rate]]</f>
        <v>135000</v>
      </c>
      <c r="U39" s="230"/>
      <c r="V39" s="230">
        <f>Table59[[#This Row],[Amount353422]]*Table59[[#This Row],[Rate]]</f>
        <v>0</v>
      </c>
    </row>
    <row r="40" spans="2:22">
      <c r="B40" s="164" t="s">
        <v>144</v>
      </c>
      <c r="C40" s="236" t="s">
        <v>207</v>
      </c>
      <c r="D40" s="239">
        <v>320</v>
      </c>
      <c r="E40" s="238"/>
      <c r="F40" s="231"/>
      <c r="G40" s="238"/>
      <c r="H40" s="231"/>
      <c r="I40" s="238"/>
      <c r="J40" s="231"/>
      <c r="K40" s="231"/>
      <c r="L40" s="231">
        <f>Table59[[#This Row],[Amount34]]*Table59[[#This Row],[Rate]]</f>
        <v>0</v>
      </c>
      <c r="M40" s="231">
        <v>200</v>
      </c>
      <c r="N40" s="230">
        <f>Table59[[#This Row],[Amount342]]*Table59[[#This Row],[Rate]]</f>
        <v>64000</v>
      </c>
      <c r="O40" s="231">
        <v>300</v>
      </c>
      <c r="P40" s="230">
        <f>Table59[[#This Row],[Amount3422]]*Table59[[#This Row],[Rate]]</f>
        <v>96000</v>
      </c>
      <c r="Q40" s="230">
        <v>700</v>
      </c>
      <c r="R40" s="230">
        <f>Table59[[#This Row],[Amount3534]]*Table59[[#This Row],[Rate]]</f>
        <v>224000</v>
      </c>
      <c r="S40" s="230">
        <v>400</v>
      </c>
      <c r="T40" s="230">
        <f>Table59[[#This Row],[Amount35342]]*Table59[[#This Row],[Rate]]</f>
        <v>128000</v>
      </c>
      <c r="U40" s="230">
        <v>200</v>
      </c>
      <c r="V40" s="230">
        <f>Table59[[#This Row],[Amount353422]]*Table59[[#This Row],[Rate]]</f>
        <v>64000</v>
      </c>
    </row>
    <row r="41" spans="2:22">
      <c r="B41" s="164" t="s">
        <v>142</v>
      </c>
      <c r="C41" s="236" t="s">
        <v>207</v>
      </c>
      <c r="D41" s="239">
        <v>260</v>
      </c>
      <c r="E41" s="240"/>
      <c r="F41" s="231"/>
      <c r="G41" s="240"/>
      <c r="H41" s="234"/>
      <c r="I41" s="240"/>
      <c r="J41" s="234"/>
      <c r="K41" s="234"/>
      <c r="L41" s="234">
        <f>Table59[[#This Row],[Amount34]]*Table59[[#This Row],[Rate]]</f>
        <v>0</v>
      </c>
      <c r="M41" s="234">
        <v>250</v>
      </c>
      <c r="N41" s="230">
        <f>Table59[[#This Row],[Amount342]]*Table59[[#This Row],[Rate]]</f>
        <v>65000</v>
      </c>
      <c r="O41" s="234">
        <v>400</v>
      </c>
      <c r="P41" s="230">
        <f>Table59[[#This Row],[Amount3422]]*Table59[[#This Row],[Rate]]</f>
        <v>104000</v>
      </c>
      <c r="Q41" s="230">
        <v>600</v>
      </c>
      <c r="R41" s="230">
        <f>Table59[[#This Row],[Amount3534]]*Table59[[#This Row],[Rate]]</f>
        <v>156000</v>
      </c>
      <c r="S41" s="230">
        <v>750</v>
      </c>
      <c r="T41" s="230">
        <f>Table59[[#This Row],[Amount35342]]*Table59[[#This Row],[Rate]]</f>
        <v>195000</v>
      </c>
      <c r="U41" s="230">
        <v>1000</v>
      </c>
      <c r="V41" s="230">
        <f>Table59[[#This Row],[Amount353422]]*Table59[[#This Row],[Rate]]</f>
        <v>260000</v>
      </c>
    </row>
    <row r="42" spans="2:22">
      <c r="B42" s="164" t="s">
        <v>145</v>
      </c>
      <c r="C42" s="236" t="s">
        <v>207</v>
      </c>
      <c r="D42" s="239">
        <v>175</v>
      </c>
      <c r="E42" s="239"/>
      <c r="F42" s="231"/>
      <c r="G42" s="239"/>
      <c r="H42" s="234"/>
      <c r="I42" s="239"/>
      <c r="J42" s="234"/>
      <c r="K42" s="234"/>
      <c r="L42" s="234">
        <f>Table59[[#This Row],[Amount34]]*Table59[[#This Row],[Rate]]</f>
        <v>0</v>
      </c>
      <c r="M42" s="234">
        <v>192.76005714285716</v>
      </c>
      <c r="N42" s="230">
        <f>Table59[[#This Row],[Amount342]]*Table59[[#This Row],[Rate]]</f>
        <v>33733.01</v>
      </c>
      <c r="O42" s="234">
        <v>212.3492</v>
      </c>
      <c r="P42" s="230">
        <f>Table59[[#This Row],[Amount3422]]*Table59[[#This Row],[Rate]]</f>
        <v>37161.11</v>
      </c>
      <c r="Q42" s="230">
        <v>447.58485714285717</v>
      </c>
      <c r="R42" s="230">
        <f>Table59[[#This Row],[Amount3534]]*Table59[[#This Row],[Rate]]</f>
        <v>78327.350000000006</v>
      </c>
      <c r="S42" s="230">
        <v>206.27222857142857</v>
      </c>
      <c r="T42" s="230">
        <f>Table59[[#This Row],[Amount35342]]*Table59[[#This Row],[Rate]]</f>
        <v>36097.64</v>
      </c>
      <c r="U42" s="230">
        <v>2817.2914285714287</v>
      </c>
      <c r="V42" s="230">
        <f>Table59[[#This Row],[Amount353422]]*Table59[[#This Row],[Rate]]</f>
        <v>493026</v>
      </c>
    </row>
    <row r="43" spans="2:22">
      <c r="B43" s="241"/>
      <c r="C43" s="242"/>
      <c r="D43" s="256" t="s">
        <v>25</v>
      </c>
      <c r="E43" s="244">
        <f>SUM(E35:E42)</f>
        <v>0</v>
      </c>
      <c r="F43" s="244">
        <f>SUM(F7:F42)</f>
        <v>2623389</v>
      </c>
      <c r="G43" s="244">
        <f>SUM(G35:G42)</f>
        <v>0</v>
      </c>
      <c r="H43" s="244">
        <f>SUM(H7:H42)</f>
        <v>3508607.39</v>
      </c>
      <c r="I43" s="244">
        <f>SUM(I35:I42)</f>
        <v>0</v>
      </c>
      <c r="J43" s="244">
        <f>SUM(J7:J42)</f>
        <v>4426651.01</v>
      </c>
      <c r="K43" s="244"/>
      <c r="L43" s="244">
        <f>SUM(L7:L42)</f>
        <v>3833331.4400000004</v>
      </c>
      <c r="M43" s="244"/>
      <c r="N43" s="244">
        <f>SUM(N7:N42)</f>
        <v>2022333.01</v>
      </c>
      <c r="O43" s="244"/>
      <c r="P43" s="244">
        <f>SUM(P7:P42)</f>
        <v>1111111.1100000001</v>
      </c>
      <c r="Q43" s="244"/>
      <c r="R43" s="244">
        <f>SUM(R7:R42)</f>
        <v>2995377.35</v>
      </c>
      <c r="S43" s="231"/>
      <c r="T43" s="244">
        <f>SUM(T7:T42)</f>
        <v>2470447.64</v>
      </c>
      <c r="U43" s="231"/>
      <c r="V43" s="244">
        <f>SUM(V7:V42)</f>
        <v>1098776</v>
      </c>
    </row>
    <row r="44" spans="2:22">
      <c r="B44" s="241"/>
      <c r="C44" s="242"/>
      <c r="D44" s="256" t="s">
        <v>213</v>
      </c>
      <c r="E44" s="261"/>
      <c r="F44" s="260">
        <f>F43*10%</f>
        <v>262338.90000000002</v>
      </c>
      <c r="G44" s="262"/>
      <c r="H44" s="260">
        <f>H43*10%</f>
        <v>350860.73900000006</v>
      </c>
      <c r="I44" s="262"/>
      <c r="J44" s="260">
        <f>J43*10%</f>
        <v>442665.10100000002</v>
      </c>
      <c r="K44" s="260"/>
      <c r="L44" s="260">
        <f>L43*10%</f>
        <v>383333.14400000009</v>
      </c>
      <c r="M44" s="260"/>
      <c r="N44" s="260">
        <f>N43*10%</f>
        <v>202233.30100000001</v>
      </c>
      <c r="O44" s="260"/>
      <c r="P44" s="260">
        <f>P43*10%</f>
        <v>111111.11100000002</v>
      </c>
      <c r="Q44" s="260"/>
      <c r="R44" s="260">
        <f>R43*10%</f>
        <v>299537.73500000004</v>
      </c>
      <c r="T44" s="260">
        <f>T43*10%</f>
        <v>247044.76400000002</v>
      </c>
      <c r="V44" s="260">
        <f>V43*10%</f>
        <v>109877.6</v>
      </c>
    </row>
    <row r="45" spans="2:22">
      <c r="B45" s="258"/>
      <c r="C45" s="263"/>
      <c r="D45" s="264" t="s">
        <v>214</v>
      </c>
      <c r="E45" s="265"/>
      <c r="F45" s="266">
        <f>F43-F44</f>
        <v>2361050.1</v>
      </c>
      <c r="G45" s="267"/>
      <c r="H45" s="266">
        <f>H43-H44</f>
        <v>3157746.6510000001</v>
      </c>
      <c r="I45" s="267"/>
      <c r="J45" s="266">
        <f>J43-J44</f>
        <v>3983985.909</v>
      </c>
      <c r="K45" s="266"/>
      <c r="L45" s="266">
        <f>L43-L44</f>
        <v>3449998.2960000001</v>
      </c>
      <c r="M45" s="266"/>
      <c r="N45" s="266">
        <f>N43-N44</f>
        <v>1820099.709</v>
      </c>
      <c r="O45" s="266"/>
      <c r="P45" s="266">
        <f>P43-P44</f>
        <v>999999.99900000007</v>
      </c>
      <c r="Q45" s="266"/>
      <c r="R45" s="266">
        <f>R43-R44</f>
        <v>2695839.6150000002</v>
      </c>
      <c r="S45" s="258"/>
      <c r="T45" s="266">
        <f>T43-T44</f>
        <v>2223402.8760000002</v>
      </c>
      <c r="U45" s="258"/>
      <c r="V45" s="266">
        <f>V43-V44</f>
        <v>988898.4</v>
      </c>
    </row>
    <row r="46" spans="2:22">
      <c r="C46" s="236"/>
      <c r="D46" s="256" t="s">
        <v>24</v>
      </c>
      <c r="E46" s="238"/>
      <c r="F46" s="260">
        <f>15%*F45</f>
        <v>354157.51500000001</v>
      </c>
      <c r="G46" s="255"/>
      <c r="H46" s="260">
        <f>15%*H45</f>
        <v>473661.99764999998</v>
      </c>
      <c r="I46" s="255"/>
      <c r="J46" s="260">
        <f>15%*J45</f>
        <v>597597.88634999993</v>
      </c>
      <c r="K46" s="260"/>
      <c r="L46" s="260">
        <f>15%*L45</f>
        <v>517499.74439999997</v>
      </c>
      <c r="M46" s="260"/>
      <c r="N46" s="260">
        <f>15%*N45</f>
        <v>273014.95634999999</v>
      </c>
      <c r="O46" s="260"/>
      <c r="P46" s="260">
        <f>15%*P45</f>
        <v>149999.99984999999</v>
      </c>
      <c r="Q46" s="260"/>
      <c r="R46" s="260">
        <f>15%*R45</f>
        <v>404375.94225000002</v>
      </c>
      <c r="T46" s="260">
        <f>15%*T45</f>
        <v>333510.4314</v>
      </c>
      <c r="V46" s="260">
        <f>15%*V45</f>
        <v>148334.76</v>
      </c>
    </row>
    <row r="47" spans="2:22">
      <c r="C47" s="236"/>
      <c r="D47" s="256" t="s">
        <v>212</v>
      </c>
      <c r="E47" s="238"/>
      <c r="F47" s="244">
        <f>F46+F45</f>
        <v>2715207.6150000002</v>
      </c>
      <c r="G47" s="262"/>
      <c r="H47" s="244">
        <f>H46+H45</f>
        <v>3631408.6486499999</v>
      </c>
      <c r="I47" s="262"/>
      <c r="J47" s="244">
        <f>J46+J45</f>
        <v>4581583.7953500003</v>
      </c>
      <c r="K47" s="244"/>
      <c r="L47" s="244">
        <f>L46+L45</f>
        <v>3967498.0404000003</v>
      </c>
      <c r="M47" s="244"/>
      <c r="N47" s="244">
        <f>N46+N45</f>
        <v>2093114.6653499999</v>
      </c>
      <c r="O47" s="244"/>
      <c r="P47" s="244">
        <f>P46+P45</f>
        <v>1149999.9988500001</v>
      </c>
      <c r="Q47" s="244"/>
      <c r="R47" s="244">
        <f>R46+R45</f>
        <v>3100215.5572500001</v>
      </c>
      <c r="T47" s="244">
        <f>T46+T45</f>
        <v>2556913.3074000003</v>
      </c>
      <c r="V47" s="244">
        <f>V46+V45</f>
        <v>1137233.1600000001</v>
      </c>
    </row>
    <row r="48" spans="2:22">
      <c r="C48" s="236"/>
      <c r="D48" s="256"/>
      <c r="E48" s="238"/>
      <c r="F48" s="260"/>
      <c r="G48" s="255"/>
      <c r="H48" s="260"/>
      <c r="I48" s="255"/>
      <c r="J48" s="260"/>
      <c r="K48" s="260"/>
      <c r="L48" s="260"/>
      <c r="M48" s="260"/>
      <c r="N48" s="260"/>
      <c r="O48" s="260"/>
      <c r="P48" s="260"/>
      <c r="Q48" s="260"/>
      <c r="R48" s="260"/>
    </row>
  </sheetData>
  <mergeCells count="9">
    <mergeCell ref="S5:T5"/>
    <mergeCell ref="U5:V5"/>
    <mergeCell ref="Q5:R5"/>
    <mergeCell ref="O5:P5"/>
    <mergeCell ref="E5:F5"/>
    <mergeCell ref="G5:H5"/>
    <mergeCell ref="I5:J5"/>
    <mergeCell ref="K5:L5"/>
    <mergeCell ref="M5:N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B2:T68"/>
  <sheetViews>
    <sheetView zoomScaleNormal="100" workbookViewId="0">
      <selection activeCell="B19" sqref="B19:B22"/>
    </sheetView>
  </sheetViews>
  <sheetFormatPr defaultRowHeight="14.4"/>
  <cols>
    <col min="2" max="2" width="37.109375" bestFit="1" customWidth="1"/>
    <col min="4" max="4" width="13.6640625" bestFit="1" customWidth="1"/>
    <col min="5" max="5" width="18.88671875" bestFit="1" customWidth="1"/>
    <col min="6" max="6" width="13.33203125" bestFit="1" customWidth="1"/>
    <col min="7" max="7" width="14.33203125" bestFit="1" customWidth="1"/>
    <col min="8" max="8" width="14.109375" bestFit="1" customWidth="1"/>
    <col min="9" max="9" width="14.33203125" bestFit="1" customWidth="1"/>
    <col min="10" max="10" width="15.109375" bestFit="1" customWidth="1"/>
    <col min="11" max="11" width="9.6640625" bestFit="1" customWidth="1"/>
    <col min="12" max="12" width="13.33203125" bestFit="1" customWidth="1"/>
    <col min="13" max="13" width="9.6640625" bestFit="1" customWidth="1"/>
    <col min="14" max="14" width="13.33203125" bestFit="1" customWidth="1"/>
    <col min="15" max="15" width="12.44140625" bestFit="1" customWidth="1"/>
    <col min="16" max="16" width="14.33203125" bestFit="1" customWidth="1"/>
    <col min="17" max="17" width="11.5546875" bestFit="1" customWidth="1"/>
    <col min="18" max="18" width="13.33203125" bestFit="1" customWidth="1"/>
    <col min="19" max="19" width="11.5546875" bestFit="1" customWidth="1"/>
  </cols>
  <sheetData>
    <row r="2" spans="2:20">
      <c r="B2" t="s">
        <v>216</v>
      </c>
      <c r="C2" s="236"/>
      <c r="D2" s="236"/>
      <c r="E2" s="239">
        <f>Table5710[[#Totals],[Rate]]+Table571012[[#Totals],[Rate]]+Table57101213[[#Totals],[Rate]]+Table5710121314[[#Totals],[Rate]]</f>
        <v>15054089</v>
      </c>
      <c r="F2" s="238"/>
      <c r="G2" s="1284" t="s">
        <v>161</v>
      </c>
      <c r="H2" s="1285"/>
      <c r="I2" s="1284" t="s">
        <v>171</v>
      </c>
      <c r="J2" s="1285"/>
      <c r="K2" s="1284" t="s">
        <v>222</v>
      </c>
      <c r="L2" s="1285"/>
      <c r="M2" s="1284" t="s">
        <v>225</v>
      </c>
      <c r="N2" s="1285"/>
      <c r="O2" s="1284" t="s">
        <v>271</v>
      </c>
      <c r="P2" s="1285"/>
      <c r="Q2" s="1284" t="s">
        <v>272</v>
      </c>
      <c r="R2" s="1285"/>
    </row>
    <row r="3" spans="2:20">
      <c r="B3" t="s">
        <v>141</v>
      </c>
      <c r="C3" s="236" t="s">
        <v>147</v>
      </c>
      <c r="D3" s="236" t="s">
        <v>217</v>
      </c>
      <c r="E3" s="236" t="s">
        <v>218</v>
      </c>
      <c r="F3" s="238" t="s">
        <v>148</v>
      </c>
      <c r="G3" s="238" t="s">
        <v>163</v>
      </c>
      <c r="H3" s="239" t="s">
        <v>162</v>
      </c>
      <c r="I3" s="238" t="s">
        <v>169</v>
      </c>
      <c r="J3" s="239" t="s">
        <v>267</v>
      </c>
      <c r="K3" s="238" t="s">
        <v>266</v>
      </c>
      <c r="L3" s="239" t="s">
        <v>170</v>
      </c>
      <c r="M3" s="238" t="s">
        <v>323</v>
      </c>
      <c r="N3" s="239" t="s">
        <v>209</v>
      </c>
      <c r="O3" t="s">
        <v>223</v>
      </c>
      <c r="P3" t="s">
        <v>224</v>
      </c>
      <c r="Q3" t="s">
        <v>270</v>
      </c>
      <c r="R3" t="s">
        <v>345</v>
      </c>
      <c r="S3" t="s">
        <v>358</v>
      </c>
      <c r="T3" t="s">
        <v>380</v>
      </c>
    </row>
    <row r="4" spans="2:20">
      <c r="B4" s="164" t="s">
        <v>143</v>
      </c>
      <c r="C4" s="236" t="s">
        <v>151</v>
      </c>
      <c r="D4" s="239">
        <v>926</v>
      </c>
      <c r="E4" s="239">
        <f>Table5710[[#This Row],[Total Quantity]]-Table5710[[#This Row],[Quantity]]-Table5710[[#This Row],[Quantity2]]</f>
        <v>736</v>
      </c>
      <c r="F4" s="238">
        <v>471</v>
      </c>
      <c r="G4" s="239">
        <v>80</v>
      </c>
      <c r="H4" s="230">
        <f>Table5710[[#This Row],[Rate]]*Table5710[[#This Row],[Quantity]]</f>
        <v>37680</v>
      </c>
      <c r="I4" s="240">
        <v>110</v>
      </c>
      <c r="J4" s="230">
        <f>Table5710[[#This Row],[Rate]]*Table5710[[#This Row],[Quantity2]]</f>
        <v>51810</v>
      </c>
      <c r="K4" s="240">
        <v>290</v>
      </c>
      <c r="L4" s="230">
        <f>Table5710[[#This Row],[Rate]]*Table5710[[#This Row],[Quantity3]]</f>
        <v>136590</v>
      </c>
      <c r="M4" s="240">
        <v>150</v>
      </c>
      <c r="N4" s="230">
        <f>Table5710[[#This Row],[Rate]]*Table5710[[#This Row],[Quantity32]]</f>
        <v>70650</v>
      </c>
      <c r="P4" s="231"/>
      <c r="Q4">
        <v>296</v>
      </c>
      <c r="R4" s="230">
        <f>Table5710[[#This Row],[Amount36]]*Table5710[[#This Row],[Rate]]</f>
        <v>139416</v>
      </c>
    </row>
    <row r="5" spans="2:20">
      <c r="B5" s="164" t="s">
        <v>144</v>
      </c>
      <c r="C5" s="236" t="s">
        <v>152</v>
      </c>
      <c r="D5" s="239">
        <v>705</v>
      </c>
      <c r="E5" s="239">
        <f>Table5710[[#This Row],[Total Quantity]]-Table5710[[#This Row],[Quantity]]-Table5710[[#This Row],[Quantity2]]</f>
        <v>448.33201086956524</v>
      </c>
      <c r="F5" s="238">
        <v>368</v>
      </c>
      <c r="G5" s="239">
        <v>100.66798913043478</v>
      </c>
      <c r="H5" s="230">
        <f>Table5710[[#This Row],[Rate]]*Table5710[[#This Row],[Quantity]]</f>
        <v>37045.82</v>
      </c>
      <c r="I5" s="240">
        <v>156</v>
      </c>
      <c r="J5" s="230">
        <f>Table5710[[#This Row],[Rate]]*Table5710[[#This Row],[Quantity2]]</f>
        <v>57408</v>
      </c>
      <c r="K5" s="240">
        <v>85</v>
      </c>
      <c r="L5" s="230">
        <f>Table5710[[#This Row],[Rate]]*Table5710[[#This Row],[Quantity3]]</f>
        <v>31280</v>
      </c>
      <c r="M5" s="240">
        <v>150</v>
      </c>
      <c r="N5" s="230">
        <f>Table5710[[#This Row],[Rate]]*Table5710[[#This Row],[Quantity32]]</f>
        <v>55200</v>
      </c>
      <c r="P5" s="231"/>
      <c r="Q5">
        <v>213.33201086956521</v>
      </c>
      <c r="R5" s="230">
        <f>Table5710[[#This Row],[Amount36]]*Table5710[[#This Row],[Rate]]</f>
        <v>78506.179999999993</v>
      </c>
    </row>
    <row r="6" spans="2:20">
      <c r="B6" s="164" t="s">
        <v>142</v>
      </c>
      <c r="C6" s="236" t="s">
        <v>153</v>
      </c>
      <c r="D6" s="239">
        <v>1332</v>
      </c>
      <c r="E6" s="239">
        <f>Table5710[[#This Row],[Total Quantity]]-Table5710[[#This Row],[Quantity]]-Table5710[[#This Row],[Quantity2]]</f>
        <v>943</v>
      </c>
      <c r="F6" s="238">
        <v>263</v>
      </c>
      <c r="G6" s="239">
        <v>184</v>
      </c>
      <c r="H6" s="230">
        <f>Table5710[[#This Row],[Rate]]*Table5710[[#This Row],[Quantity]]</f>
        <v>48392</v>
      </c>
      <c r="I6" s="240">
        <v>205</v>
      </c>
      <c r="J6" s="230">
        <f>Table5710[[#This Row],[Rate]]*Table5710[[#This Row],[Quantity2]]</f>
        <v>53915</v>
      </c>
      <c r="K6" s="240">
        <v>199</v>
      </c>
      <c r="L6" s="230">
        <f>Table5710[[#This Row],[Rate]]*Table5710[[#This Row],[Quantity3]]</f>
        <v>52337</v>
      </c>
      <c r="M6" s="240">
        <v>124</v>
      </c>
      <c r="N6" s="230">
        <f>Table5710[[#This Row],[Rate]]*Table5710[[#This Row],[Quantity32]]</f>
        <v>32612</v>
      </c>
      <c r="P6" s="231"/>
      <c r="Q6">
        <v>620</v>
      </c>
      <c r="R6" s="230">
        <f>Table5710[[#This Row],[Amount36]]*Table5710[[#This Row],[Rate]]</f>
        <v>163060</v>
      </c>
    </row>
    <row r="7" spans="2:20">
      <c r="B7" s="164" t="s">
        <v>145</v>
      </c>
      <c r="C7" s="236" t="s">
        <v>154</v>
      </c>
      <c r="D7" s="239">
        <v>1626</v>
      </c>
      <c r="E7" s="239">
        <f>Table5710[[#This Row],[Total Quantity]]-Table5710[[#This Row],[Quantity]]-Table5710[[#This Row],[Quantity2]]</f>
        <v>1069</v>
      </c>
      <c r="F7" s="238">
        <v>179</v>
      </c>
      <c r="G7" s="239">
        <v>254</v>
      </c>
      <c r="H7" s="230">
        <f>Table5710[[#This Row],[Rate]]*Table5710[[#This Row],[Quantity]]</f>
        <v>45466</v>
      </c>
      <c r="I7" s="240">
        <v>303</v>
      </c>
      <c r="J7" s="230">
        <f>Table5710[[#This Row],[Rate]]*Table5710[[#This Row],[Quantity2]]</f>
        <v>54237</v>
      </c>
      <c r="K7" s="240">
        <v>398</v>
      </c>
      <c r="L7" s="230">
        <f>Table5710[[#This Row],[Rate]]*Table5710[[#This Row],[Quantity3]]</f>
        <v>71242</v>
      </c>
      <c r="M7" s="240">
        <v>299</v>
      </c>
      <c r="N7" s="230">
        <f>Table5710[[#This Row],[Rate]]*Table5710[[#This Row],[Quantity32]]</f>
        <v>53521</v>
      </c>
      <c r="P7" s="231"/>
      <c r="Q7">
        <v>372</v>
      </c>
      <c r="R7" s="230">
        <f>Table5710[[#This Row],[Amount36]]*Table5710[[#This Row],[Rate]]</f>
        <v>66588</v>
      </c>
    </row>
    <row r="8" spans="2:20">
      <c r="B8" s="164" t="s">
        <v>146</v>
      </c>
      <c r="C8" s="236" t="s">
        <v>155</v>
      </c>
      <c r="D8" s="239">
        <v>3416</v>
      </c>
      <c r="E8" s="239">
        <f>Table5710[[#This Row],[Total Quantity]]-Table5710[[#This Row],[Quantity]]-Table5710[[#This Row],[Quantity2]]</f>
        <v>2700</v>
      </c>
      <c r="F8" s="238">
        <v>373</v>
      </c>
      <c r="G8" s="239">
        <v>150</v>
      </c>
      <c r="H8" s="230">
        <f>Table5710[[#This Row],[Rate]]*Table5710[[#This Row],[Quantity]]</f>
        <v>55950</v>
      </c>
      <c r="I8" s="240">
        <v>566</v>
      </c>
      <c r="J8" s="230">
        <f>Table5710[[#This Row],[Rate]]*Table5710[[#This Row],[Quantity2]]</f>
        <v>211118</v>
      </c>
      <c r="K8" s="240">
        <v>888</v>
      </c>
      <c r="L8" s="230">
        <f>Table5710[[#This Row],[Rate]]*Table5710[[#This Row],[Quantity3]]</f>
        <v>331224</v>
      </c>
      <c r="M8" s="240">
        <v>1050</v>
      </c>
      <c r="N8" s="230">
        <f>Table5710[[#This Row],[Rate]]*Table5710[[#This Row],[Quantity32]]</f>
        <v>391650</v>
      </c>
      <c r="P8" s="231"/>
      <c r="Q8">
        <v>762</v>
      </c>
      <c r="R8" s="230">
        <f>Table5710[[#This Row],[Amount36]]*Table5710[[#This Row],[Rate]]</f>
        <v>284226</v>
      </c>
    </row>
    <row r="9" spans="2:20">
      <c r="B9" s="164" t="s">
        <v>144</v>
      </c>
      <c r="C9" s="236" t="s">
        <v>156</v>
      </c>
      <c r="D9" s="239">
        <v>4204</v>
      </c>
      <c r="E9" s="239">
        <f>Table5710[[#This Row],[Total Quantity]]-Table5710[[#This Row],[Quantity]]-Table5710[[#This Row],[Quantity2]]</f>
        <v>3406</v>
      </c>
      <c r="F9" s="238">
        <v>320</v>
      </c>
      <c r="G9" s="239">
        <v>310</v>
      </c>
      <c r="H9" s="230">
        <f>Table5710[[#This Row],[Rate]]*Table5710[[#This Row],[Quantity]]</f>
        <v>99200</v>
      </c>
      <c r="I9" s="240">
        <v>488</v>
      </c>
      <c r="J9" s="230">
        <f>Table5710[[#This Row],[Rate]]*Table5710[[#This Row],[Quantity2]]</f>
        <v>156160</v>
      </c>
      <c r="K9" s="240">
        <v>901</v>
      </c>
      <c r="L9" s="230">
        <f>Table5710[[#This Row],[Rate]]*Table5710[[#This Row],[Quantity3]]</f>
        <v>288320</v>
      </c>
      <c r="M9" s="240">
        <v>1605</v>
      </c>
      <c r="N9" s="230">
        <f>Table5710[[#This Row],[Rate]]*Table5710[[#This Row],[Quantity32]]</f>
        <v>513600</v>
      </c>
      <c r="P9" s="231"/>
      <c r="Q9">
        <v>900</v>
      </c>
      <c r="R9" s="230">
        <f>Table5710[[#This Row],[Amount36]]*Table5710[[#This Row],[Rate]]</f>
        <v>288000</v>
      </c>
    </row>
    <row r="10" spans="2:20">
      <c r="B10" s="164" t="s">
        <v>142</v>
      </c>
      <c r="C10" s="236" t="s">
        <v>157</v>
      </c>
      <c r="D10" s="239">
        <v>6548</v>
      </c>
      <c r="E10" s="239">
        <f>Table5710[[#This Row],[Total Quantity]]-Table5710[[#This Row],[Quantity]]-Table5710[[#This Row],[Quantity2]]</f>
        <v>3862</v>
      </c>
      <c r="F10" s="238">
        <v>240</v>
      </c>
      <c r="G10" s="239">
        <v>731</v>
      </c>
      <c r="H10" s="230">
        <f>Table5710[[#This Row],[Rate]]*Table5710[[#This Row],[Quantity]]</f>
        <v>175440</v>
      </c>
      <c r="I10" s="240">
        <v>1955</v>
      </c>
      <c r="J10" s="230">
        <f>Table5710[[#This Row],[Rate]]*Table5710[[#This Row],[Quantity2]]</f>
        <v>469200</v>
      </c>
      <c r="K10" s="240">
        <v>989</v>
      </c>
      <c r="L10" s="230">
        <f>Table5710[[#This Row],[Rate]]*Table5710[[#This Row],[Quantity3]]</f>
        <v>237360</v>
      </c>
      <c r="M10" s="240">
        <v>1781.25</v>
      </c>
      <c r="N10" s="230">
        <f>Table5710[[#This Row],[Rate]]*Table5710[[#This Row],[Quantity32]]</f>
        <v>427500</v>
      </c>
      <c r="P10" s="231"/>
      <c r="Q10">
        <v>1091.75</v>
      </c>
      <c r="R10" s="230">
        <f>Table5710[[#This Row],[Amount36]]*Table5710[[#This Row],[Rate]]</f>
        <v>262020</v>
      </c>
    </row>
    <row r="11" spans="2:20">
      <c r="B11" s="164" t="s">
        <v>145</v>
      </c>
      <c r="C11" s="237" t="s">
        <v>158</v>
      </c>
      <c r="D11" s="239">
        <v>8444</v>
      </c>
      <c r="E11" s="239">
        <f>Table5710[[#This Row],[Total Quantity]]-Table5710[[#This Row],[Quantity]]-Table5710[[#This Row],[Quantity2]]</f>
        <v>2800</v>
      </c>
      <c r="F11" s="238">
        <v>142</v>
      </c>
      <c r="G11" s="239">
        <v>1222</v>
      </c>
      <c r="H11" s="230">
        <f>Table5710[[#This Row],[Rate]]*Table5710[[#This Row],[Quantity]]</f>
        <v>173524</v>
      </c>
      <c r="I11" s="239">
        <v>4422</v>
      </c>
      <c r="J11" s="230">
        <f>Table5710[[#This Row],[Rate]]*Table5710[[#This Row],[Quantity2]]</f>
        <v>627924</v>
      </c>
      <c r="K11" s="239">
        <v>1388</v>
      </c>
      <c r="L11" s="230">
        <f>Table5710[[#This Row],[Rate]]*Table5710[[#This Row],[Quantity3]]</f>
        <v>197096</v>
      </c>
      <c r="M11" s="239">
        <v>964.26605633802819</v>
      </c>
      <c r="N11" s="230">
        <f>Table5710[[#This Row],[Rate]]*Table5710[[#This Row],[Quantity32]]</f>
        <v>136925.78</v>
      </c>
      <c r="P11" s="230"/>
      <c r="Q11">
        <v>447.73394366197186</v>
      </c>
      <c r="R11" s="876">
        <f>Table5710[[#This Row],[Amount36]]*Table5710[[#This Row],[Rate]]</f>
        <v>63578.22</v>
      </c>
    </row>
    <row r="12" spans="2:20">
      <c r="B12" s="241"/>
      <c r="C12" s="242"/>
      <c r="D12" s="242"/>
      <c r="E12" s="242"/>
      <c r="F12" s="243" t="s">
        <v>25</v>
      </c>
      <c r="G12" s="415">
        <f t="shared" ref="G12:L12" si="0">SUM(G4:G11)</f>
        <v>3031.6679891304348</v>
      </c>
      <c r="H12" s="244">
        <f t="shared" si="0"/>
        <v>672697.82000000007</v>
      </c>
      <c r="I12" s="415">
        <f t="shared" si="0"/>
        <v>8205</v>
      </c>
      <c r="J12" s="244">
        <f t="shared" si="0"/>
        <v>1681772</v>
      </c>
      <c r="K12" s="415">
        <f t="shared" si="0"/>
        <v>5138</v>
      </c>
      <c r="L12" s="244">
        <f t="shared" si="0"/>
        <v>1345449</v>
      </c>
      <c r="M12" s="415">
        <f t="shared" ref="M12:N12" si="1">SUM(M4:M11)</f>
        <v>6123.5160563380286</v>
      </c>
      <c r="N12" s="244">
        <f t="shared" si="1"/>
        <v>1681658.78</v>
      </c>
      <c r="P12" s="231"/>
      <c r="R12" s="244">
        <f t="shared" ref="R12" si="2">SUM(R4:R11)</f>
        <v>1345394.4</v>
      </c>
    </row>
    <row r="13" spans="2:20">
      <c r="C13" s="236"/>
      <c r="D13" s="236"/>
      <c r="E13" s="872"/>
      <c r="F13" s="872">
        <f>(D4*F4)+(D5*F5)+(D6*F6)+(D7*F7)+(D8*F8)+(D9*F9)+(D10*F10)+(D11*F11)</f>
        <v>6726972</v>
      </c>
      <c r="G13" s="238"/>
      <c r="H13" s="873"/>
      <c r="I13" s="874"/>
      <c r="J13" s="875"/>
    </row>
    <row r="17" spans="2:19">
      <c r="B17" t="s">
        <v>256</v>
      </c>
      <c r="C17" s="236"/>
      <c r="D17" s="236"/>
      <c r="E17" s="236"/>
      <c r="F17" s="238"/>
      <c r="G17" s="1284"/>
      <c r="H17" s="1285"/>
      <c r="I17" s="1284"/>
      <c r="J17" s="1285"/>
      <c r="K17" s="1284" t="s">
        <v>222</v>
      </c>
      <c r="L17" s="1285"/>
      <c r="M17" s="1284" t="s">
        <v>225</v>
      </c>
      <c r="N17" s="1285"/>
      <c r="O17" s="1284" t="s">
        <v>271</v>
      </c>
      <c r="P17" s="1285"/>
      <c r="Q17" s="1284" t="s">
        <v>272</v>
      </c>
      <c r="R17" s="1285"/>
    </row>
    <row r="18" spans="2:19">
      <c r="B18" t="s">
        <v>141</v>
      </c>
      <c r="C18" s="236" t="s">
        <v>147</v>
      </c>
      <c r="D18" s="236" t="s">
        <v>217</v>
      </c>
      <c r="E18" s="236" t="s">
        <v>218</v>
      </c>
      <c r="F18" s="238" t="s">
        <v>148</v>
      </c>
      <c r="G18" s="238" t="s">
        <v>2</v>
      </c>
      <c r="H18" s="239" t="s">
        <v>257</v>
      </c>
      <c r="I18" s="238" t="s">
        <v>258</v>
      </c>
      <c r="J18" s="239" t="s">
        <v>259</v>
      </c>
      <c r="K18" s="238" t="s">
        <v>266</v>
      </c>
      <c r="L18" s="239" t="s">
        <v>170</v>
      </c>
      <c r="M18" s="238" t="s">
        <v>323</v>
      </c>
      <c r="N18" s="239" t="s">
        <v>209</v>
      </c>
      <c r="O18" t="s">
        <v>223</v>
      </c>
      <c r="P18" t="s">
        <v>224</v>
      </c>
      <c r="Q18" t="s">
        <v>270</v>
      </c>
      <c r="R18" t="s">
        <v>345</v>
      </c>
      <c r="S18" t="s">
        <v>358</v>
      </c>
    </row>
    <row r="19" spans="2:19">
      <c r="B19" s="164" t="s">
        <v>143</v>
      </c>
      <c r="C19" s="236" t="s">
        <v>151</v>
      </c>
      <c r="D19" s="239">
        <v>149</v>
      </c>
      <c r="E19" s="239">
        <f>Table571012[[#This Row],[Total Quantity]]-Table571012[[#This Row],[Column1]]-Table571012[[#This Row],[Column3]]</f>
        <v>149</v>
      </c>
      <c r="F19" s="238">
        <v>471</v>
      </c>
      <c r="G19" s="239"/>
      <c r="H19" s="230"/>
      <c r="I19" s="240"/>
      <c r="J19" s="230"/>
      <c r="K19" s="240"/>
      <c r="L19" s="230"/>
      <c r="M19" s="240">
        <v>14.9</v>
      </c>
      <c r="N19" s="230">
        <f>Table571012[[#This Row],[Quantity32]]*Table571012[[#This Row],[Rate]]</f>
        <v>7017.9000000000005</v>
      </c>
      <c r="O19" s="230">
        <v>48.49</v>
      </c>
      <c r="P19" s="231">
        <f>Table571012[[#This Row],[Amount34]]*Table571012[[#This Row],[Rate]]</f>
        <v>22838.79</v>
      </c>
      <c r="Q19">
        <v>26.01</v>
      </c>
      <c r="R19" s="230">
        <f>Table571012[[#This Row],[Amount36]]*Table571012[[#This Row],[Rate]]</f>
        <v>12250.710000000001</v>
      </c>
    </row>
    <row r="20" spans="2:19">
      <c r="B20" s="164" t="s">
        <v>144</v>
      </c>
      <c r="C20" s="236" t="s">
        <v>152</v>
      </c>
      <c r="D20" s="239">
        <v>279.5</v>
      </c>
      <c r="E20" s="239">
        <f>Table571012[[#This Row],[Total Quantity]]-Table571012[[#This Row],[Column1]]-Table571012[[#This Row],[Column3]]</f>
        <v>279.5</v>
      </c>
      <c r="F20" s="238">
        <v>368</v>
      </c>
      <c r="G20" s="239"/>
      <c r="H20" s="230"/>
      <c r="I20" s="240"/>
      <c r="J20" s="230"/>
      <c r="K20" s="240"/>
      <c r="L20" s="230"/>
      <c r="M20" s="240">
        <v>27.95</v>
      </c>
      <c r="N20" s="230">
        <f>Table571012[[#This Row],[Quantity32]]*Table571012[[#This Row],[Rate]]</f>
        <v>10285.6</v>
      </c>
      <c r="O20" s="230">
        <v>90.92</v>
      </c>
      <c r="P20" s="231">
        <f>Table571012[[#This Row],[Amount34]]*Table571012[[#This Row],[Rate]]</f>
        <v>33458.559999999998</v>
      </c>
      <c r="Q20">
        <v>48.83</v>
      </c>
      <c r="R20" s="230">
        <f>Table571012[[#This Row],[Amount36]]*Table571012[[#This Row],[Rate]]</f>
        <v>17969.439999999999</v>
      </c>
    </row>
    <row r="21" spans="2:19">
      <c r="B21" s="164" t="s">
        <v>142</v>
      </c>
      <c r="C21" s="236" t="s">
        <v>153</v>
      </c>
      <c r="D21" s="239">
        <v>424</v>
      </c>
      <c r="E21" s="239">
        <f>Table571012[[#This Row],[Total Quantity]]-Table571012[[#This Row],[Column1]]-Table571012[[#This Row],[Column3]]</f>
        <v>424</v>
      </c>
      <c r="F21" s="238">
        <v>263</v>
      </c>
      <c r="G21" s="239"/>
      <c r="H21" s="230"/>
      <c r="I21" s="240"/>
      <c r="J21" s="230"/>
      <c r="K21" s="240"/>
      <c r="L21" s="230"/>
      <c r="M21" s="240">
        <v>42.4</v>
      </c>
      <c r="N21" s="230">
        <f>Table571012[[#This Row],[Quantity32]]*Table571012[[#This Row],[Rate]]</f>
        <v>11151.199999999999</v>
      </c>
      <c r="O21" s="230">
        <v>137.80000000000001</v>
      </c>
      <c r="P21" s="231">
        <f>Table571012[[#This Row],[Amount34]]*Table571012[[#This Row],[Rate]]</f>
        <v>36241.4</v>
      </c>
      <c r="Q21">
        <v>74.2</v>
      </c>
      <c r="R21" s="230">
        <f>Table571012[[#This Row],[Amount36]]*Table571012[[#This Row],[Rate]]</f>
        <v>19514.600000000002</v>
      </c>
    </row>
    <row r="22" spans="2:19">
      <c r="B22" s="164" t="s">
        <v>145</v>
      </c>
      <c r="C22" s="236" t="s">
        <v>154</v>
      </c>
      <c r="D22" s="239">
        <v>622</v>
      </c>
      <c r="E22" s="239">
        <f>Table571012[[#This Row],[Total Quantity]]-Table571012[[#This Row],[Column1]]-Table571012[[#This Row],[Column3]]</f>
        <v>622</v>
      </c>
      <c r="F22" s="238">
        <v>179</v>
      </c>
      <c r="G22" s="239"/>
      <c r="H22" s="230"/>
      <c r="I22" s="240"/>
      <c r="J22" s="230"/>
      <c r="K22" s="240"/>
      <c r="L22" s="230"/>
      <c r="M22" s="240">
        <v>62.2</v>
      </c>
      <c r="N22" s="230">
        <f>Table571012[[#This Row],[Quantity32]]*Table571012[[#This Row],[Rate]]</f>
        <v>11133.800000000001</v>
      </c>
      <c r="O22" s="230">
        <v>202.15</v>
      </c>
      <c r="P22" s="231">
        <f>Table571012[[#This Row],[Amount34]]*Table571012[[#This Row],[Rate]]</f>
        <v>36184.85</v>
      </c>
      <c r="Q22">
        <v>108.85</v>
      </c>
      <c r="R22" s="230">
        <f>Table571012[[#This Row],[Amount36]]*Table571012[[#This Row],[Rate]]</f>
        <v>19484.149999999998</v>
      </c>
    </row>
    <row r="23" spans="2:19">
      <c r="B23" s="164" t="s">
        <v>146</v>
      </c>
      <c r="C23" s="236" t="s">
        <v>155</v>
      </c>
      <c r="D23" s="239">
        <v>1440</v>
      </c>
      <c r="E23" s="239">
        <f>Table571012[[#This Row],[Total Quantity]]-Table571012[[#This Row],[Column1]]-Table571012[[#This Row],[Column3]]</f>
        <v>1440</v>
      </c>
      <c r="F23" s="238">
        <v>373</v>
      </c>
      <c r="G23" s="239"/>
      <c r="H23" s="230"/>
      <c r="I23" s="240"/>
      <c r="J23" s="230"/>
      <c r="K23" s="240"/>
      <c r="L23" s="230"/>
      <c r="M23" s="240">
        <v>144</v>
      </c>
      <c r="N23" s="230">
        <f>Table571012[[#This Row],[Quantity32]]*Table571012[[#This Row],[Rate]]</f>
        <v>53712</v>
      </c>
      <c r="O23" s="230">
        <v>468</v>
      </c>
      <c r="P23" s="231">
        <f>Table571012[[#This Row],[Amount34]]*Table571012[[#This Row],[Rate]]</f>
        <v>174564</v>
      </c>
      <c r="Q23">
        <v>252</v>
      </c>
      <c r="R23" s="230">
        <f>Table571012[[#This Row],[Amount36]]*Table571012[[#This Row],[Rate]]</f>
        <v>93996</v>
      </c>
    </row>
    <row r="24" spans="2:19">
      <c r="B24" s="164" t="s">
        <v>144</v>
      </c>
      <c r="C24" s="236" t="s">
        <v>156</v>
      </c>
      <c r="D24" s="239">
        <v>2422</v>
      </c>
      <c r="E24" s="239">
        <f>Table571012[[#This Row],[Total Quantity]]-Table571012[[#This Row],[Column1]]-Table571012[[#This Row],[Column3]]</f>
        <v>2422</v>
      </c>
      <c r="F24" s="238">
        <v>320</v>
      </c>
      <c r="G24" s="239"/>
      <c r="H24" s="230"/>
      <c r="I24" s="240"/>
      <c r="J24" s="230"/>
      <c r="K24" s="240"/>
      <c r="L24" s="230"/>
      <c r="M24" s="240">
        <v>242.2</v>
      </c>
      <c r="N24" s="230">
        <f>Table571012[[#This Row],[Quantity32]]*Table571012[[#This Row],[Rate]]</f>
        <v>77504</v>
      </c>
      <c r="O24" s="230">
        <v>787.1</v>
      </c>
      <c r="P24" s="231">
        <f>Table571012[[#This Row],[Amount34]]*Table571012[[#This Row],[Rate]]</f>
        <v>251872</v>
      </c>
      <c r="Q24">
        <v>423.9</v>
      </c>
      <c r="R24" s="230">
        <f>Table571012[[#This Row],[Amount36]]*Table571012[[#This Row],[Rate]]</f>
        <v>135648</v>
      </c>
    </row>
    <row r="25" spans="2:19">
      <c r="B25" s="164" t="s">
        <v>142</v>
      </c>
      <c r="C25" s="236" t="s">
        <v>157</v>
      </c>
      <c r="D25" s="239">
        <v>3792</v>
      </c>
      <c r="E25" s="239">
        <f>Table571012[[#This Row],[Total Quantity]]-Table571012[[#This Row],[Column1]]-Table571012[[#This Row],[Column3]]</f>
        <v>3792</v>
      </c>
      <c r="F25" s="238">
        <v>240</v>
      </c>
      <c r="G25" s="239"/>
      <c r="H25" s="230"/>
      <c r="I25" s="240"/>
      <c r="J25" s="230"/>
      <c r="K25" s="240"/>
      <c r="L25" s="230"/>
      <c r="M25" s="240">
        <v>379.2</v>
      </c>
      <c r="N25" s="230">
        <f>Table571012[[#This Row],[Quantity32]]*Table571012[[#This Row],[Rate]]</f>
        <v>91008</v>
      </c>
      <c r="O25" s="230">
        <v>1232.4000000000001</v>
      </c>
      <c r="P25" s="231">
        <f>Table571012[[#This Row],[Amount34]]*Table571012[[#This Row],[Rate]]</f>
        <v>295776</v>
      </c>
      <c r="Q25">
        <v>663.6</v>
      </c>
      <c r="R25" s="230">
        <f>Table571012[[#This Row],[Amount36]]*Table571012[[#This Row],[Rate]]</f>
        <v>159264</v>
      </c>
    </row>
    <row r="26" spans="2:19">
      <c r="B26" s="164" t="s">
        <v>145</v>
      </c>
      <c r="C26" s="237" t="s">
        <v>158</v>
      </c>
      <c r="D26" s="239">
        <v>4805</v>
      </c>
      <c r="E26" s="239">
        <f>Table571012[[#This Row],[Total Quantity]]-Table571012[[#This Row],[Column1]]-Table571012[[#This Row],[Column3]]</f>
        <v>4805</v>
      </c>
      <c r="F26" s="238">
        <v>142</v>
      </c>
      <c r="G26" s="239"/>
      <c r="H26" s="230"/>
      <c r="I26" s="239"/>
      <c r="J26" s="230"/>
      <c r="K26" s="239"/>
      <c r="L26" s="230"/>
      <c r="M26" s="239">
        <v>480.5</v>
      </c>
      <c r="N26" s="230">
        <f>Table571012[[#This Row],[Quantity32]]*Table571012[[#This Row],[Rate]]</f>
        <v>68231</v>
      </c>
      <c r="O26" s="876">
        <v>1561.3082394366197</v>
      </c>
      <c r="P26" s="878">
        <f>Table571012[[#This Row],[Amount34]]*Table571012[[#This Row],[Rate]]</f>
        <v>221705.77</v>
      </c>
      <c r="Q26" s="230">
        <v>841.19176056338029</v>
      </c>
      <c r="R26" s="230">
        <v>119449.23</v>
      </c>
    </row>
    <row r="27" spans="2:19">
      <c r="B27" s="241"/>
      <c r="C27" s="242"/>
      <c r="D27" s="242"/>
      <c r="E27" s="242"/>
      <c r="F27" s="243" t="s">
        <v>25</v>
      </c>
      <c r="G27" s="415"/>
      <c r="H27" s="244"/>
      <c r="I27" s="415"/>
      <c r="J27" s="244"/>
      <c r="K27" s="415">
        <f t="shared" ref="K27:R27" si="3">SUM(K19:K26)</f>
        <v>0</v>
      </c>
      <c r="L27" s="244">
        <f t="shared" si="3"/>
        <v>0</v>
      </c>
      <c r="M27" s="415">
        <f t="shared" si="3"/>
        <v>1393.35</v>
      </c>
      <c r="N27" s="244">
        <f t="shared" si="3"/>
        <v>330043.5</v>
      </c>
      <c r="P27" s="244">
        <f t="shared" si="3"/>
        <v>1072641.3699999999</v>
      </c>
      <c r="R27" s="244">
        <f t="shared" si="3"/>
        <v>577576.13</v>
      </c>
    </row>
    <row r="28" spans="2:19">
      <c r="C28" s="236"/>
      <c r="D28" s="236"/>
      <c r="E28" s="872"/>
      <c r="F28" s="872">
        <f>(D19*F19)+(D20*F20)+(D21*F21)+(D22*F22)+(D23*F23)+(D24*F24)+(D25*F25)+(D26*F26)</f>
        <v>3300435</v>
      </c>
      <c r="G28" s="238"/>
      <c r="H28" s="873"/>
      <c r="I28" s="874"/>
      <c r="J28" s="875"/>
    </row>
    <row r="32" spans="2:19">
      <c r="B32" t="s">
        <v>260</v>
      </c>
      <c r="C32" s="236"/>
      <c r="D32" s="236"/>
      <c r="E32" s="236"/>
      <c r="F32" s="238"/>
      <c r="G32" s="1284"/>
      <c r="H32" s="1285"/>
      <c r="I32" s="1284"/>
      <c r="J32" s="1285"/>
      <c r="K32" s="1284" t="s">
        <v>222</v>
      </c>
      <c r="L32" s="1285"/>
      <c r="M32" s="1284" t="s">
        <v>225</v>
      </c>
      <c r="N32" s="1285"/>
      <c r="O32" s="1284" t="s">
        <v>271</v>
      </c>
      <c r="P32" s="1285"/>
      <c r="Q32" s="1284" t="s">
        <v>272</v>
      </c>
      <c r="R32" s="1285"/>
    </row>
    <row r="33" spans="2:20">
      <c r="B33" t="s">
        <v>141</v>
      </c>
      <c r="C33" s="236" t="s">
        <v>147</v>
      </c>
      <c r="D33" s="236" t="s">
        <v>217</v>
      </c>
      <c r="E33" s="236" t="s">
        <v>218</v>
      </c>
      <c r="F33" s="238" t="s">
        <v>148</v>
      </c>
      <c r="G33" s="238" t="s">
        <v>2</v>
      </c>
      <c r="H33" s="239" t="s">
        <v>257</v>
      </c>
      <c r="I33" s="238" t="s">
        <v>258</v>
      </c>
      <c r="J33" s="239" t="s">
        <v>259</v>
      </c>
      <c r="K33" s="238" t="s">
        <v>266</v>
      </c>
      <c r="L33" s="239" t="s">
        <v>170</v>
      </c>
      <c r="M33" s="238" t="s">
        <v>323</v>
      </c>
      <c r="N33" s="239" t="s">
        <v>209</v>
      </c>
      <c r="O33" t="s">
        <v>223</v>
      </c>
      <c r="P33" t="s">
        <v>224</v>
      </c>
      <c r="Q33" t="s">
        <v>270</v>
      </c>
      <c r="R33" t="s">
        <v>345</v>
      </c>
      <c r="S33" t="s">
        <v>358</v>
      </c>
      <c r="T33" t="s">
        <v>380</v>
      </c>
    </row>
    <row r="34" spans="2:20">
      <c r="B34" s="164" t="s">
        <v>143</v>
      </c>
      <c r="C34" s="236" t="s">
        <v>151</v>
      </c>
      <c r="D34" s="239">
        <v>149</v>
      </c>
      <c r="E34" s="239">
        <f>Table57101213[[#This Row],[Total Quantity]]-Table57101213[[#This Row],[Column1]]-Table57101213[[#This Row],[Column3]]</f>
        <v>149</v>
      </c>
      <c r="F34" s="238">
        <v>471</v>
      </c>
      <c r="G34" s="239"/>
      <c r="H34" s="230"/>
      <c r="I34" s="240"/>
      <c r="J34" s="230"/>
      <c r="K34" s="240"/>
      <c r="L34" s="230"/>
      <c r="M34" s="240">
        <v>14.9</v>
      </c>
      <c r="N34" s="230">
        <f>Table57101213[[#This Row],[Quantity32]]*Table57101213[[#This Row],[Rate]]</f>
        <v>7017.9000000000005</v>
      </c>
      <c r="O34" s="217">
        <v>48.46501061571125</v>
      </c>
      <c r="P34" s="231">
        <f>Table57101213[[#This Row],[Amount34]]*Table57101213[[#This Row],[Rate]]</f>
        <v>22827.02</v>
      </c>
      <c r="Q34" s="217">
        <v>26.034989384288746</v>
      </c>
      <c r="R34" s="230">
        <v>12262.48</v>
      </c>
      <c r="S34" s="230"/>
    </row>
    <row r="35" spans="2:20">
      <c r="B35" s="164" t="s">
        <v>144</v>
      </c>
      <c r="C35" s="236" t="s">
        <v>152</v>
      </c>
      <c r="D35" s="239">
        <v>279.5</v>
      </c>
      <c r="E35" s="239">
        <f>Table57101213[[#This Row],[Total Quantity]]-Table57101213[[#This Row],[Column1]]-Table57101213[[#This Row],[Column3]]</f>
        <v>279.5</v>
      </c>
      <c r="F35" s="238">
        <v>368</v>
      </c>
      <c r="G35" s="239"/>
      <c r="H35" s="230"/>
      <c r="I35" s="240"/>
      <c r="J35" s="230"/>
      <c r="K35" s="240"/>
      <c r="L35" s="230"/>
      <c r="M35" s="240">
        <v>27.95</v>
      </c>
      <c r="N35" s="230">
        <f>Table57101213[[#This Row],[Quantity32]]*Table57101213[[#This Row],[Rate]]</f>
        <v>10285.6</v>
      </c>
      <c r="O35">
        <v>90.87</v>
      </c>
      <c r="P35" s="231">
        <f>Table57101213[[#This Row],[Amount34]]*Table57101213[[#This Row],[Rate]]</f>
        <v>33440.160000000003</v>
      </c>
      <c r="Q35" s="217">
        <v>48.88</v>
      </c>
      <c r="R35" s="230">
        <f>Table57101213[[#This Row],[Rate]]*Table57101213[[#This Row],[Amount36]]</f>
        <v>17987.84</v>
      </c>
      <c r="S35" s="230"/>
    </row>
    <row r="36" spans="2:20">
      <c r="B36" s="164" t="s">
        <v>142</v>
      </c>
      <c r="C36" s="236" t="s">
        <v>153</v>
      </c>
      <c r="D36" s="239">
        <v>424</v>
      </c>
      <c r="E36" s="239">
        <f>Table57101213[[#This Row],[Total Quantity]]-Table57101213[[#This Row],[Column1]]-Table57101213[[#This Row],[Column3]]</f>
        <v>424</v>
      </c>
      <c r="F36" s="238">
        <v>263</v>
      </c>
      <c r="G36" s="239"/>
      <c r="H36" s="230"/>
      <c r="I36" s="240"/>
      <c r="J36" s="230"/>
      <c r="K36" s="240"/>
      <c r="L36" s="230"/>
      <c r="M36" s="240">
        <v>42.4</v>
      </c>
      <c r="N36" s="230">
        <f>Table57101213[[#This Row],[Quantity32]]*Table57101213[[#This Row],[Rate]]</f>
        <v>11151.199999999999</v>
      </c>
      <c r="O36">
        <v>137.80000000000001</v>
      </c>
      <c r="P36" s="231">
        <f>Table57101213[[#This Row],[Amount34]]*Table57101213[[#This Row],[Rate]]</f>
        <v>36241.4</v>
      </c>
      <c r="Q36" s="217">
        <v>74.199999999999989</v>
      </c>
      <c r="R36" s="230">
        <f>Table57101213[[#This Row],[Rate]]*Table57101213[[#This Row],[Amount36]]</f>
        <v>19514.599999999999</v>
      </c>
      <c r="S36" s="230"/>
    </row>
    <row r="37" spans="2:20">
      <c r="B37" s="164" t="s">
        <v>145</v>
      </c>
      <c r="C37" s="236" t="s">
        <v>154</v>
      </c>
      <c r="D37" s="239">
        <v>622</v>
      </c>
      <c r="E37" s="239">
        <f>Table57101213[[#This Row],[Total Quantity]]-Table57101213[[#This Row],[Column1]]-Table57101213[[#This Row],[Column3]]</f>
        <v>622</v>
      </c>
      <c r="F37" s="238">
        <v>179</v>
      </c>
      <c r="G37" s="239"/>
      <c r="H37" s="230"/>
      <c r="I37" s="240"/>
      <c r="J37" s="230"/>
      <c r="K37" s="240"/>
      <c r="L37" s="230"/>
      <c r="M37" s="240">
        <v>62.2</v>
      </c>
      <c r="N37" s="230">
        <f>Table57101213[[#This Row],[Quantity32]]*Table57101213[[#This Row],[Rate]]</f>
        <v>11133.800000000001</v>
      </c>
      <c r="O37">
        <v>202.2</v>
      </c>
      <c r="P37" s="231">
        <f>Table57101213[[#This Row],[Amount34]]*Table57101213[[#This Row],[Rate]]</f>
        <v>36193.799999999996</v>
      </c>
      <c r="Q37" s="217">
        <v>108.8</v>
      </c>
      <c r="R37" s="230">
        <f>Table57101213[[#This Row],[Rate]]*Table57101213[[#This Row],[Amount36]]</f>
        <v>19475.2</v>
      </c>
      <c r="S37" s="230"/>
    </row>
    <row r="38" spans="2:20">
      <c r="B38" s="164" t="s">
        <v>146</v>
      </c>
      <c r="C38" s="236" t="s">
        <v>155</v>
      </c>
      <c r="D38" s="239">
        <v>1440</v>
      </c>
      <c r="E38" s="239">
        <f>Table57101213[[#This Row],[Total Quantity]]-Table57101213[[#This Row],[Column1]]-Table57101213[[#This Row],[Column3]]</f>
        <v>1440</v>
      </c>
      <c r="F38" s="238">
        <v>373</v>
      </c>
      <c r="G38" s="239"/>
      <c r="H38" s="230"/>
      <c r="I38" s="240"/>
      <c r="J38" s="230"/>
      <c r="K38" s="240"/>
      <c r="L38" s="230"/>
      <c r="M38" s="240">
        <v>144</v>
      </c>
      <c r="N38" s="230">
        <f>Table57101213[[#This Row],[Quantity32]]*Table57101213[[#This Row],[Rate]]</f>
        <v>53712</v>
      </c>
      <c r="O38">
        <v>468</v>
      </c>
      <c r="P38" s="231">
        <f>Table57101213[[#This Row],[Amount34]]*Table57101213[[#This Row],[Rate]]</f>
        <v>174564</v>
      </c>
      <c r="Q38" s="217">
        <v>252</v>
      </c>
      <c r="R38" s="230">
        <f>Table57101213[[#This Row],[Rate]]*Table57101213[[#This Row],[Amount36]]</f>
        <v>93996</v>
      </c>
      <c r="S38" s="230"/>
    </row>
    <row r="39" spans="2:20">
      <c r="B39" s="164" t="s">
        <v>144</v>
      </c>
      <c r="C39" s="236" t="s">
        <v>156</v>
      </c>
      <c r="D39" s="239">
        <v>2422</v>
      </c>
      <c r="E39" s="239">
        <f>Table57101213[[#This Row],[Total Quantity]]-Table57101213[[#This Row],[Column1]]-Table57101213[[#This Row],[Column3]]</f>
        <v>2422</v>
      </c>
      <c r="F39" s="238">
        <v>320</v>
      </c>
      <c r="G39" s="239"/>
      <c r="H39" s="230"/>
      <c r="I39" s="240"/>
      <c r="J39" s="230"/>
      <c r="K39" s="240"/>
      <c r="L39" s="230"/>
      <c r="M39" s="240">
        <v>242.2</v>
      </c>
      <c r="N39" s="230">
        <f>Table57101213[[#This Row],[Quantity32]]*Table57101213[[#This Row],[Rate]]</f>
        <v>77504</v>
      </c>
      <c r="O39">
        <v>787.15</v>
      </c>
      <c r="P39" s="231">
        <f>Table57101213[[#This Row],[Amount34]]*Table57101213[[#This Row],[Rate]]</f>
        <v>251888</v>
      </c>
      <c r="Q39" s="217">
        <v>423.85</v>
      </c>
      <c r="R39" s="230">
        <f>Table57101213[[#This Row],[Rate]]*Table57101213[[#This Row],[Amount36]]</f>
        <v>135632</v>
      </c>
      <c r="S39" s="230"/>
    </row>
    <row r="40" spans="2:20">
      <c r="B40" s="164" t="s">
        <v>142</v>
      </c>
      <c r="C40" s="236" t="s">
        <v>157</v>
      </c>
      <c r="D40" s="239">
        <v>3792</v>
      </c>
      <c r="E40" s="239">
        <f>Table57101213[[#This Row],[Total Quantity]]-Table57101213[[#This Row],[Column1]]-Table57101213[[#This Row],[Column3]]</f>
        <v>3792</v>
      </c>
      <c r="F40" s="238">
        <v>240</v>
      </c>
      <c r="G40" s="239"/>
      <c r="H40" s="230"/>
      <c r="I40" s="240"/>
      <c r="J40" s="230"/>
      <c r="K40" s="240"/>
      <c r="L40" s="230"/>
      <c r="M40" s="240">
        <v>379.2</v>
      </c>
      <c r="N40" s="230">
        <f>Table57101213[[#This Row],[Quantity32]]*Table57101213[[#This Row],[Rate]]</f>
        <v>91008</v>
      </c>
      <c r="O40">
        <v>1232.4000000000001</v>
      </c>
      <c r="P40" s="231">
        <f>Table57101213[[#This Row],[Amount34]]*Table57101213[[#This Row],[Rate]]</f>
        <v>295776</v>
      </c>
      <c r="Q40" s="217">
        <v>663.6</v>
      </c>
      <c r="R40" s="230">
        <f>Table57101213[[#This Row],[Rate]]*Table57101213[[#This Row],[Amount36]]</f>
        <v>159264</v>
      </c>
      <c r="S40" s="230"/>
    </row>
    <row r="41" spans="2:20">
      <c r="B41" s="164" t="s">
        <v>145</v>
      </c>
      <c r="C41" s="237" t="s">
        <v>158</v>
      </c>
      <c r="D41" s="239">
        <v>4805</v>
      </c>
      <c r="E41" s="239">
        <f>Table57101213[[#This Row],[Total Quantity]]-Table57101213[[#This Row],[Column1]]-Table57101213[[#This Row],[Column3]]</f>
        <v>4805</v>
      </c>
      <c r="F41" s="238">
        <v>142</v>
      </c>
      <c r="G41" s="239"/>
      <c r="H41" s="230"/>
      <c r="I41" s="239"/>
      <c r="J41" s="230"/>
      <c r="K41" s="239"/>
      <c r="L41" s="230"/>
      <c r="M41" s="239">
        <v>480.5</v>
      </c>
      <c r="N41" s="230">
        <f>Table57101213[[#This Row],[Quantity32]]*Table57101213[[#This Row],[Rate]]</f>
        <v>68231</v>
      </c>
      <c r="O41" s="259">
        <v>1561.3450704225352</v>
      </c>
      <c r="P41" s="878">
        <f>Table57101213[[#This Row],[Amount34]]*Table57101213[[#This Row],[Rate]]</f>
        <v>221711</v>
      </c>
      <c r="Q41" s="877">
        <v>841.15492957746483</v>
      </c>
      <c r="R41" s="230">
        <f>Table57101213[[#This Row],[Rate]]*Table57101213[[#This Row],[Amount36]]</f>
        <v>119444</v>
      </c>
      <c r="S41" s="230"/>
    </row>
    <row r="42" spans="2:20">
      <c r="B42" s="241"/>
      <c r="C42" s="242"/>
      <c r="D42" s="242"/>
      <c r="E42" s="242"/>
      <c r="F42" s="243" t="s">
        <v>25</v>
      </c>
      <c r="G42" s="415"/>
      <c r="H42" s="244"/>
      <c r="I42" s="415"/>
      <c r="J42" s="244"/>
      <c r="K42" s="415">
        <f t="shared" ref="K42:R42" si="4">SUM(K34:K41)</f>
        <v>0</v>
      </c>
      <c r="L42" s="244">
        <f t="shared" si="4"/>
        <v>0</v>
      </c>
      <c r="M42" s="415">
        <f t="shared" si="4"/>
        <v>1393.35</v>
      </c>
      <c r="N42" s="244">
        <f t="shared" si="4"/>
        <v>330043.5</v>
      </c>
      <c r="P42" s="244">
        <f t="shared" si="4"/>
        <v>1072641.3799999999</v>
      </c>
      <c r="R42" s="244">
        <f t="shared" si="4"/>
        <v>577576.12</v>
      </c>
      <c r="S42" s="230"/>
    </row>
    <row r="43" spans="2:20">
      <c r="C43" s="236"/>
      <c r="D43" s="236"/>
      <c r="E43" s="872"/>
      <c r="F43" s="872">
        <f>(D34*F34)+(D35*F35)+(D36*F36)+(D37*F37)+(D38*F38)+(D39*F39)+(D40*F40)+(D41*F41)</f>
        <v>3300435</v>
      </c>
      <c r="G43" s="238"/>
      <c r="H43" s="873"/>
      <c r="I43" s="874"/>
      <c r="J43" s="875"/>
    </row>
    <row r="47" spans="2:20">
      <c r="B47" t="s">
        <v>254</v>
      </c>
      <c r="C47" s="236"/>
      <c r="D47" s="236"/>
      <c r="E47" s="236"/>
      <c r="F47" s="238"/>
      <c r="G47" s="1284" t="s">
        <v>161</v>
      </c>
      <c r="H47" s="1285"/>
      <c r="I47" s="1284"/>
      <c r="J47" s="1285"/>
      <c r="K47" s="1284"/>
      <c r="L47" s="1285"/>
      <c r="M47" s="1284"/>
      <c r="N47" s="1285"/>
      <c r="O47" s="1284" t="s">
        <v>271</v>
      </c>
      <c r="P47" s="1285"/>
      <c r="Q47" s="1284" t="s">
        <v>272</v>
      </c>
      <c r="R47" s="1285"/>
    </row>
    <row r="48" spans="2:20">
      <c r="B48" t="s">
        <v>141</v>
      </c>
      <c r="C48" s="236" t="s">
        <v>147</v>
      </c>
      <c r="D48" s="236" t="s">
        <v>217</v>
      </c>
      <c r="E48" s="236" t="s">
        <v>218</v>
      </c>
      <c r="F48" s="238" t="s">
        <v>148</v>
      </c>
      <c r="G48" s="238" t="s">
        <v>163</v>
      </c>
      <c r="H48" s="239" t="s">
        <v>162</v>
      </c>
      <c r="I48" s="238" t="s">
        <v>258</v>
      </c>
      <c r="J48" s="239" t="s">
        <v>259</v>
      </c>
      <c r="K48" s="238" t="s">
        <v>283</v>
      </c>
      <c r="L48" s="239" t="s">
        <v>284</v>
      </c>
      <c r="M48" s="238" t="s">
        <v>285</v>
      </c>
      <c r="N48" s="239" t="s">
        <v>286</v>
      </c>
      <c r="O48" t="s">
        <v>287</v>
      </c>
      <c r="P48" t="s">
        <v>288</v>
      </c>
      <c r="Q48" t="s">
        <v>381</v>
      </c>
      <c r="R48" t="s">
        <v>382</v>
      </c>
    </row>
    <row r="49" spans="2:18">
      <c r="B49" s="164" t="s">
        <v>143</v>
      </c>
      <c r="C49" s="236" t="s">
        <v>151</v>
      </c>
      <c r="D49" s="239">
        <v>100</v>
      </c>
      <c r="E49" s="239">
        <f>Table5710121314[[#This Row],[Total Quantity]]-Table5710121314[[#This Row],[Quantity]]-Table5710121314[[#This Row],[Column3]]</f>
        <v>100</v>
      </c>
      <c r="F49" s="238">
        <v>471</v>
      </c>
      <c r="G49" s="239"/>
      <c r="H49" s="230"/>
      <c r="I49" s="240"/>
      <c r="J49" s="230"/>
      <c r="K49" s="240"/>
      <c r="L49" s="230"/>
      <c r="M49" s="240"/>
      <c r="N49" s="230"/>
      <c r="O49" s="240">
        <v>70</v>
      </c>
      <c r="P49" s="230">
        <f>Table5710121314[[#This Row],[Column9]]*Table5710121314[[#This Row],[Rate]]</f>
        <v>32970</v>
      </c>
      <c r="Q49">
        <v>30</v>
      </c>
      <c r="R49" s="230">
        <f>Table5710121314[[#This Row],[Column11]]*Table5710121314[[#This Row],[Rate]]</f>
        <v>14130</v>
      </c>
    </row>
    <row r="50" spans="2:18">
      <c r="B50" s="164" t="s">
        <v>144</v>
      </c>
      <c r="C50" s="236" t="s">
        <v>152</v>
      </c>
      <c r="D50" s="239">
        <v>500</v>
      </c>
      <c r="E50" s="239">
        <f>Table5710121314[[#This Row],[Total Quantity]]-Table5710121314[[#This Row],[Quantity]]-Table5710121314[[#This Row],[Column3]]</f>
        <v>500</v>
      </c>
      <c r="F50" s="238">
        <v>368</v>
      </c>
      <c r="G50" s="239"/>
      <c r="H50" s="230"/>
      <c r="I50" s="240"/>
      <c r="J50" s="230"/>
      <c r="K50" s="240"/>
      <c r="L50" s="230"/>
      <c r="M50" s="240"/>
      <c r="N50" s="230"/>
      <c r="O50" s="240">
        <v>350</v>
      </c>
      <c r="P50" s="230">
        <f>Table5710121314[[#This Row],[Column9]]*Table5710121314[[#This Row],[Rate]]</f>
        <v>128800</v>
      </c>
      <c r="Q50">
        <v>150</v>
      </c>
      <c r="R50" s="230">
        <f>Table5710121314[[#This Row],[Column11]]*Table5710121314[[#This Row],[Rate]]</f>
        <v>55200</v>
      </c>
    </row>
    <row r="51" spans="2:18">
      <c r="B51" s="164" t="s">
        <v>142</v>
      </c>
      <c r="C51" s="236" t="s">
        <v>153</v>
      </c>
      <c r="D51" s="239">
        <v>800</v>
      </c>
      <c r="E51" s="239">
        <f>Table5710121314[[#This Row],[Total Quantity]]-Table5710121314[[#This Row],[Quantity]]-Table5710121314[[#This Row],[Column3]]</f>
        <v>800</v>
      </c>
      <c r="F51" s="238">
        <v>263</v>
      </c>
      <c r="G51" s="239"/>
      <c r="H51" s="230"/>
      <c r="I51" s="240"/>
      <c r="J51" s="230"/>
      <c r="K51" s="240"/>
      <c r="L51" s="230"/>
      <c r="M51" s="240"/>
      <c r="N51" s="230"/>
      <c r="O51" s="240">
        <v>560</v>
      </c>
      <c r="P51" s="230">
        <f>Table5710121314[[#This Row],[Column9]]*Table5710121314[[#This Row],[Rate]]</f>
        <v>147280</v>
      </c>
      <c r="Q51">
        <v>240</v>
      </c>
      <c r="R51" s="230">
        <f>Table5710121314[[#This Row],[Column11]]*Table5710121314[[#This Row],[Rate]]</f>
        <v>63120</v>
      </c>
    </row>
    <row r="52" spans="2:18">
      <c r="B52" s="164" t="s">
        <v>145</v>
      </c>
      <c r="C52" s="236" t="s">
        <v>154</v>
      </c>
      <c r="D52" s="239">
        <v>1100</v>
      </c>
      <c r="E52" s="239">
        <f>Table5710121314[[#This Row],[Total Quantity]]-Table5710121314[[#This Row],[Quantity]]-Table5710121314[[#This Row],[Column3]]</f>
        <v>1100</v>
      </c>
      <c r="F52" s="238">
        <v>179</v>
      </c>
      <c r="G52" s="239"/>
      <c r="H52" s="230"/>
      <c r="I52" s="240"/>
      <c r="J52" s="230"/>
      <c r="K52" s="240"/>
      <c r="L52" s="230"/>
      <c r="M52" s="240"/>
      <c r="N52" s="230"/>
      <c r="O52" s="240">
        <v>770</v>
      </c>
      <c r="P52" s="230">
        <f>Table5710121314[[#This Row],[Column9]]*Table5710121314[[#This Row],[Rate]]</f>
        <v>137830</v>
      </c>
      <c r="Q52">
        <v>330</v>
      </c>
      <c r="R52" s="230">
        <f>Table5710121314[[#This Row],[Column11]]*Table5710121314[[#This Row],[Rate]]</f>
        <v>59070</v>
      </c>
    </row>
    <row r="53" spans="2:18">
      <c r="B53" s="164" t="s">
        <v>146</v>
      </c>
      <c r="C53" s="236" t="s">
        <v>155</v>
      </c>
      <c r="D53" s="239">
        <v>539</v>
      </c>
      <c r="E53" s="239">
        <f>Table5710121314[[#This Row],[Total Quantity]]-Table5710121314[[#This Row],[Quantity]]-Table5710121314[[#This Row],[Column3]]</f>
        <v>539</v>
      </c>
      <c r="F53" s="238">
        <v>373</v>
      </c>
      <c r="G53" s="239"/>
      <c r="H53" s="230"/>
      <c r="I53" s="240"/>
      <c r="J53" s="230"/>
      <c r="K53" s="240"/>
      <c r="L53" s="230"/>
      <c r="M53" s="240"/>
      <c r="N53" s="230"/>
      <c r="O53" s="240">
        <v>377.26</v>
      </c>
      <c r="P53" s="230">
        <f>Table5710121314[[#This Row],[Column9]]*Table5710121314[[#This Row],[Rate]]</f>
        <v>140717.98000000001</v>
      </c>
      <c r="Q53">
        <v>161.74</v>
      </c>
      <c r="R53" s="230">
        <f>Table5710121314[[#This Row],[Column11]]*Table5710121314[[#This Row],[Rate]]</f>
        <v>60329.020000000004</v>
      </c>
    </row>
    <row r="54" spans="2:18">
      <c r="B54" s="164" t="s">
        <v>144</v>
      </c>
      <c r="C54" s="236" t="s">
        <v>156</v>
      </c>
      <c r="D54" s="239">
        <v>330</v>
      </c>
      <c r="E54" s="239">
        <f>Table5710121314[[#This Row],[Total Quantity]]-Table5710121314[[#This Row],[Quantity]]-Table5710121314[[#This Row],[Column3]]</f>
        <v>330</v>
      </c>
      <c r="F54" s="238">
        <v>320</v>
      </c>
      <c r="G54" s="239"/>
      <c r="H54" s="230"/>
      <c r="I54" s="240"/>
      <c r="J54" s="230"/>
      <c r="K54" s="240"/>
      <c r="L54" s="230"/>
      <c r="M54" s="240"/>
      <c r="N54" s="230"/>
      <c r="O54" s="240">
        <v>231</v>
      </c>
      <c r="P54" s="230">
        <f>Table5710121314[[#This Row],[Column9]]*Table5710121314[[#This Row],[Rate]]</f>
        <v>73920</v>
      </c>
      <c r="Q54">
        <v>99</v>
      </c>
      <c r="R54" s="230">
        <f>Table5710121314[[#This Row],[Column11]]*Table5710121314[[#This Row],[Rate]]</f>
        <v>31680</v>
      </c>
    </row>
    <row r="55" spans="2:18">
      <c r="B55" s="164" t="s">
        <v>142</v>
      </c>
      <c r="C55" s="236" t="s">
        <v>157</v>
      </c>
      <c r="D55" s="239">
        <v>1480</v>
      </c>
      <c r="E55" s="239">
        <f>Table5710121314[[#This Row],[Total Quantity]]-Table5710121314[[#This Row],[Quantity]]-Table5710121314[[#This Row],[Column3]]</f>
        <v>1480</v>
      </c>
      <c r="F55" s="238">
        <v>240</v>
      </c>
      <c r="G55" s="239"/>
      <c r="H55" s="230"/>
      <c r="I55" s="240"/>
      <c r="J55" s="230"/>
      <c r="K55" s="240"/>
      <c r="L55" s="230"/>
      <c r="M55" s="240"/>
      <c r="N55" s="230"/>
      <c r="O55" s="240">
        <v>1036</v>
      </c>
      <c r="P55" s="230">
        <f>Table5710121314[[#This Row],[Column9]]*Table5710121314[[#This Row],[Rate]]</f>
        <v>248640</v>
      </c>
      <c r="Q55">
        <v>444</v>
      </c>
      <c r="R55" s="230">
        <f>Table5710121314[[#This Row],[Column11]]*Table5710121314[[#This Row],[Rate]]</f>
        <v>106560</v>
      </c>
    </row>
    <row r="56" spans="2:18">
      <c r="B56" s="164" t="s">
        <v>145</v>
      </c>
      <c r="C56" s="237" t="s">
        <v>158</v>
      </c>
      <c r="D56" s="239">
        <v>3000</v>
      </c>
      <c r="E56" s="239">
        <f>Table5710121314[[#This Row],[Total Quantity]]-Table5710121314[[#This Row],[Quantity]]-Table5710121314[[#This Row],[Column3]]</f>
        <v>3000</v>
      </c>
      <c r="F56" s="238">
        <v>142</v>
      </c>
      <c r="G56" s="239"/>
      <c r="H56" s="230"/>
      <c r="I56" s="239"/>
      <c r="J56" s="230"/>
      <c r="K56" s="239"/>
      <c r="L56" s="230"/>
      <c r="M56" s="239"/>
      <c r="N56" s="230"/>
      <c r="O56" s="239">
        <v>2100</v>
      </c>
      <c r="P56" s="230">
        <f>Table5710121314[[#This Row],[Column9]]*Table5710121314[[#This Row],[Rate]]</f>
        <v>298200</v>
      </c>
      <c r="Q56">
        <v>900</v>
      </c>
      <c r="R56" s="230">
        <f>Table5710121314[[#This Row],[Column11]]*Table5710121314[[#This Row],[Rate]]</f>
        <v>127800</v>
      </c>
    </row>
    <row r="57" spans="2:18">
      <c r="B57" s="241"/>
      <c r="C57" s="242"/>
      <c r="D57" s="242"/>
      <c r="E57" s="242"/>
      <c r="F57" s="243" t="s">
        <v>25</v>
      </c>
      <c r="G57" s="415"/>
      <c r="H57" s="244"/>
      <c r="I57" s="415"/>
      <c r="J57" s="244"/>
      <c r="K57" s="415"/>
      <c r="L57" s="244"/>
      <c r="M57" s="415"/>
      <c r="N57" s="244"/>
      <c r="P57" s="244">
        <f t="shared" ref="P57:R57" si="5">SUM(P49:P56)</f>
        <v>1208357.98</v>
      </c>
      <c r="R57" s="244">
        <f t="shared" si="5"/>
        <v>517889.02</v>
      </c>
    </row>
    <row r="58" spans="2:18">
      <c r="C58" s="236"/>
      <c r="D58" s="236"/>
      <c r="E58" s="872"/>
      <c r="F58" s="872">
        <f>(D49*F49)+(D50*F50)+(D51*F51)+(D52*F52)+(D53*F53)+(D54*F54)+(D55*F55)+(D56*F56)</f>
        <v>1726247</v>
      </c>
      <c r="G58" s="238"/>
      <c r="H58" s="873"/>
      <c r="I58" s="874"/>
      <c r="J58" s="875"/>
    </row>
    <row r="66" spans="5:7">
      <c r="E66" s="230"/>
      <c r="G66" s="230"/>
    </row>
    <row r="68" spans="5:7">
      <c r="G68" s="231"/>
    </row>
  </sheetData>
  <mergeCells count="24">
    <mergeCell ref="Q32:R32"/>
    <mergeCell ref="Q17:R17"/>
    <mergeCell ref="Q2:R2"/>
    <mergeCell ref="Q47:R47"/>
    <mergeCell ref="G47:H47"/>
    <mergeCell ref="I47:J47"/>
    <mergeCell ref="G2:H2"/>
    <mergeCell ref="I2:J2"/>
    <mergeCell ref="G17:H17"/>
    <mergeCell ref="I17:J17"/>
    <mergeCell ref="G32:H32"/>
    <mergeCell ref="I32:J32"/>
    <mergeCell ref="O2:P2"/>
    <mergeCell ref="O17:P17"/>
    <mergeCell ref="O32:P32"/>
    <mergeCell ref="O47:P47"/>
    <mergeCell ref="K47:L47"/>
    <mergeCell ref="M47:N47"/>
    <mergeCell ref="M2:N2"/>
    <mergeCell ref="K17:L17"/>
    <mergeCell ref="M17:N17"/>
    <mergeCell ref="K32:L32"/>
    <mergeCell ref="M32:N3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B5:Q14"/>
  <sheetViews>
    <sheetView zoomScale="70" zoomScaleNormal="70" workbookViewId="0">
      <selection activeCell="B6" sqref="B6"/>
    </sheetView>
  </sheetViews>
  <sheetFormatPr defaultRowHeight="14.4"/>
  <cols>
    <col min="2" max="2" width="37.109375" bestFit="1" customWidth="1"/>
    <col min="4" max="4" width="13.33203125" style="230" bestFit="1" customWidth="1"/>
    <col min="5" max="5" width="13.33203125" style="558" bestFit="1" customWidth="1"/>
    <col min="6" max="6" width="21.109375" style="558" customWidth="1"/>
    <col min="7" max="7" width="14.33203125" bestFit="1" customWidth="1"/>
    <col min="8" max="8" width="25.33203125" customWidth="1"/>
    <col min="9" max="9" width="14.33203125" bestFit="1" customWidth="1"/>
    <col min="10" max="10" width="20.109375" customWidth="1"/>
    <col min="11" max="16" width="16.33203125" customWidth="1"/>
    <col min="17" max="17" width="9" bestFit="1" customWidth="1"/>
  </cols>
  <sheetData>
    <row r="5" spans="2:17">
      <c r="B5" t="s">
        <v>278</v>
      </c>
      <c r="C5" s="236"/>
      <c r="D5" s="239"/>
      <c r="E5" s="1284" t="s">
        <v>161</v>
      </c>
      <c r="F5" s="1285"/>
      <c r="G5" s="1284" t="s">
        <v>171</v>
      </c>
      <c r="H5" s="1285"/>
      <c r="I5" s="1284" t="s">
        <v>222</v>
      </c>
      <c r="J5" s="1285"/>
      <c r="K5" s="1289"/>
      <c r="L5" s="1289"/>
      <c r="M5" s="1289"/>
      <c r="N5" s="1289"/>
      <c r="O5" s="1289"/>
      <c r="P5" s="1289"/>
    </row>
    <row r="6" spans="2:17">
      <c r="B6" t="s">
        <v>141</v>
      </c>
      <c r="C6" s="236" t="s">
        <v>147</v>
      </c>
      <c r="D6" s="239" t="s">
        <v>148</v>
      </c>
      <c r="E6" s="559" t="s">
        <v>163</v>
      </c>
      <c r="F6" s="559" t="s">
        <v>162</v>
      </c>
      <c r="G6" s="238" t="s">
        <v>2</v>
      </c>
      <c r="H6" s="239" t="s">
        <v>257</v>
      </c>
      <c r="I6" s="238" t="s">
        <v>258</v>
      </c>
      <c r="J6" s="239" t="s">
        <v>259</v>
      </c>
      <c r="K6" s="239" t="s">
        <v>283</v>
      </c>
      <c r="L6" s="239" t="s">
        <v>284</v>
      </c>
      <c r="M6" s="239" t="s">
        <v>285</v>
      </c>
      <c r="N6" s="239" t="s">
        <v>286</v>
      </c>
      <c r="O6" s="239" t="s">
        <v>287</v>
      </c>
      <c r="P6" s="239" t="s">
        <v>288</v>
      </c>
    </row>
    <row r="7" spans="2:17" ht="28.8">
      <c r="B7" s="164" t="s">
        <v>279</v>
      </c>
      <c r="C7" s="236"/>
      <c r="D7" s="239">
        <v>360</v>
      </c>
      <c r="E7" s="559">
        <v>1500</v>
      </c>
      <c r="F7" s="559">
        <f>Table5915[[#This Row],[Rate]]*E7</f>
        <v>540000</v>
      </c>
      <c r="G7" s="254">
        <v>2000</v>
      </c>
      <c r="H7" s="254">
        <f>Table5915[[#This Row],[Column1]]*Table5915[[#This Row],[Rate]]</f>
        <v>720000</v>
      </c>
      <c r="I7" s="254">
        <v>1500</v>
      </c>
      <c r="J7" s="254">
        <f>Table5915[[#This Row],[Column3]]*Table5915[[#This Row],[Rate]]</f>
        <v>540000</v>
      </c>
      <c r="K7" s="255"/>
      <c r="L7" s="255"/>
      <c r="M7" s="255"/>
      <c r="N7" s="255"/>
      <c r="O7" s="255"/>
      <c r="P7" s="255"/>
    </row>
    <row r="8" spans="2:17" ht="28.8">
      <c r="B8" s="164" t="s">
        <v>280</v>
      </c>
      <c r="C8" s="236"/>
      <c r="D8" s="239">
        <v>260</v>
      </c>
      <c r="E8" s="559">
        <v>2000</v>
      </c>
      <c r="F8" s="559">
        <f>Table5915[[#This Row],[Rate]]*E8</f>
        <v>520000</v>
      </c>
      <c r="G8" s="254">
        <v>2500</v>
      </c>
      <c r="H8" s="254">
        <f>Table5915[[#This Row],[Column1]]*Table5915[[#This Row],[Rate]]</f>
        <v>650000</v>
      </c>
      <c r="I8" s="254">
        <v>2500</v>
      </c>
      <c r="J8" s="254">
        <f>Table5915[[#This Row],[Column3]]*Table5915[[#This Row],[Rate]]</f>
        <v>650000</v>
      </c>
      <c r="K8" s="255"/>
      <c r="L8" s="255"/>
      <c r="M8" s="255"/>
      <c r="N8" s="255"/>
      <c r="O8" s="255"/>
      <c r="P8" s="255"/>
    </row>
    <row r="9" spans="2:17" ht="28.8">
      <c r="B9" s="164" t="s">
        <v>281</v>
      </c>
      <c r="C9" s="236"/>
      <c r="D9" s="239">
        <v>210</v>
      </c>
      <c r="E9" s="559">
        <v>3000</v>
      </c>
      <c r="F9" s="559">
        <f>Table5915[[#This Row],[Rate]]*E9</f>
        <v>630000</v>
      </c>
      <c r="G9" s="254">
        <v>3500</v>
      </c>
      <c r="H9" s="254">
        <f>Table5915[[#This Row],[Column1]]*Table5915[[#This Row],[Rate]]</f>
        <v>735000</v>
      </c>
      <c r="I9" s="254">
        <v>3500</v>
      </c>
      <c r="J9" s="254">
        <f>Table5915[[#This Row],[Column3]]*Table5915[[#This Row],[Rate]]</f>
        <v>735000</v>
      </c>
      <c r="K9" s="255"/>
      <c r="L9" s="255"/>
      <c r="M9" s="255"/>
      <c r="N9" s="255"/>
      <c r="O9" s="255"/>
      <c r="P9" s="255"/>
      <c r="Q9" s="259"/>
    </row>
    <row r="10" spans="2:17" ht="28.8">
      <c r="B10" s="164" t="s">
        <v>282</v>
      </c>
      <c r="C10" s="236"/>
      <c r="D10" s="239">
        <v>145</v>
      </c>
      <c r="E10" s="559">
        <v>2137.9299999999998</v>
      </c>
      <c r="F10" s="559">
        <f>Table5915[[#This Row],[Rate]]*E10</f>
        <v>309999.84999999998</v>
      </c>
      <c r="G10" s="254">
        <v>1689.655172413793</v>
      </c>
      <c r="H10" s="254">
        <f>Table5915[[#This Row],[Column1]]*Table5915[[#This Row],[Rate]]</f>
        <v>245000</v>
      </c>
      <c r="I10" s="254">
        <v>5172.4137931034484</v>
      </c>
      <c r="J10" s="254">
        <f>Table5915[[#This Row],[Column3]]*Table5915[[#This Row],[Rate]]</f>
        <v>750000</v>
      </c>
      <c r="K10" s="255"/>
      <c r="L10" s="255"/>
      <c r="M10" s="255"/>
      <c r="N10" s="255"/>
      <c r="O10" s="255"/>
      <c r="P10" s="255"/>
      <c r="Q10" s="259"/>
    </row>
    <row r="11" spans="2:17">
      <c r="B11" s="241"/>
      <c r="C11" s="242"/>
      <c r="D11" s="256" t="s">
        <v>25</v>
      </c>
      <c r="E11" s="560"/>
      <c r="F11" s="560">
        <f>SUM(F7:F10)</f>
        <v>1999999.85</v>
      </c>
      <c r="G11" s="255"/>
      <c r="H11" s="244">
        <f>SUM(H7:H10)</f>
        <v>2350000</v>
      </c>
      <c r="I11" s="244"/>
      <c r="J11" s="244">
        <f>SUM(J7:J10)</f>
        <v>2675000</v>
      </c>
      <c r="K11" s="244"/>
      <c r="L11" s="244"/>
      <c r="M11" s="244"/>
      <c r="N11" s="244"/>
      <c r="O11" s="244"/>
      <c r="P11" s="244"/>
      <c r="Q11" s="231"/>
    </row>
    <row r="12" spans="2:17">
      <c r="C12" s="236"/>
      <c r="D12" s="256" t="s">
        <v>24</v>
      </c>
      <c r="E12" s="559"/>
      <c r="F12" s="260">
        <f>15%* F11</f>
        <v>299999.97749999998</v>
      </c>
      <c r="G12" s="255"/>
      <c r="H12" s="260">
        <f>15%* H11</f>
        <v>352500</v>
      </c>
      <c r="I12" s="255"/>
      <c r="J12" s="260">
        <f>15%* J11</f>
        <v>401250</v>
      </c>
      <c r="K12" s="260"/>
      <c r="L12" s="260"/>
      <c r="M12" s="260"/>
      <c r="N12" s="260"/>
      <c r="O12" s="260"/>
      <c r="P12" s="260"/>
    </row>
    <row r="13" spans="2:17">
      <c r="C13" s="236"/>
      <c r="D13" s="256" t="s">
        <v>212</v>
      </c>
      <c r="E13" s="559"/>
      <c r="F13" s="560">
        <f>F12+F11</f>
        <v>2299999.8275000001</v>
      </c>
      <c r="G13" s="255"/>
      <c r="H13" s="244">
        <f>H12+H11</f>
        <v>2702500</v>
      </c>
      <c r="I13" s="262"/>
      <c r="J13" s="244">
        <f>J12+J11</f>
        <v>3076250</v>
      </c>
      <c r="K13" s="244"/>
      <c r="L13" s="244"/>
      <c r="M13" s="244"/>
      <c r="N13" s="244"/>
      <c r="O13" s="244"/>
      <c r="P13" s="244"/>
    </row>
    <row r="14" spans="2:17">
      <c r="C14" s="236"/>
      <c r="D14" s="256"/>
      <c r="E14" s="559"/>
      <c r="G14" s="255"/>
      <c r="H14" s="260"/>
      <c r="I14" s="255"/>
      <c r="J14" s="260"/>
      <c r="K14" s="260"/>
      <c r="L14" s="260"/>
      <c r="M14" s="260"/>
      <c r="N14" s="260"/>
      <c r="O14" s="260"/>
      <c r="P14" s="260"/>
    </row>
  </sheetData>
  <mergeCells count="6">
    <mergeCell ref="O5:P5"/>
    <mergeCell ref="E5:F5"/>
    <mergeCell ref="G5:H5"/>
    <mergeCell ref="I5:J5"/>
    <mergeCell ref="K5:L5"/>
    <mergeCell ref="M5:N5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f6d1ab2-6913-4946-9b6b-06be7c1a9017" origin="userSelected">
  <element uid="64a78ead-36fc-4674-8581-d2b7639be2f4" value=""/>
</sisl>
</file>

<file path=customXml/itemProps1.xml><?xml version="1.0" encoding="utf-8"?>
<ds:datastoreItem xmlns:ds="http://schemas.openxmlformats.org/officeDocument/2006/customXml" ds:itemID="{1E1079D2-3989-4141-A71B-C6EA848C08F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Summary</vt:lpstr>
      <vt:lpstr>Invoices (2)</vt:lpstr>
      <vt:lpstr>Sheet4</vt:lpstr>
      <vt:lpstr>EGEC - NIS2</vt:lpstr>
      <vt:lpstr>Meinhardt (RDH1-01-006)</vt:lpstr>
      <vt:lpstr>Logistic</vt:lpstr>
      <vt:lpstr>ENGICON RIYADH 4 P2 </vt:lpstr>
      <vt:lpstr>Engicon - P1</vt:lpstr>
      <vt:lpstr>Invoices</vt:lpstr>
      <vt:lpstr>EGEC - WAS</vt:lpstr>
      <vt:lpstr>AlDar International </vt:lpstr>
      <vt:lpstr>Sheet3</vt:lpstr>
      <vt:lpstr>TYPSA-KHJ2MIC</vt:lpstr>
      <vt:lpstr>MEINHARDT</vt:lpstr>
      <vt:lpstr>Dates</vt:lpstr>
      <vt:lpstr>Calendar</vt:lpstr>
      <vt:lpstr>ENGICON</vt:lpstr>
      <vt:lpstr>SYSTRA</vt:lpstr>
      <vt:lpstr>ENGICON-RDH4</vt:lpstr>
      <vt:lpstr>Summary!Invoices</vt:lpstr>
      <vt:lpstr>Invoices</vt:lpstr>
      <vt:lpstr>Summary!Summary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Danah</dc:creator>
  <cp:keywords>Confidential | مقيّد</cp:keywords>
  <cp:lastModifiedBy>Mostafa A. El-Shekh (Contractor)</cp:lastModifiedBy>
  <cp:lastPrinted>2025-08-25T12:33:00Z</cp:lastPrinted>
  <dcterms:created xsi:type="dcterms:W3CDTF">2024-02-15T11:00:15Z</dcterms:created>
  <dcterms:modified xsi:type="dcterms:W3CDTF">2026-08-27T07:40:27Z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MigrationMetadata">
    <vt:lpwstr>{"MigratedFrom":"Boldon_James","MigratedOn":"2025-07-09-07-32-08","MigrationToolVersion":"1.0.0.0"}</vt:lpwstr>
  </property>
  <property fmtid="{D5CDD505-2E9C-101B-9397-08002B2CF9AE}" pid="5" name="MigrationMetadataVersion">
    <vt:lpwstr>1.0</vt:lpwstr>
  </property>
  <property fmtid="{D5CDD505-2E9C-101B-9397-08002B2CF9AE}" pid="6" name="SecloreClassificationFooterTextValue">
    <vt:lpwstr>Confidential | مقيد</vt:lpwstr>
  </property>
  <property fmtid="{D5CDD505-2E9C-101B-9397-08002B2CF9AE}" pid="7" name="SecloreClassificationFooterColorHex">
    <vt:lpwstr>#f0c231</vt:lpwstr>
  </property>
  <property fmtid="{D5CDD505-2E9C-101B-9397-08002B2CF9AE}" pid="8" name="SecloreClassificationFooterFontSize">
    <vt:lpwstr>12</vt:lpwstr>
  </property>
  <property fmtid="{D5CDD505-2E9C-101B-9397-08002B2CF9AE}" pid="9" name="SecloreClassificationFooterAlignment">
    <vt:lpwstr>Left</vt:lpwstr>
  </property>
</Properties>
</file>